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f46b93f84af937e/Documents/"/>
    </mc:Choice>
  </mc:AlternateContent>
  <xr:revisionPtr revIDLastSave="1" documentId="8_{9536C3E4-EEB0-4270-99BD-C4566E9404BA}" xr6:coauthVersionLast="47" xr6:coauthVersionMax="47" xr10:uidLastSave="{AB9D99CB-1E61-49A1-9B33-282CAA222B18}"/>
  <bookViews>
    <workbookView xWindow="-120" yWindow="-120" windowWidth="29040" windowHeight="15720" activeTab="3" xr2:uid="{00000000-000D-0000-FFFF-FFFF00000000}"/>
  </bookViews>
  <sheets>
    <sheet name="Raw_Data" sheetId="1" r:id="rId1"/>
    <sheet name="Cleaned Data" sheetId="2" r:id="rId2"/>
    <sheet name="Pivot_Table" sheetId="6" r:id="rId3"/>
    <sheet name="Dashboard" sheetId="8" r:id="rId4"/>
    <sheet name="Executive_Summary" sheetId="17" r:id="rId5"/>
    <sheet name="Data_Cleaning_Log" sheetId="3" r:id="rId6"/>
    <sheet name="Data_Validation_Summary" sheetId="4" r:id="rId7"/>
  </sheets>
  <definedNames>
    <definedName name="_xlnm._FilterDatabase" localSheetId="1" hidden="1">'Cleaned Data'!$O$1:$O$1001</definedName>
    <definedName name="Slicer_Department">#N/A</definedName>
    <definedName name="Slicer_Month">#N/A</definedName>
    <definedName name="Slicer_Payment_Status">#N/A</definedName>
    <definedName name="Slicer_Test_Type">#N/A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L18" i="6" l="1"/>
  <c r="AG972" i="2"/>
  <c r="AG971" i="2"/>
  <c r="B29" i="6"/>
  <c r="U35" i="2"/>
  <c r="U34" i="2"/>
  <c r="I3" i="2"/>
  <c r="I654" i="2"/>
  <c r="I484" i="2"/>
  <c r="I485" i="2"/>
  <c r="I325" i="2"/>
  <c r="I655" i="2"/>
  <c r="I843" i="2"/>
  <c r="I656" i="2"/>
  <c r="I844" i="2"/>
  <c r="I326" i="2"/>
  <c r="I170" i="2"/>
  <c r="I4" i="2"/>
  <c r="I657" i="2"/>
  <c r="I171" i="2"/>
  <c r="I658" i="2"/>
  <c r="I5" i="2"/>
  <c r="I6" i="2"/>
  <c r="I172" i="2"/>
  <c r="I845" i="2"/>
  <c r="I7" i="2"/>
  <c r="I486" i="2"/>
  <c r="I327" i="2"/>
  <c r="I659" i="2"/>
  <c r="I846" i="2"/>
  <c r="I847" i="2"/>
  <c r="I848" i="2"/>
  <c r="I173" i="2"/>
  <c r="I328" i="2"/>
  <c r="I8" i="2"/>
  <c r="I174" i="2"/>
  <c r="I849" i="2"/>
  <c r="I660" i="2"/>
  <c r="I850" i="2"/>
  <c r="I175" i="2"/>
  <c r="I661" i="2"/>
  <c r="I851" i="2"/>
  <c r="I9" i="2"/>
  <c r="I10" i="2"/>
  <c r="I487" i="2"/>
  <c r="I176" i="2"/>
  <c r="I11" i="2"/>
  <c r="I329" i="2"/>
  <c r="I12" i="2"/>
  <c r="I330" i="2"/>
  <c r="I488" i="2"/>
  <c r="I489" i="2"/>
  <c r="I852" i="2"/>
  <c r="I490" i="2"/>
  <c r="I13" i="2"/>
  <c r="I491" i="2"/>
  <c r="I662" i="2"/>
  <c r="I14" i="2"/>
  <c r="I853" i="2"/>
  <c r="I331" i="2"/>
  <c r="I177" i="2"/>
  <c r="I854" i="2"/>
  <c r="I332" i="2"/>
  <c r="I492" i="2"/>
  <c r="I493" i="2"/>
  <c r="I178" i="2"/>
  <c r="I179" i="2"/>
  <c r="I15" i="2"/>
  <c r="I855" i="2"/>
  <c r="I180" i="2"/>
  <c r="I494" i="2"/>
  <c r="I16" i="2"/>
  <c r="I17" i="2"/>
  <c r="I181" i="2"/>
  <c r="I663" i="2"/>
  <c r="I495" i="2"/>
  <c r="I333" i="2"/>
  <c r="I18" i="2"/>
  <c r="I19" i="2"/>
  <c r="I334" i="2"/>
  <c r="I182" i="2"/>
  <c r="I856" i="2"/>
  <c r="I183" i="2"/>
  <c r="I184" i="2"/>
  <c r="I185" i="2"/>
  <c r="I664" i="2"/>
  <c r="I665" i="2"/>
  <c r="I335" i="2"/>
  <c r="I20" i="2"/>
  <c r="I666" i="2"/>
  <c r="I857" i="2"/>
  <c r="I21" i="2"/>
  <c r="I496" i="2"/>
  <c r="I497" i="2"/>
  <c r="I498" i="2"/>
  <c r="I186" i="2"/>
  <c r="I499" i="2"/>
  <c r="I187" i="2"/>
  <c r="I858" i="2"/>
  <c r="I22" i="2"/>
  <c r="I500" i="2"/>
  <c r="I667" i="2"/>
  <c r="I501" i="2"/>
  <c r="I188" i="2"/>
  <c r="I23" i="2"/>
  <c r="I502" i="2"/>
  <c r="I24" i="2"/>
  <c r="I25" i="2"/>
  <c r="I503" i="2"/>
  <c r="I668" i="2"/>
  <c r="I504" i="2"/>
  <c r="I669" i="2"/>
  <c r="I189" i="2"/>
  <c r="I336" i="2"/>
  <c r="I670" i="2"/>
  <c r="I671" i="2"/>
  <c r="I505" i="2"/>
  <c r="I859" i="2"/>
  <c r="I860" i="2"/>
  <c r="I672" i="2"/>
  <c r="I337" i="2"/>
  <c r="I506" i="2"/>
  <c r="I861" i="2"/>
  <c r="I673" i="2"/>
  <c r="I190" i="2"/>
  <c r="I26" i="2"/>
  <c r="I862" i="2"/>
  <c r="I507" i="2"/>
  <c r="I27" i="2"/>
  <c r="I191" i="2"/>
  <c r="I674" i="2"/>
  <c r="I338" i="2"/>
  <c r="I192" i="2"/>
  <c r="I339" i="2"/>
  <c r="I508" i="2"/>
  <c r="I863" i="2"/>
  <c r="I340" i="2"/>
  <c r="I675" i="2"/>
  <c r="I28" i="2"/>
  <c r="I676" i="2"/>
  <c r="I341" i="2"/>
  <c r="I193" i="2"/>
  <c r="I677" i="2"/>
  <c r="I509" i="2"/>
  <c r="I678" i="2"/>
  <c r="I342" i="2"/>
  <c r="I343" i="2"/>
  <c r="I29" i="2"/>
  <c r="I194" i="2"/>
  <c r="I510" i="2"/>
  <c r="I30" i="2"/>
  <c r="I31" i="2"/>
  <c r="I511" i="2"/>
  <c r="I32" i="2"/>
  <c r="I679" i="2"/>
  <c r="I33" i="2"/>
  <c r="I344" i="2"/>
  <c r="I345" i="2"/>
  <c r="I512" i="2"/>
  <c r="I513" i="2"/>
  <c r="I864" i="2"/>
  <c r="I680" i="2"/>
  <c r="I346" i="2"/>
  <c r="I34" i="2"/>
  <c r="I195" i="2"/>
  <c r="I865" i="2"/>
  <c r="I35" i="2"/>
  <c r="I347" i="2"/>
  <c r="I866" i="2"/>
  <c r="I196" i="2"/>
  <c r="I514" i="2"/>
  <c r="I197" i="2"/>
  <c r="I198" i="2"/>
  <c r="I515" i="2"/>
  <c r="I36" i="2"/>
  <c r="I867" i="2"/>
  <c r="I199" i="2"/>
  <c r="I200" i="2"/>
  <c r="I348" i="2"/>
  <c r="I681" i="2"/>
  <c r="I516" i="2"/>
  <c r="I517" i="2"/>
  <c r="I682" i="2"/>
  <c r="I868" i="2"/>
  <c r="I683" i="2"/>
  <c r="I201" i="2"/>
  <c r="I37" i="2"/>
  <c r="I869" i="2"/>
  <c r="I684" i="2"/>
  <c r="I518" i="2"/>
  <c r="I519" i="2"/>
  <c r="I685" i="2"/>
  <c r="I520" i="2"/>
  <c r="I686" i="2"/>
  <c r="I521" i="2"/>
  <c r="I522" i="2"/>
  <c r="I38" i="2"/>
  <c r="I202" i="2"/>
  <c r="I39" i="2"/>
  <c r="I349" i="2"/>
  <c r="I870" i="2"/>
  <c r="I687" i="2"/>
  <c r="I350" i="2"/>
  <c r="I688" i="2"/>
  <c r="I871" i="2"/>
  <c r="I689" i="2"/>
  <c r="I872" i="2"/>
  <c r="I203" i="2"/>
  <c r="I40" i="2"/>
  <c r="I523" i="2"/>
  <c r="I41" i="2"/>
  <c r="I690" i="2"/>
  <c r="I42" i="2"/>
  <c r="I873" i="2"/>
  <c r="I43" i="2"/>
  <c r="I874" i="2"/>
  <c r="I875" i="2"/>
  <c r="I524" i="2"/>
  <c r="I351" i="2"/>
  <c r="I691" i="2"/>
  <c r="I692" i="2"/>
  <c r="I204" i="2"/>
  <c r="I44" i="2"/>
  <c r="I45" i="2"/>
  <c r="I693" i="2"/>
  <c r="I205" i="2"/>
  <c r="I694" i="2"/>
  <c r="I46" i="2"/>
  <c r="I47" i="2"/>
  <c r="I876" i="2"/>
  <c r="I48" i="2"/>
  <c r="I352" i="2"/>
  <c r="I695" i="2"/>
  <c r="I525" i="2"/>
  <c r="I353" i="2"/>
  <c r="I526" i="2"/>
  <c r="I206" i="2"/>
  <c r="I354" i="2"/>
  <c r="I355" i="2"/>
  <c r="I696" i="2"/>
  <c r="I207" i="2"/>
  <c r="I877" i="2"/>
  <c r="I356" i="2"/>
  <c r="I357" i="2"/>
  <c r="I878" i="2"/>
  <c r="I697" i="2"/>
  <c r="I698" i="2"/>
  <c r="I879" i="2"/>
  <c r="I699" i="2"/>
  <c r="I49" i="2"/>
  <c r="I700" i="2"/>
  <c r="I358" i="2"/>
  <c r="I50" i="2"/>
  <c r="I880" i="2"/>
  <c r="I51" i="2"/>
  <c r="I52" i="2"/>
  <c r="I53" i="2"/>
  <c r="I701" i="2"/>
  <c r="I54" i="2"/>
  <c r="I527" i="2"/>
  <c r="I881" i="2"/>
  <c r="I359" i="2"/>
  <c r="I702" i="2"/>
  <c r="I528" i="2"/>
  <c r="I529" i="2"/>
  <c r="I360" i="2"/>
  <c r="I55" i="2"/>
  <c r="I882" i="2"/>
  <c r="I883" i="2"/>
  <c r="I703" i="2"/>
  <c r="I704" i="2"/>
  <c r="I56" i="2"/>
  <c r="I705" i="2"/>
  <c r="I361" i="2"/>
  <c r="I884" i="2"/>
  <c r="I885" i="2"/>
  <c r="I57" i="2"/>
  <c r="I530" i="2"/>
  <c r="I706" i="2"/>
  <c r="I707" i="2"/>
  <c r="I362" i="2"/>
  <c r="I886" i="2"/>
  <c r="I708" i="2"/>
  <c r="I208" i="2"/>
  <c r="I58" i="2"/>
  <c r="I531" i="2"/>
  <c r="I209" i="2"/>
  <c r="I210" i="2"/>
  <c r="I363" i="2"/>
  <c r="I709" i="2"/>
  <c r="I887" i="2"/>
  <c r="I211" i="2"/>
  <c r="I710" i="2"/>
  <c r="I888" i="2"/>
  <c r="I59" i="2"/>
  <c r="I711" i="2"/>
  <c r="I364" i="2"/>
  <c r="I212" i="2"/>
  <c r="I712" i="2"/>
  <c r="I532" i="2"/>
  <c r="I889" i="2"/>
  <c r="I60" i="2"/>
  <c r="I213" i="2"/>
  <c r="I214" i="2"/>
  <c r="I533" i="2"/>
  <c r="I61" i="2"/>
  <c r="I713" i="2"/>
  <c r="I62" i="2"/>
  <c r="I365" i="2"/>
  <c r="I890" i="2"/>
  <c r="I534" i="2"/>
  <c r="I891" i="2"/>
  <c r="I535" i="2"/>
  <c r="I63" i="2"/>
  <c r="I366" i="2"/>
  <c r="I536" i="2"/>
  <c r="I537" i="2"/>
  <c r="I64" i="2"/>
  <c r="I65" i="2"/>
  <c r="I367" i="2"/>
  <c r="I714" i="2"/>
  <c r="I715" i="2"/>
  <c r="I892" i="2"/>
  <c r="I538" i="2"/>
  <c r="I368" i="2"/>
  <c r="I66" i="2"/>
  <c r="I893" i="2"/>
  <c r="I894" i="2"/>
  <c r="I539" i="2"/>
  <c r="I540" i="2"/>
  <c r="I67" i="2"/>
  <c r="I895" i="2"/>
  <c r="I68" i="2"/>
  <c r="I215" i="2"/>
  <c r="I716" i="2"/>
  <c r="I896" i="2"/>
  <c r="I216" i="2"/>
  <c r="I217" i="2"/>
  <c r="I69" i="2"/>
  <c r="I541" i="2"/>
  <c r="I70" i="2"/>
  <c r="I542" i="2"/>
  <c r="I71" i="2"/>
  <c r="I897" i="2"/>
  <c r="I369" i="2"/>
  <c r="I218" i="2"/>
  <c r="I543" i="2"/>
  <c r="I898" i="2"/>
  <c r="I899" i="2"/>
  <c r="I544" i="2"/>
  <c r="I219" i="2"/>
  <c r="I220" i="2"/>
  <c r="I900" i="2"/>
  <c r="I901" i="2"/>
  <c r="I72" i="2"/>
  <c r="I370" i="2"/>
  <c r="I73" i="2"/>
  <c r="I221" i="2"/>
  <c r="I222" i="2"/>
  <c r="I371" i="2"/>
  <c r="I74" i="2"/>
  <c r="I372" i="2"/>
  <c r="I717" i="2"/>
  <c r="I545" i="2"/>
  <c r="I223" i="2"/>
  <c r="I546" i="2"/>
  <c r="I373" i="2"/>
  <c r="I902" i="2"/>
  <c r="I75" i="2"/>
  <c r="I374" i="2"/>
  <c r="I76" i="2"/>
  <c r="I224" i="2"/>
  <c r="I718" i="2"/>
  <c r="I719" i="2"/>
  <c r="I547" i="2"/>
  <c r="I903" i="2"/>
  <c r="I904" i="2"/>
  <c r="I905" i="2"/>
  <c r="I906" i="2"/>
  <c r="I720" i="2"/>
  <c r="I721" i="2"/>
  <c r="I548" i="2"/>
  <c r="I907" i="2"/>
  <c r="I722" i="2"/>
  <c r="I723" i="2"/>
  <c r="I77" i="2"/>
  <c r="I908" i="2"/>
  <c r="I78" i="2"/>
  <c r="I225" i="2"/>
  <c r="I375" i="2"/>
  <c r="I226" i="2"/>
  <c r="I909" i="2"/>
  <c r="I910" i="2"/>
  <c r="I549" i="2"/>
  <c r="I376" i="2"/>
  <c r="I377" i="2"/>
  <c r="I911" i="2"/>
  <c r="I550" i="2"/>
  <c r="I227" i="2"/>
  <c r="I378" i="2"/>
  <c r="I379" i="2"/>
  <c r="I551" i="2"/>
  <c r="I912" i="2"/>
  <c r="I552" i="2"/>
  <c r="I228" i="2"/>
  <c r="I553" i="2"/>
  <c r="I380" i="2"/>
  <c r="I229" i="2"/>
  <c r="I913" i="2"/>
  <c r="I230" i="2"/>
  <c r="I381" i="2"/>
  <c r="I382" i="2"/>
  <c r="I383" i="2"/>
  <c r="I231" i="2"/>
  <c r="I232" i="2"/>
  <c r="I554" i="2"/>
  <c r="I384" i="2"/>
  <c r="I914" i="2"/>
  <c r="I233" i="2"/>
  <c r="I555" i="2"/>
  <c r="I234" i="2"/>
  <c r="I556" i="2"/>
  <c r="I385" i="2"/>
  <c r="I724" i="2"/>
  <c r="I235" i="2"/>
  <c r="I79" i="2"/>
  <c r="I557" i="2"/>
  <c r="I236" i="2"/>
  <c r="I915" i="2"/>
  <c r="I916" i="2"/>
  <c r="I725" i="2"/>
  <c r="I386" i="2"/>
  <c r="I237" i="2"/>
  <c r="I726" i="2"/>
  <c r="I727" i="2"/>
  <c r="I728" i="2"/>
  <c r="I917" i="2"/>
  <c r="I729" i="2"/>
  <c r="I730" i="2"/>
  <c r="I80" i="2"/>
  <c r="I238" i="2"/>
  <c r="I731" i="2"/>
  <c r="I239" i="2"/>
  <c r="I387" i="2"/>
  <c r="I240" i="2"/>
  <c r="I918" i="2"/>
  <c r="I558" i="2"/>
  <c r="I388" i="2"/>
  <c r="I241" i="2"/>
  <c r="I242" i="2"/>
  <c r="I243" i="2"/>
  <c r="I81" i="2"/>
  <c r="I919" i="2"/>
  <c r="I732" i="2"/>
  <c r="I920" i="2"/>
  <c r="I82" i="2"/>
  <c r="I733" i="2"/>
  <c r="I83" i="2"/>
  <c r="I559" i="2"/>
  <c r="I734" i="2"/>
  <c r="I735" i="2"/>
  <c r="I921" i="2"/>
  <c r="I736" i="2"/>
  <c r="I389" i="2"/>
  <c r="I922" i="2"/>
  <c r="I84" i="2"/>
  <c r="I560" i="2"/>
  <c r="I244" i="2"/>
  <c r="I245" i="2"/>
  <c r="I246" i="2"/>
  <c r="I390" i="2"/>
  <c r="I737" i="2"/>
  <c r="I391" i="2"/>
  <c r="I85" i="2"/>
  <c r="I392" i="2"/>
  <c r="I738" i="2"/>
  <c r="I393" i="2"/>
  <c r="I739" i="2"/>
  <c r="I86" i="2"/>
  <c r="I923" i="2"/>
  <c r="I561" i="2"/>
  <c r="I247" i="2"/>
  <c r="I394" i="2"/>
  <c r="I562" i="2"/>
  <c r="I248" i="2"/>
  <c r="I395" i="2"/>
  <c r="I396" i="2"/>
  <c r="I397" i="2"/>
  <c r="I740" i="2"/>
  <c r="I924" i="2"/>
  <c r="I741" i="2"/>
  <c r="I742" i="2"/>
  <c r="I743" i="2"/>
  <c r="I744" i="2"/>
  <c r="I745" i="2"/>
  <c r="I398" i="2"/>
  <c r="I746" i="2"/>
  <c r="I249" i="2"/>
  <c r="I925" i="2"/>
  <c r="I87" i="2"/>
  <c r="I563" i="2"/>
  <c r="I926" i="2"/>
  <c r="I927" i="2"/>
  <c r="I399" i="2"/>
  <c r="I928" i="2"/>
  <c r="I400" i="2"/>
  <c r="I88" i="2"/>
  <c r="I929" i="2"/>
  <c r="I250" i="2"/>
  <c r="I564" i="2"/>
  <c r="I565" i="2"/>
  <c r="I89" i="2"/>
  <c r="I251" i="2"/>
  <c r="I747" i="2"/>
  <c r="I930" i="2"/>
  <c r="I748" i="2"/>
  <c r="I252" i="2"/>
  <c r="I253" i="2"/>
  <c r="I749" i="2"/>
  <c r="I750" i="2"/>
  <c r="I931" i="2"/>
  <c r="I90" i="2"/>
  <c r="I91" i="2"/>
  <c r="I932" i="2"/>
  <c r="I254" i="2"/>
  <c r="I92" i="2"/>
  <c r="I401" i="2"/>
  <c r="I751" i="2"/>
  <c r="I752" i="2"/>
  <c r="I255" i="2"/>
  <c r="I566" i="2"/>
  <c r="I933" i="2"/>
  <c r="I256" i="2"/>
  <c r="I753" i="2"/>
  <c r="I257" i="2"/>
  <c r="I258" i="2"/>
  <c r="I259" i="2"/>
  <c r="I567" i="2"/>
  <c r="I754" i="2"/>
  <c r="I93" i="2"/>
  <c r="I94" i="2"/>
  <c r="I402" i="2"/>
  <c r="I755" i="2"/>
  <c r="I934" i="2"/>
  <c r="I260" i="2"/>
  <c r="I568" i="2"/>
  <c r="I569" i="2"/>
  <c r="I570" i="2"/>
  <c r="I756" i="2"/>
  <c r="I757" i="2"/>
  <c r="I571" i="2"/>
  <c r="I758" i="2"/>
  <c r="I95" i="2"/>
  <c r="I96" i="2"/>
  <c r="I403" i="2"/>
  <c r="I572" i="2"/>
  <c r="I97" i="2"/>
  <c r="I404" i="2"/>
  <c r="I759" i="2"/>
  <c r="I573" i="2"/>
  <c r="I405" i="2"/>
  <c r="I935" i="2"/>
  <c r="I406" i="2"/>
  <c r="I760" i="2"/>
  <c r="I98" i="2"/>
  <c r="I761" i="2"/>
  <c r="I261" i="2"/>
  <c r="I762" i="2"/>
  <c r="I936" i="2"/>
  <c r="I99" i="2"/>
  <c r="I763" i="2"/>
  <c r="I262" i="2"/>
  <c r="I407" i="2"/>
  <c r="I937" i="2"/>
  <c r="I764" i="2"/>
  <c r="I100" i="2"/>
  <c r="I574" i="2"/>
  <c r="I101" i="2"/>
  <c r="I408" i="2"/>
  <c r="I765" i="2"/>
  <c r="I102" i="2"/>
  <c r="I938" i="2"/>
  <c r="I103" i="2"/>
  <c r="I575" i="2"/>
  <c r="I576" i="2"/>
  <c r="I409" i="2"/>
  <c r="I939" i="2"/>
  <c r="I104" i="2"/>
  <c r="I410" i="2"/>
  <c r="I411" i="2"/>
  <c r="I577" i="2"/>
  <c r="I940" i="2"/>
  <c r="I263" i="2"/>
  <c r="I766" i="2"/>
  <c r="I941" i="2"/>
  <c r="I105" i="2"/>
  <c r="I264" i="2"/>
  <c r="I942" i="2"/>
  <c r="I578" i="2"/>
  <c r="I412" i="2"/>
  <c r="I265" i="2"/>
  <c r="I943" i="2"/>
  <c r="I413" i="2"/>
  <c r="I414" i="2"/>
  <c r="I579" i="2"/>
  <c r="I767" i="2"/>
  <c r="I768" i="2"/>
  <c r="I415" i="2"/>
  <c r="I769" i="2"/>
  <c r="I106" i="2"/>
  <c r="I770" i="2"/>
  <c r="I107" i="2"/>
  <c r="I580" i="2"/>
  <c r="I944" i="2"/>
  <c r="I771" i="2"/>
  <c r="I266" i="2"/>
  <c r="I945" i="2"/>
  <c r="I416" i="2"/>
  <c r="I772" i="2"/>
  <c r="I773" i="2"/>
  <c r="I267" i="2"/>
  <c r="I108" i="2"/>
  <c r="I581" i="2"/>
  <c r="I109" i="2"/>
  <c r="I417" i="2"/>
  <c r="I268" i="2"/>
  <c r="I418" i="2"/>
  <c r="I110" i="2"/>
  <c r="I582" i="2"/>
  <c r="I419" i="2"/>
  <c r="I946" i="2"/>
  <c r="I111" i="2"/>
  <c r="I420" i="2"/>
  <c r="I774" i="2"/>
  <c r="I775" i="2"/>
  <c r="I269" i="2"/>
  <c r="I270" i="2"/>
  <c r="I583" i="2"/>
  <c r="I947" i="2"/>
  <c r="I271" i="2"/>
  <c r="I112" i="2"/>
  <c r="I776" i="2"/>
  <c r="I584" i="2"/>
  <c r="I948" i="2"/>
  <c r="I949" i="2"/>
  <c r="I272" i="2"/>
  <c r="I113" i="2"/>
  <c r="I114" i="2"/>
  <c r="I273" i="2"/>
  <c r="I777" i="2"/>
  <c r="I778" i="2"/>
  <c r="I115" i="2"/>
  <c r="I950" i="2"/>
  <c r="I585" i="2"/>
  <c r="I116" i="2"/>
  <c r="I421" i="2"/>
  <c r="I274" i="2"/>
  <c r="I586" i="2"/>
  <c r="I275" i="2"/>
  <c r="I587" i="2"/>
  <c r="I779" i="2"/>
  <c r="I780" i="2"/>
  <c r="I588" i="2"/>
  <c r="I781" i="2"/>
  <c r="I782" i="2"/>
  <c r="I783" i="2"/>
  <c r="I589" i="2"/>
  <c r="I422" i="2"/>
  <c r="I117" i="2"/>
  <c r="I951" i="2"/>
  <c r="I590" i="2"/>
  <c r="I276" i="2"/>
  <c r="I423" i="2"/>
  <c r="I277" i="2"/>
  <c r="I118" i="2"/>
  <c r="I952" i="2"/>
  <c r="I784" i="2"/>
  <c r="I119" i="2"/>
  <c r="I785" i="2"/>
  <c r="I424" i="2"/>
  <c r="I953" i="2"/>
  <c r="I278" i="2"/>
  <c r="I425" i="2"/>
  <c r="I426" i="2"/>
  <c r="I427" i="2"/>
  <c r="I786" i="2"/>
  <c r="I428" i="2"/>
  <c r="I954" i="2"/>
  <c r="I955" i="2"/>
  <c r="I120" i="2"/>
  <c r="I279" i="2"/>
  <c r="I121" i="2"/>
  <c r="I591" i="2"/>
  <c r="I592" i="2"/>
  <c r="I787" i="2"/>
  <c r="I122" i="2"/>
  <c r="I280" i="2"/>
  <c r="I593" i="2"/>
  <c r="I594" i="2"/>
  <c r="I281" i="2"/>
  <c r="I788" i="2"/>
  <c r="I956" i="2"/>
  <c r="I957" i="2"/>
  <c r="I123" i="2"/>
  <c r="I124" i="2"/>
  <c r="I595" i="2"/>
  <c r="I596" i="2"/>
  <c r="I958" i="2"/>
  <c r="I597" i="2"/>
  <c r="I282" i="2"/>
  <c r="I283" i="2"/>
  <c r="I598" i="2"/>
  <c r="I284" i="2"/>
  <c r="I789" i="2"/>
  <c r="I790" i="2"/>
  <c r="I599" i="2"/>
  <c r="I429" i="2"/>
  <c r="I791" i="2"/>
  <c r="I285" i="2"/>
  <c r="I600" i="2"/>
  <c r="I792" i="2"/>
  <c r="I601" i="2"/>
  <c r="I125" i="2"/>
  <c r="I430" i="2"/>
  <c r="I286" i="2"/>
  <c r="I793" i="2"/>
  <c r="I431" i="2"/>
  <c r="I432" i="2"/>
  <c r="I433" i="2"/>
  <c r="I959" i="2"/>
  <c r="I602" i="2"/>
  <c r="I126" i="2"/>
  <c r="I287" i="2"/>
  <c r="I603" i="2"/>
  <c r="I434" i="2"/>
  <c r="I127" i="2"/>
  <c r="I794" i="2"/>
  <c r="I435" i="2"/>
  <c r="I288" i="2"/>
  <c r="I128" i="2"/>
  <c r="I604" i="2"/>
  <c r="I605" i="2"/>
  <c r="I129" i="2"/>
  <c r="I606" i="2"/>
  <c r="I960" i="2"/>
  <c r="I961" i="2"/>
  <c r="I607" i="2"/>
  <c r="I608" i="2"/>
  <c r="I795" i="2"/>
  <c r="I436" i="2"/>
  <c r="I130" i="2"/>
  <c r="I289" i="2"/>
  <c r="I609" i="2"/>
  <c r="I796" i="2"/>
  <c r="I962" i="2"/>
  <c r="I437" i="2"/>
  <c r="I963" i="2"/>
  <c r="I438" i="2"/>
  <c r="I964" i="2"/>
  <c r="I797" i="2"/>
  <c r="I290" i="2"/>
  <c r="I439" i="2"/>
  <c r="I291" i="2"/>
  <c r="I610" i="2"/>
  <c r="I965" i="2"/>
  <c r="I440" i="2"/>
  <c r="I611" i="2"/>
  <c r="I131" i="2"/>
  <c r="I612" i="2"/>
  <c r="I132" i="2"/>
  <c r="I133" i="2"/>
  <c r="I966" i="2"/>
  <c r="I613" i="2"/>
  <c r="I967" i="2"/>
  <c r="I134" i="2"/>
  <c r="I614" i="2"/>
  <c r="I798" i="2"/>
  <c r="I799" i="2"/>
  <c r="I800" i="2"/>
  <c r="I801" i="2"/>
  <c r="I802" i="2"/>
  <c r="I615" i="2"/>
  <c r="I968" i="2"/>
  <c r="I441" i="2"/>
  <c r="I135" i="2"/>
  <c r="I442" i="2"/>
  <c r="I803" i="2"/>
  <c r="I136" i="2"/>
  <c r="I969" i="2"/>
  <c r="I292" i="2"/>
  <c r="I616" i="2"/>
  <c r="I804" i="2"/>
  <c r="I137" i="2"/>
  <c r="I443" i="2"/>
  <c r="I444" i="2"/>
  <c r="I617" i="2"/>
  <c r="I618" i="2"/>
  <c r="I445" i="2"/>
  <c r="I619" i="2"/>
  <c r="I138" i="2"/>
  <c r="I620" i="2"/>
  <c r="I293" i="2"/>
  <c r="I139" i="2"/>
  <c r="I294" i="2"/>
  <c r="I140" i="2"/>
  <c r="I141" i="2"/>
  <c r="I295" i="2"/>
  <c r="I446" i="2"/>
  <c r="I805" i="2"/>
  <c r="I621" i="2"/>
  <c r="I622" i="2"/>
  <c r="I447" i="2"/>
  <c r="I142" i="2"/>
  <c r="I448" i="2"/>
  <c r="I296" i="2"/>
  <c r="I806" i="2"/>
  <c r="I970" i="2"/>
  <c r="I143" i="2"/>
  <c r="I971" i="2"/>
  <c r="I449" i="2"/>
  <c r="I450" i="2"/>
  <c r="I807" i="2"/>
  <c r="I972" i="2"/>
  <c r="I973" i="2"/>
  <c r="I451" i="2"/>
  <c r="I623" i="2"/>
  <c r="I297" i="2"/>
  <c r="I974" i="2"/>
  <c r="I808" i="2"/>
  <c r="I298" i="2"/>
  <c r="I452" i="2"/>
  <c r="I809" i="2"/>
  <c r="I299" i="2"/>
  <c r="I453" i="2"/>
  <c r="I144" i="2"/>
  <c r="I810" i="2"/>
  <c r="I624" i="2"/>
  <c r="I811" i="2"/>
  <c r="I145" i="2"/>
  <c r="I454" i="2"/>
  <c r="I812" i="2"/>
  <c r="I146" i="2"/>
  <c r="I300" i="2"/>
  <c r="I813" i="2"/>
  <c r="I625" i="2"/>
  <c r="I147" i="2"/>
  <c r="I626" i="2"/>
  <c r="I814" i="2"/>
  <c r="I148" i="2"/>
  <c r="I455" i="2"/>
  <c r="I301" i="2"/>
  <c r="I302" i="2"/>
  <c r="I456" i="2"/>
  <c r="I457" i="2"/>
  <c r="I149" i="2"/>
  <c r="I627" i="2"/>
  <c r="I150" i="2"/>
  <c r="I628" i="2"/>
  <c r="I303" i="2"/>
  <c r="I151" i="2"/>
  <c r="I458" i="2"/>
  <c r="I459" i="2"/>
  <c r="I815" i="2"/>
  <c r="I629" i="2"/>
  <c r="I975" i="2"/>
  <c r="I304" i="2"/>
  <c r="I816" i="2"/>
  <c r="I460" i="2"/>
  <c r="I630" i="2"/>
  <c r="I305" i="2"/>
  <c r="I817" i="2"/>
  <c r="I976" i="2"/>
  <c r="I631" i="2"/>
  <c r="I977" i="2"/>
  <c r="I306" i="2"/>
  <c r="I632" i="2"/>
  <c r="I461" i="2"/>
  <c r="I307" i="2"/>
  <c r="I978" i="2"/>
  <c r="I308" i="2"/>
  <c r="I818" i="2"/>
  <c r="I462" i="2"/>
  <c r="I463" i="2"/>
  <c r="I819" i="2"/>
  <c r="I820" i="2"/>
  <c r="I464" i="2"/>
  <c r="I633" i="2"/>
  <c r="I309" i="2"/>
  <c r="I634" i="2"/>
  <c r="I635" i="2"/>
  <c r="I821" i="2"/>
  <c r="I979" i="2"/>
  <c r="I822" i="2"/>
  <c r="I823" i="2"/>
  <c r="I310" i="2"/>
  <c r="I152" i="2"/>
  <c r="I153" i="2"/>
  <c r="I636" i="2"/>
  <c r="I465" i="2"/>
  <c r="I980" i="2"/>
  <c r="I981" i="2"/>
  <c r="I824" i="2"/>
  <c r="I982" i="2"/>
  <c r="I311" i="2"/>
  <c r="I983" i="2"/>
  <c r="I154" i="2"/>
  <c r="I466" i="2"/>
  <c r="I312" i="2"/>
  <c r="I467" i="2"/>
  <c r="I637" i="2"/>
  <c r="I313" i="2"/>
  <c r="I468" i="2"/>
  <c r="I469" i="2"/>
  <c r="I825" i="2"/>
  <c r="I826" i="2"/>
  <c r="I984" i="2"/>
  <c r="I314" i="2"/>
  <c r="I985" i="2"/>
  <c r="I986" i="2"/>
  <c r="I638" i="2"/>
  <c r="I827" i="2"/>
  <c r="I470" i="2"/>
  <c r="I639" i="2"/>
  <c r="I987" i="2"/>
  <c r="I828" i="2"/>
  <c r="I829" i="2"/>
  <c r="I315" i="2"/>
  <c r="I640" i="2"/>
  <c r="I471" i="2"/>
  <c r="I641" i="2"/>
  <c r="I155" i="2"/>
  <c r="I316" i="2"/>
  <c r="I642" i="2"/>
  <c r="I643" i="2"/>
  <c r="I830" i="2"/>
  <c r="I988" i="2"/>
  <c r="I156" i="2"/>
  <c r="I989" i="2"/>
  <c r="I831" i="2"/>
  <c r="I317" i="2"/>
  <c r="I157" i="2"/>
  <c r="I990" i="2"/>
  <c r="I644" i="2"/>
  <c r="I158" i="2"/>
  <c r="I159" i="2"/>
  <c r="I991" i="2"/>
  <c r="I992" i="2"/>
  <c r="I318" i="2"/>
  <c r="I472" i="2"/>
  <c r="I645" i="2"/>
  <c r="I319" i="2"/>
  <c r="I832" i="2"/>
  <c r="I473" i="2"/>
  <c r="I993" i="2"/>
  <c r="I474" i="2"/>
  <c r="I646" i="2"/>
  <c r="I647" i="2"/>
  <c r="I648" i="2"/>
  <c r="I475" i="2"/>
  <c r="I833" i="2"/>
  <c r="I649" i="2"/>
  <c r="I834" i="2"/>
  <c r="I835" i="2"/>
  <c r="I476" i="2"/>
  <c r="I994" i="2"/>
  <c r="I477" i="2"/>
  <c r="I995" i="2"/>
  <c r="I478" i="2"/>
  <c r="I650" i="2"/>
  <c r="I160" i="2"/>
  <c r="I996" i="2"/>
  <c r="I320" i="2"/>
  <c r="I836" i="2"/>
  <c r="I321" i="2"/>
  <c r="I837" i="2"/>
  <c r="I161" i="2"/>
  <c r="I838" i="2"/>
  <c r="I839" i="2"/>
  <c r="I651" i="2"/>
  <c r="I997" i="2"/>
  <c r="I479" i="2"/>
  <c r="I322" i="2"/>
  <c r="I480" i="2"/>
  <c r="I162" i="2"/>
  <c r="I481" i="2"/>
  <c r="I998" i="2"/>
  <c r="I652" i="2"/>
  <c r="I840" i="2"/>
  <c r="I999" i="2"/>
  <c r="I1000" i="2"/>
  <c r="I163" i="2"/>
  <c r="I653" i="2"/>
  <c r="I164" i="2"/>
  <c r="I165" i="2"/>
  <c r="I482" i="2"/>
  <c r="I323" i="2"/>
  <c r="I166" i="2"/>
  <c r="I1001" i="2"/>
  <c r="I841" i="2"/>
  <c r="I842" i="2"/>
  <c r="I324" i="2"/>
  <c r="I167" i="2"/>
  <c r="I483" i="2"/>
  <c r="I168" i="2"/>
  <c r="I169" i="2"/>
  <c r="I2" i="2"/>
  <c r="AA7" i="2"/>
  <c r="AA9" i="2"/>
  <c r="AA12" i="2"/>
  <c r="AA13" i="2"/>
  <c r="AA16" i="2"/>
  <c r="AA28" i="2"/>
  <c r="AA30" i="2"/>
  <c r="AA36" i="2"/>
  <c r="AA46" i="2"/>
  <c r="AA51" i="2"/>
  <c r="AA53" i="2"/>
  <c r="AA55" i="2"/>
  <c r="AA57" i="2"/>
  <c r="AA58" i="2"/>
  <c r="AA62" i="2"/>
  <c r="AA68" i="2"/>
  <c r="AA69" i="2"/>
  <c r="AA73" i="2"/>
  <c r="AA82" i="2"/>
  <c r="AA84" i="2"/>
  <c r="AA97" i="2"/>
  <c r="AA98" i="2"/>
  <c r="AA106" i="2"/>
  <c r="AA107" i="2"/>
  <c r="AA109" i="2"/>
  <c r="AA112" i="2"/>
  <c r="AA118" i="2"/>
  <c r="AA119" i="2"/>
  <c r="AA122" i="2"/>
  <c r="AA124" i="2"/>
  <c r="AA127" i="2"/>
  <c r="AA128" i="2"/>
  <c r="AA132" i="2"/>
  <c r="AA133" i="2"/>
  <c r="AA135" i="2"/>
  <c r="AA138" i="2"/>
  <c r="AA141" i="2"/>
  <c r="AA143" i="2"/>
  <c r="AA159" i="2"/>
  <c r="AA161" i="2"/>
  <c r="AA165" i="2"/>
  <c r="AA173" i="2"/>
  <c r="AA176" i="2"/>
  <c r="AA178" i="2"/>
  <c r="AA179" i="2"/>
  <c r="AA191" i="2"/>
  <c r="AA193" i="2"/>
  <c r="AA203" i="2"/>
  <c r="AA211" i="2"/>
  <c r="AA224" i="2"/>
  <c r="AA226" i="2"/>
  <c r="AA228" i="2"/>
  <c r="AA231" i="2"/>
  <c r="AA235" i="2"/>
  <c r="AA240" i="2"/>
  <c r="AA242" i="2"/>
  <c r="AA245" i="2"/>
  <c r="AA251" i="2"/>
  <c r="AA254" i="2"/>
  <c r="AA262" i="2"/>
  <c r="AA270" i="2"/>
  <c r="AA284" i="2"/>
  <c r="AA286" i="2"/>
  <c r="AA287" i="2"/>
  <c r="AA291" i="2"/>
  <c r="AA299" i="2"/>
  <c r="AA302" i="2"/>
  <c r="AA304" i="2"/>
  <c r="AA306" i="2"/>
  <c r="AA315" i="2"/>
  <c r="AA318" i="2"/>
  <c r="AA320" i="2"/>
  <c r="AA325" i="2"/>
  <c r="AA326" i="2"/>
  <c r="AA329" i="2"/>
  <c r="AA333" i="2"/>
  <c r="AA336" i="2"/>
  <c r="AA338" i="2"/>
  <c r="AA339" i="2"/>
  <c r="AA340" i="2"/>
  <c r="AA341" i="2"/>
  <c r="AA345" i="2"/>
  <c r="AA347" i="2"/>
  <c r="AA355" i="2"/>
  <c r="AA356" i="2"/>
  <c r="AA357" i="2"/>
  <c r="AA359" i="2"/>
  <c r="AA361" i="2"/>
  <c r="AA362" i="2"/>
  <c r="AA369" i="2"/>
  <c r="AA374" i="2"/>
  <c r="AA375" i="2"/>
  <c r="AA377" i="2"/>
  <c r="AA380" i="2"/>
  <c r="AA382" i="2"/>
  <c r="AA383" i="2"/>
  <c r="AA386" i="2"/>
  <c r="AA389" i="2"/>
  <c r="AA390" i="2"/>
  <c r="AA394" i="2"/>
  <c r="AA398" i="2"/>
  <c r="AA401" i="2"/>
  <c r="AA403" i="2"/>
  <c r="AA409" i="2"/>
  <c r="AA414" i="2"/>
  <c r="AA415" i="2"/>
  <c r="AA417" i="2"/>
  <c r="AA418" i="2"/>
  <c r="AA419" i="2"/>
  <c r="AA433" i="2"/>
  <c r="AA437" i="2"/>
  <c r="AA439" i="2"/>
  <c r="AA442" i="2"/>
  <c r="AA452" i="2"/>
  <c r="AA455" i="2"/>
  <c r="AA456" i="2"/>
  <c r="AA457" i="2"/>
  <c r="AA459" i="2"/>
  <c r="AA461" i="2"/>
  <c r="AA464" i="2"/>
  <c r="AA467" i="2"/>
  <c r="AA468" i="2"/>
  <c r="AA469" i="2"/>
  <c r="AA470" i="2"/>
  <c r="AA472" i="2"/>
  <c r="AA473" i="2"/>
  <c r="AA474" i="2"/>
  <c r="AA477" i="2"/>
  <c r="AA480" i="2"/>
  <c r="AA483" i="2"/>
  <c r="AA484" i="2"/>
  <c r="AA485" i="2"/>
  <c r="AA486" i="2"/>
  <c r="AA493" i="2"/>
  <c r="AA495" i="2"/>
  <c r="AA504" i="2"/>
  <c r="AA505" i="2"/>
  <c r="AA506" i="2"/>
  <c r="AA511" i="2"/>
  <c r="AA512" i="2"/>
  <c r="AA523" i="2"/>
  <c r="AA527" i="2"/>
  <c r="AA531" i="2"/>
  <c r="AA539" i="2"/>
  <c r="AA540" i="2"/>
  <c r="AA541" i="2"/>
  <c r="AA546" i="2"/>
  <c r="AA548" i="2"/>
  <c r="AA549" i="2"/>
  <c r="AA550" i="2"/>
  <c r="AA551" i="2"/>
  <c r="AA552" i="2"/>
  <c r="AA553" i="2"/>
  <c r="AA554" i="2"/>
  <c r="AA562" i="2"/>
  <c r="AA565" i="2"/>
  <c r="AA569" i="2"/>
  <c r="AA572" i="2"/>
  <c r="AA583" i="2"/>
  <c r="AA586" i="2"/>
  <c r="AA587" i="2"/>
  <c r="AA590" i="2"/>
  <c r="AA598" i="2"/>
  <c r="AA599" i="2"/>
  <c r="AA603" i="2"/>
  <c r="AA605" i="2"/>
  <c r="AA608" i="2"/>
  <c r="AA610" i="2"/>
  <c r="AA614" i="2"/>
  <c r="AA615" i="2"/>
  <c r="AA617" i="2"/>
  <c r="AA621" i="2"/>
  <c r="AA625" i="2"/>
  <c r="AA626" i="2"/>
  <c r="AA627" i="2"/>
  <c r="AA629" i="2"/>
  <c r="AA630" i="2"/>
  <c r="AA634" i="2"/>
  <c r="AA639" i="2"/>
  <c r="AA641" i="2"/>
  <c r="AA653" i="2"/>
  <c r="AA654" i="2"/>
  <c r="AA656" i="2"/>
  <c r="AA657" i="2"/>
  <c r="AA666" i="2"/>
  <c r="AA668" i="2"/>
  <c r="AA682" i="2"/>
  <c r="AA687" i="2"/>
  <c r="AA688" i="2"/>
  <c r="AA691" i="2"/>
  <c r="AA694" i="2"/>
  <c r="AA700" i="2"/>
  <c r="AA705" i="2"/>
  <c r="AA706" i="2"/>
  <c r="AA712" i="2"/>
  <c r="AA713" i="2"/>
  <c r="AA716" i="2"/>
  <c r="AA717" i="2"/>
  <c r="AA718" i="2"/>
  <c r="AA727" i="2"/>
  <c r="AA741" i="2"/>
  <c r="AA749" i="2"/>
  <c r="AA751" i="2"/>
  <c r="AA752" i="2"/>
  <c r="AA755" i="2"/>
  <c r="AA756" i="2"/>
  <c r="AA761" i="2"/>
  <c r="AA769" i="2"/>
  <c r="AA773" i="2"/>
  <c r="AA774" i="2"/>
  <c r="AA775" i="2"/>
  <c r="AA776" i="2"/>
  <c r="AA777" i="2"/>
  <c r="AA778" i="2"/>
  <c r="AA780" i="2"/>
  <c r="AA782" i="2"/>
  <c r="AA787" i="2"/>
  <c r="AA791" i="2"/>
  <c r="AA792" i="2"/>
  <c r="AA798" i="2"/>
  <c r="AA809" i="2"/>
  <c r="AA811" i="2"/>
  <c r="AA813" i="2"/>
  <c r="AA817" i="2"/>
  <c r="AA820" i="2"/>
  <c r="AA821" i="2"/>
  <c r="AA824" i="2"/>
  <c r="AA825" i="2"/>
  <c r="AA827" i="2"/>
  <c r="AA828" i="2"/>
  <c r="AA835" i="2"/>
  <c r="AA838" i="2"/>
  <c r="AA853" i="2"/>
  <c r="AA857" i="2"/>
  <c r="AA861" i="2"/>
  <c r="AA869" i="2"/>
  <c r="AA871" i="2"/>
  <c r="AA875" i="2"/>
  <c r="AA883" i="2"/>
  <c r="AA885" i="2"/>
  <c r="AA887" i="2"/>
  <c r="AA888" i="2"/>
  <c r="AA895" i="2"/>
  <c r="AA902" i="2"/>
  <c r="AA903" i="2"/>
  <c r="AA909" i="2"/>
  <c r="AA910" i="2"/>
  <c r="AA911" i="2"/>
  <c r="AA914" i="2"/>
  <c r="AA919" i="2"/>
  <c r="AA926" i="2"/>
  <c r="AA929" i="2"/>
  <c r="AA932" i="2"/>
  <c r="AA934" i="2"/>
  <c r="AA938" i="2"/>
  <c r="AA940" i="2"/>
  <c r="AA944" i="2"/>
  <c r="AA948" i="2"/>
  <c r="AA951" i="2"/>
  <c r="AA953" i="2"/>
  <c r="AA954" i="2"/>
  <c r="AA958" i="2"/>
  <c r="AA959" i="2"/>
  <c r="AA960" i="2"/>
  <c r="AA962" i="2"/>
  <c r="AA976" i="2"/>
  <c r="AA980" i="2"/>
  <c r="AA987" i="2"/>
  <c r="AA992" i="2"/>
  <c r="AA993" i="2"/>
  <c r="AA997" i="2"/>
  <c r="AA1001" i="2"/>
  <c r="D37" i="6"/>
</calcChain>
</file>

<file path=xl/sharedStrings.xml><?xml version="1.0" encoding="utf-8"?>
<sst xmlns="http://schemas.openxmlformats.org/spreadsheetml/2006/main" count="35024" uniqueCount="3370">
  <si>
    <t>Sample_ID</t>
  </si>
  <si>
    <t>Patient_ID</t>
  </si>
  <si>
    <t>Gender</t>
  </si>
  <si>
    <t>Age</t>
  </si>
  <si>
    <t>Test_Type</t>
  </si>
  <si>
    <t>Specimen</t>
  </si>
  <si>
    <t>Department</t>
  </si>
  <si>
    <t>Collection_Date</t>
  </si>
  <si>
    <t>Collection_Time</t>
  </si>
  <si>
    <t>Expected_TAT_hrs</t>
  </si>
  <si>
    <t>Result_Release_Date</t>
  </si>
  <si>
    <t>Result_Release_Time</t>
  </si>
  <si>
    <t>Actual_TAT_hrs</t>
  </si>
  <si>
    <t>TAT_Status</t>
  </si>
  <si>
    <t>Sample_Status</t>
  </si>
  <si>
    <t>Rejection_Reason</t>
  </si>
  <si>
    <t>Test_Status</t>
  </si>
  <si>
    <t>Price</t>
  </si>
  <si>
    <t>Payment_Status</t>
  </si>
  <si>
    <t>Payment_Method</t>
  </si>
  <si>
    <t>Satisfaction_Rating</t>
  </si>
  <si>
    <t>Referring_Doctor</t>
  </si>
  <si>
    <t>Branch</t>
  </si>
  <si>
    <t>Technician</t>
  </si>
  <si>
    <t>Insurance_Type</t>
  </si>
  <si>
    <t>S1002</t>
  </si>
  <si>
    <t>P89024</t>
  </si>
  <si>
    <t>Male</t>
  </si>
  <si>
    <t>U&amp;E</t>
  </si>
  <si>
    <t>Blood</t>
  </si>
  <si>
    <t>Chemical Pathology</t>
  </si>
  <si>
    <t>20/04/2026</t>
  </si>
  <si>
    <t>09:02</t>
  </si>
  <si>
    <t>18:02</t>
  </si>
  <si>
    <t>Delayed</t>
  </si>
  <si>
    <t>Accepted</t>
  </si>
  <si>
    <t>Completed</t>
  </si>
  <si>
    <t>Unpaid</t>
  </si>
  <si>
    <t>Cash</t>
  </si>
  <si>
    <t>Dr Okafor</t>
  </si>
  <si>
    <t>Lekki</t>
  </si>
  <si>
    <t>Tech C</t>
  </si>
  <si>
    <t>NHIA</t>
  </si>
  <si>
    <t>S1003</t>
  </si>
  <si>
    <t>P52988</t>
  </si>
  <si>
    <t xml:space="preserve">hematology </t>
  </si>
  <si>
    <t>28/04/2026</t>
  </si>
  <si>
    <t>09:30</t>
  </si>
  <si>
    <t>22:30</t>
  </si>
  <si>
    <t>Paid</t>
  </si>
  <si>
    <t xml:space="preserve"> Transfer </t>
  </si>
  <si>
    <t>Abuja</t>
  </si>
  <si>
    <t>Tech A</t>
  </si>
  <si>
    <t>Private</t>
  </si>
  <si>
    <t>S1004</t>
  </si>
  <si>
    <t>P22335</t>
  </si>
  <si>
    <t>Female</t>
  </si>
  <si>
    <t>Malaria</t>
  </si>
  <si>
    <t>Parasitology</t>
  </si>
  <si>
    <t>15/03/2026</t>
  </si>
  <si>
    <t>11:08</t>
  </si>
  <si>
    <t>21:08</t>
  </si>
  <si>
    <t>Dr Adebayo</t>
  </si>
  <si>
    <t>S1005</t>
  </si>
  <si>
    <t>P48572</t>
  </si>
  <si>
    <t>21/06/2026</t>
  </si>
  <si>
    <t>11:20</t>
  </si>
  <si>
    <t>16:20</t>
  </si>
  <si>
    <t>On Time</t>
  </si>
  <si>
    <t>CARD</t>
  </si>
  <si>
    <t>Dr Ahmed</t>
  </si>
  <si>
    <t>HMO</t>
  </si>
  <si>
    <t>S1006</t>
  </si>
  <si>
    <t>P60596</t>
  </si>
  <si>
    <t>15/06/2026</t>
  </si>
  <si>
    <t>14:17</t>
  </si>
  <si>
    <t>21:17</t>
  </si>
  <si>
    <t>paid</t>
  </si>
  <si>
    <t>S1007</t>
  </si>
  <si>
    <t>P29322</t>
  </si>
  <si>
    <t>MALE</t>
  </si>
  <si>
    <t>Urinalysis</t>
  </si>
  <si>
    <t>Urine</t>
  </si>
  <si>
    <t>Microbiology</t>
  </si>
  <si>
    <t>24/01/2026</t>
  </si>
  <si>
    <t>13:13</t>
  </si>
  <si>
    <t>25/01/2026</t>
  </si>
  <si>
    <t>03:13</t>
  </si>
  <si>
    <t>cash</t>
  </si>
  <si>
    <t>Dr James</t>
  </si>
  <si>
    <t>S1008</t>
  </si>
  <si>
    <t>P82830</t>
  </si>
  <si>
    <t>PSA</t>
  </si>
  <si>
    <t>Immunology</t>
  </si>
  <si>
    <t>16:50</t>
  </si>
  <si>
    <t>16/03/2026</t>
  </si>
  <si>
    <t>Transfer</t>
  </si>
  <si>
    <t>S1009</t>
  </si>
  <si>
    <t>P12415</t>
  </si>
  <si>
    <t>01/05/2026</t>
  </si>
  <si>
    <t>14:18</t>
  </si>
  <si>
    <t>02/05/2026</t>
  </si>
  <si>
    <t>03:18</t>
  </si>
  <si>
    <t>Ikeja</t>
  </si>
  <si>
    <t>S1010</t>
  </si>
  <si>
    <t>P98262</t>
  </si>
  <si>
    <t>31/03/2026</t>
  </si>
  <si>
    <t>14:37</t>
  </si>
  <si>
    <t>18:37</t>
  </si>
  <si>
    <t>Tech B</t>
  </si>
  <si>
    <t>S1011</t>
  </si>
  <si>
    <t>P10531</t>
  </si>
  <si>
    <t>10/05/2026</t>
  </si>
  <si>
    <t>15:51</t>
  </si>
  <si>
    <t>11/05/2026</t>
  </si>
  <si>
    <t>23:51</t>
  </si>
  <si>
    <t>S1012</t>
  </si>
  <si>
    <t>P65040</t>
  </si>
  <si>
    <t>10/01/2026</t>
  </si>
  <si>
    <t>10:40</t>
  </si>
  <si>
    <t>21:40</t>
  </si>
  <si>
    <t>S1013</t>
  </si>
  <si>
    <t>P58877</t>
  </si>
  <si>
    <t>07/02/2026</t>
  </si>
  <si>
    <t>08:32</t>
  </si>
  <si>
    <t>15:32</t>
  </si>
  <si>
    <t>S1014</t>
  </si>
  <si>
    <t>P61630</t>
  </si>
  <si>
    <t>16/04/2026</t>
  </si>
  <si>
    <t>14:14</t>
  </si>
  <si>
    <t>17/04/2026</t>
  </si>
  <si>
    <t>21:14</t>
  </si>
  <si>
    <t>Pending</t>
  </si>
  <si>
    <t>S1015</t>
  </si>
  <si>
    <t>P52587</t>
  </si>
  <si>
    <t>05/03/2026</t>
  </si>
  <si>
    <t>14:25</t>
  </si>
  <si>
    <t>21:25</t>
  </si>
  <si>
    <t>S1016</t>
  </si>
  <si>
    <t>P59283</t>
  </si>
  <si>
    <t>15:03</t>
  </si>
  <si>
    <t>08/02/2026</t>
  </si>
  <si>
    <t>20:03</t>
  </si>
  <si>
    <t>S1017</t>
  </si>
  <si>
    <t>P75866</t>
  </si>
  <si>
    <t>09:56</t>
  </si>
  <si>
    <t>23:56</t>
  </si>
  <si>
    <t>S1018</t>
  </si>
  <si>
    <t>P31544</t>
  </si>
  <si>
    <t>LFT</t>
  </si>
  <si>
    <t>MicroBiology</t>
  </si>
  <si>
    <t>22/04/2026</t>
  </si>
  <si>
    <t>15:31</t>
  </si>
  <si>
    <t>23/04/2026</t>
  </si>
  <si>
    <t>00:31</t>
  </si>
  <si>
    <t>S1019</t>
  </si>
  <si>
    <t>P20575</t>
  </si>
  <si>
    <t>12:49</t>
  </si>
  <si>
    <t>01:49</t>
  </si>
  <si>
    <t>S1020</t>
  </si>
  <si>
    <t>P40596</t>
  </si>
  <si>
    <t>24/02/2026</t>
  </si>
  <si>
    <t>09:12</t>
  </si>
  <si>
    <t>17:12</t>
  </si>
  <si>
    <t>Card</t>
  </si>
  <si>
    <t>Main</t>
  </si>
  <si>
    <t>S1021</t>
  </si>
  <si>
    <t>P30518</t>
  </si>
  <si>
    <t>Hematology</t>
  </si>
  <si>
    <t>07:51</t>
  </si>
  <si>
    <t>17:51</t>
  </si>
  <si>
    <t>S1022</t>
  </si>
  <si>
    <t>P63281</t>
  </si>
  <si>
    <t>FBC</t>
  </si>
  <si>
    <t>05/04/2026</t>
  </si>
  <si>
    <t>07:46</t>
  </si>
  <si>
    <t>16:46</t>
  </si>
  <si>
    <t>S1023</t>
  </si>
  <si>
    <t>P23516</t>
  </si>
  <si>
    <t>07/06/2026</t>
  </si>
  <si>
    <t>07:22</t>
  </si>
  <si>
    <t>19:22</t>
  </si>
  <si>
    <t>S1024</t>
  </si>
  <si>
    <t>P94670</t>
  </si>
  <si>
    <t>14/01/2026</t>
  </si>
  <si>
    <t>07:19</t>
  </si>
  <si>
    <t>19:19</t>
  </si>
  <si>
    <t>S1025</t>
  </si>
  <si>
    <t>P97044</t>
  </si>
  <si>
    <t>20/03/2026</t>
  </si>
  <si>
    <t>11:18</t>
  </si>
  <si>
    <t>20:18</t>
  </si>
  <si>
    <t>S1026</t>
  </si>
  <si>
    <t>P52958</t>
  </si>
  <si>
    <t>09/05/2026</t>
  </si>
  <si>
    <t>10:39</t>
  </si>
  <si>
    <t>14:39</t>
  </si>
  <si>
    <t>S1027</t>
  </si>
  <si>
    <t>P13278</t>
  </si>
  <si>
    <t>08/05/2026</t>
  </si>
  <si>
    <t>14:35</t>
  </si>
  <si>
    <t>02:35</t>
  </si>
  <si>
    <t>S1028</t>
  </si>
  <si>
    <t>P57405</t>
  </si>
  <si>
    <t>female</t>
  </si>
  <si>
    <t>06/05/2026</t>
  </si>
  <si>
    <t>11:13</t>
  </si>
  <si>
    <t>07/05/2026</t>
  </si>
  <si>
    <t>00:13</t>
  </si>
  <si>
    <t>S1029</t>
  </si>
  <si>
    <t>P58857</t>
  </si>
  <si>
    <t>19/02/2026</t>
  </si>
  <si>
    <t>13:58</t>
  </si>
  <si>
    <t>20/02/2026</t>
  </si>
  <si>
    <t>17:58</t>
  </si>
  <si>
    <t>S1030</t>
  </si>
  <si>
    <t>P80276</t>
  </si>
  <si>
    <t>31/01/2026</t>
  </si>
  <si>
    <t>07:47</t>
  </si>
  <si>
    <t>16:47</t>
  </si>
  <si>
    <t>S1031</t>
  </si>
  <si>
    <t>P41510</t>
  </si>
  <si>
    <t>26/04/2026</t>
  </si>
  <si>
    <t>16:31</t>
  </si>
  <si>
    <t>27/04/2026</t>
  </si>
  <si>
    <t>19:31</t>
  </si>
  <si>
    <t>S1032</t>
  </si>
  <si>
    <t>P60292</t>
  </si>
  <si>
    <t>07:30</t>
  </si>
  <si>
    <t>12:30</t>
  </si>
  <si>
    <t>S1033</t>
  </si>
  <si>
    <t>P79910</t>
  </si>
  <si>
    <t>19/05/2026</t>
  </si>
  <si>
    <t>08:03</t>
  </si>
  <si>
    <t>S1034</t>
  </si>
  <si>
    <t>P87899</t>
  </si>
  <si>
    <t>12/03/2026</t>
  </si>
  <si>
    <t>11:46</t>
  </si>
  <si>
    <t>23:46</t>
  </si>
  <si>
    <t>S1035</t>
  </si>
  <si>
    <t>P43757</t>
  </si>
  <si>
    <t>10:51</t>
  </si>
  <si>
    <t>16:51</t>
  </si>
  <si>
    <t>S1036</t>
  </si>
  <si>
    <t>P98698</t>
  </si>
  <si>
    <t>28/02/2026</t>
  </si>
  <si>
    <t>15:13</t>
  </si>
  <si>
    <t>01/03/2026</t>
  </si>
  <si>
    <t>01:13</t>
  </si>
  <si>
    <t>S1037</t>
  </si>
  <si>
    <t>P41968</t>
  </si>
  <si>
    <t>23/03/2026</t>
  </si>
  <si>
    <t>16:25</t>
  </si>
  <si>
    <t>24/03/2026</t>
  </si>
  <si>
    <t>02:25</t>
  </si>
  <si>
    <t>S1038</t>
  </si>
  <si>
    <t>P44010</t>
  </si>
  <si>
    <t>15:50</t>
  </si>
  <si>
    <t>12/05/2026</t>
  </si>
  <si>
    <t>04:50</t>
  </si>
  <si>
    <t>S1039</t>
  </si>
  <si>
    <t>P72768</t>
  </si>
  <si>
    <t>09/04/2026</t>
  </si>
  <si>
    <t>12:38</t>
  </si>
  <si>
    <t>21:38</t>
  </si>
  <si>
    <t>S1040</t>
  </si>
  <si>
    <t>P75863</t>
  </si>
  <si>
    <t>14/04/2026</t>
  </si>
  <si>
    <t>15:47</t>
  </si>
  <si>
    <t>22:47</t>
  </si>
  <si>
    <t>Rejected</t>
  </si>
  <si>
    <t>Hemolyzed</t>
  </si>
  <si>
    <t>S1041</t>
  </si>
  <si>
    <t>P77918</t>
  </si>
  <si>
    <t>06/06/2026</t>
  </si>
  <si>
    <t>14:47</t>
  </si>
  <si>
    <t>S1042</t>
  </si>
  <si>
    <t>P60461</t>
  </si>
  <si>
    <t>09/02/2026</t>
  </si>
  <si>
    <t>10:17</t>
  </si>
  <si>
    <t>22:17</t>
  </si>
  <si>
    <t>S1043</t>
  </si>
  <si>
    <t>P89960</t>
  </si>
  <si>
    <t>15:35</t>
  </si>
  <si>
    <t>23:35</t>
  </si>
  <si>
    <t>S1044</t>
  </si>
  <si>
    <t>P62357</t>
  </si>
  <si>
    <t>26/01/2026</t>
  </si>
  <si>
    <t>09:11</t>
  </si>
  <si>
    <t>18:11</t>
  </si>
  <si>
    <t>S1045</t>
  </si>
  <si>
    <t>15/04/2026</t>
  </si>
  <si>
    <t>08:47</t>
  </si>
  <si>
    <t>20:47</t>
  </si>
  <si>
    <t>S1046</t>
  </si>
  <si>
    <t>P13666</t>
  </si>
  <si>
    <t>08:41</t>
  </si>
  <si>
    <t>21:41</t>
  </si>
  <si>
    <t>S1047</t>
  </si>
  <si>
    <t>P17405</t>
  </si>
  <si>
    <t>17/06/2026</t>
  </si>
  <si>
    <t>13:30</t>
  </si>
  <si>
    <t>16:30</t>
  </si>
  <si>
    <t>S1048</t>
  </si>
  <si>
    <t>P68644</t>
  </si>
  <si>
    <t>27/06/2026</t>
  </si>
  <si>
    <t>13:12</t>
  </si>
  <si>
    <t>21:12</t>
  </si>
  <si>
    <t>S1049</t>
  </si>
  <si>
    <t>P58825</t>
  </si>
  <si>
    <t>10:11</t>
  </si>
  <si>
    <t>15:11</t>
  </si>
  <si>
    <t>S1050</t>
  </si>
  <si>
    <t>P14845</t>
  </si>
  <si>
    <t>03/06/2026</t>
  </si>
  <si>
    <t>10:49</t>
  </si>
  <si>
    <t>16:49</t>
  </si>
  <si>
    <t>S1051</t>
  </si>
  <si>
    <t>P55238</t>
  </si>
  <si>
    <t>02/04/2026</t>
  </si>
  <si>
    <t>08:11</t>
  </si>
  <si>
    <t>S1052</t>
  </si>
  <si>
    <t>P48776</t>
  </si>
  <si>
    <t>18/06/2026</t>
  </si>
  <si>
    <t>15:23</t>
  </si>
  <si>
    <t>19/06/2026</t>
  </si>
  <si>
    <t>01:23</t>
  </si>
  <si>
    <t>S1053</t>
  </si>
  <si>
    <t>P72655</t>
  </si>
  <si>
    <t>29/03/2026</t>
  </si>
  <si>
    <t>08:46</t>
  </si>
  <si>
    <t>S1054</t>
  </si>
  <si>
    <t>P44811</t>
  </si>
  <si>
    <t>10/04/2026</t>
  </si>
  <si>
    <t>08:51</t>
  </si>
  <si>
    <t>S1055</t>
  </si>
  <si>
    <t>P63749</t>
  </si>
  <si>
    <t>16/05/2026</t>
  </si>
  <si>
    <t>17/05/2026</t>
  </si>
  <si>
    <t>03:20</t>
  </si>
  <si>
    <t>S1056</t>
  </si>
  <si>
    <t>P95561</t>
  </si>
  <si>
    <t>28/01/2026</t>
  </si>
  <si>
    <t>12:01</t>
  </si>
  <si>
    <t>29/01/2026</t>
  </si>
  <si>
    <t>03:01</t>
  </si>
  <si>
    <t>S1057</t>
  </si>
  <si>
    <t>P81426</t>
  </si>
  <si>
    <t>22/02/2026</t>
  </si>
  <si>
    <t>08:36</t>
  </si>
  <si>
    <t>22:36</t>
  </si>
  <si>
    <t>S1058</t>
  </si>
  <si>
    <t>P79834</t>
  </si>
  <si>
    <t>20/05/2026</t>
  </si>
  <si>
    <t>14:54</t>
  </si>
  <si>
    <t>21/05/2026</t>
  </si>
  <si>
    <t>04:54</t>
  </si>
  <si>
    <t>S1059</t>
  </si>
  <si>
    <t>P70532</t>
  </si>
  <si>
    <t>12:05</t>
  </si>
  <si>
    <t>17:05</t>
  </si>
  <si>
    <t>S1060</t>
  </si>
  <si>
    <t>P32907</t>
  </si>
  <si>
    <t>24/06/2026</t>
  </si>
  <si>
    <t>07:15</t>
  </si>
  <si>
    <t>25/06/2026</t>
  </si>
  <si>
    <t>06:15</t>
  </si>
  <si>
    <t>S1061</t>
  </si>
  <si>
    <t>P55771</t>
  </si>
  <si>
    <t>01/06/2026</t>
  </si>
  <si>
    <t>09:28</t>
  </si>
  <si>
    <t>18:28</t>
  </si>
  <si>
    <t>S1062</t>
  </si>
  <si>
    <t>P63103</t>
  </si>
  <si>
    <t>16:52</t>
  </si>
  <si>
    <t>10/02/2026</t>
  </si>
  <si>
    <t>02:52</t>
  </si>
  <si>
    <t>S1063</t>
  </si>
  <si>
    <t>P77346</t>
  </si>
  <si>
    <t>01/02/2026</t>
  </si>
  <si>
    <t>07:21</t>
  </si>
  <si>
    <t>22:21</t>
  </si>
  <si>
    <t>S1064</t>
  </si>
  <si>
    <t>P70542</t>
  </si>
  <si>
    <t>13/04/2026</t>
  </si>
  <si>
    <t>22:18</t>
  </si>
  <si>
    <t>S1065</t>
  </si>
  <si>
    <t>P85767</t>
  </si>
  <si>
    <t>24/05/2026</t>
  </si>
  <si>
    <t>10:03</t>
  </si>
  <si>
    <t>18:03</t>
  </si>
  <si>
    <t>Insufficient Sample</t>
  </si>
  <si>
    <t>S1066</t>
  </si>
  <si>
    <t>P34505</t>
  </si>
  <si>
    <t>05/02/2026</t>
  </si>
  <si>
    <t>15:05</t>
  </si>
  <si>
    <t>06/02/2026</t>
  </si>
  <si>
    <t>02:05</t>
  </si>
  <si>
    <t>S1067</t>
  </si>
  <si>
    <t>P55230</t>
  </si>
  <si>
    <t>09/06/2026</t>
  </si>
  <si>
    <t>07:08</t>
  </si>
  <si>
    <t>19:08</t>
  </si>
  <si>
    <t>S1068</t>
  </si>
  <si>
    <t>P60563</t>
  </si>
  <si>
    <t>18/04/2026</t>
  </si>
  <si>
    <t>12:29</t>
  </si>
  <si>
    <t>19/04/2026</t>
  </si>
  <si>
    <t>00:29</t>
  </si>
  <si>
    <t>S1069</t>
  </si>
  <si>
    <t>P92964</t>
  </si>
  <si>
    <t>11/04/2026</t>
  </si>
  <si>
    <t>14:23</t>
  </si>
  <si>
    <t>12/04/2026</t>
  </si>
  <si>
    <t>03:23</t>
  </si>
  <si>
    <t>S1070</t>
  </si>
  <si>
    <t>P63263</t>
  </si>
  <si>
    <t>10:00</t>
  </si>
  <si>
    <t>19:00</t>
  </si>
  <si>
    <t>S1071</t>
  </si>
  <si>
    <t>P77754</t>
  </si>
  <si>
    <t>30/03/2026</t>
  </si>
  <si>
    <t>11:52</t>
  </si>
  <si>
    <t>20:52</t>
  </si>
  <si>
    <t>S1072</t>
  </si>
  <si>
    <t>P14264</t>
  </si>
  <si>
    <t>14:42</t>
  </si>
  <si>
    <t>02/06/2026</t>
  </si>
  <si>
    <t>04:42</t>
  </si>
  <si>
    <t>S1073</t>
  </si>
  <si>
    <t>P51043</t>
  </si>
  <si>
    <t>04/01/2026</t>
  </si>
  <si>
    <t>12:36</t>
  </si>
  <si>
    <t>05/01/2026</t>
  </si>
  <si>
    <t>15:36</t>
  </si>
  <si>
    <t>S1074</t>
  </si>
  <si>
    <t>P99134</t>
  </si>
  <si>
    <t>08/04/2026</t>
  </si>
  <si>
    <t>14:00</t>
  </si>
  <si>
    <t>20:00</t>
  </si>
  <si>
    <t>S1075</t>
  </si>
  <si>
    <t>P92159</t>
  </si>
  <si>
    <t>04/04/2026</t>
  </si>
  <si>
    <t>21:05</t>
  </si>
  <si>
    <t>S1076</t>
  </si>
  <si>
    <t>P84591</t>
  </si>
  <si>
    <t>30/01/2026</t>
  </si>
  <si>
    <t>07:42</t>
  </si>
  <si>
    <t>09:42</t>
  </si>
  <si>
    <t>S1077</t>
  </si>
  <si>
    <t>P57025</t>
  </si>
  <si>
    <t>21/02/2026</t>
  </si>
  <si>
    <t>09:18</t>
  </si>
  <si>
    <t>23:18</t>
  </si>
  <si>
    <t>S1078</t>
  </si>
  <si>
    <t>P58070</t>
  </si>
  <si>
    <t>16:41</t>
  </si>
  <si>
    <t>05:41</t>
  </si>
  <si>
    <t>S1079</t>
  </si>
  <si>
    <t>P49088</t>
  </si>
  <si>
    <t>07:14</t>
  </si>
  <si>
    <t>17:14</t>
  </si>
  <si>
    <t>S1080</t>
  </si>
  <si>
    <t>P83818</t>
  </si>
  <si>
    <t>17/02/2026</t>
  </si>
  <si>
    <t>09:53</t>
  </si>
  <si>
    <t>11:53</t>
  </si>
  <si>
    <t>S1081</t>
  </si>
  <si>
    <t>P39776</t>
  </si>
  <si>
    <t>08:38</t>
  </si>
  <si>
    <t>07:38</t>
  </si>
  <si>
    <t>S1082</t>
  </si>
  <si>
    <t>P12531</t>
  </si>
  <si>
    <t>13/03/2026</t>
  </si>
  <si>
    <t>16:39</t>
  </si>
  <si>
    <t>14/03/2026</t>
  </si>
  <si>
    <t>07:39</t>
  </si>
  <si>
    <t>S1083</t>
  </si>
  <si>
    <t>P60240</t>
  </si>
  <si>
    <t>16:18</t>
  </si>
  <si>
    <t>S1084</t>
  </si>
  <si>
    <t>P29648</t>
  </si>
  <si>
    <t>09/01/2026</t>
  </si>
  <si>
    <t>08:05</t>
  </si>
  <si>
    <t>S1085</t>
  </si>
  <si>
    <t>P74749</t>
  </si>
  <si>
    <t>12:19</t>
  </si>
  <si>
    <t>20:19</t>
  </si>
  <si>
    <t>S1086</t>
  </si>
  <si>
    <t>P91443</t>
  </si>
  <si>
    <t>03/03/2026</t>
  </si>
  <si>
    <t>09:22</t>
  </si>
  <si>
    <t>04/03/2026</t>
  </si>
  <si>
    <t>08:22</t>
  </si>
  <si>
    <t>S1087</t>
  </si>
  <si>
    <t>P33042</t>
  </si>
  <si>
    <t>14:29</t>
  </si>
  <si>
    <t>22:29</t>
  </si>
  <si>
    <t>S1088</t>
  </si>
  <si>
    <t>P50089</t>
  </si>
  <si>
    <t>21/04/2026</t>
  </si>
  <si>
    <t>07:23</t>
  </si>
  <si>
    <t>12:23</t>
  </si>
  <si>
    <t>S1089</t>
  </si>
  <si>
    <t>P89051</t>
  </si>
  <si>
    <t>07:34</t>
  </si>
  <si>
    <t>10:34</t>
  </si>
  <si>
    <t>S1090</t>
  </si>
  <si>
    <t>P52526</t>
  </si>
  <si>
    <t>12:10</t>
  </si>
  <si>
    <t>01:10</t>
  </si>
  <si>
    <t>S1091</t>
  </si>
  <si>
    <t>P98824</t>
  </si>
  <si>
    <t>23/06/2026</t>
  </si>
  <si>
    <t>10:06</t>
  </si>
  <si>
    <t>19:06</t>
  </si>
  <si>
    <t>S1092</t>
  </si>
  <si>
    <t>P10123</t>
  </si>
  <si>
    <t>15:56</t>
  </si>
  <si>
    <t>19:56</t>
  </si>
  <si>
    <t>S1093</t>
  </si>
  <si>
    <t>P13974</t>
  </si>
  <si>
    <t>12:48</t>
  </si>
  <si>
    <t>20:48</t>
  </si>
  <si>
    <t>S1094</t>
  </si>
  <si>
    <t>P98298</t>
  </si>
  <si>
    <t>23/02/2026</t>
  </si>
  <si>
    <t>10:16</t>
  </si>
  <si>
    <t>21:16</t>
  </si>
  <si>
    <t>S1095</t>
  </si>
  <si>
    <t>P42120</t>
  </si>
  <si>
    <t>11:29</t>
  </si>
  <si>
    <t>19:29</t>
  </si>
  <si>
    <t>S1096</t>
  </si>
  <si>
    <t>P30282</t>
  </si>
  <si>
    <t>S1097</t>
  </si>
  <si>
    <t>P71510</t>
  </si>
  <si>
    <t>26/06/2026</t>
  </si>
  <si>
    <t>14:22</t>
  </si>
  <si>
    <t>17:22</t>
  </si>
  <si>
    <t>S1098</t>
  </si>
  <si>
    <t>P87495</t>
  </si>
  <si>
    <t>26/03/2026</t>
  </si>
  <si>
    <t>16:06</t>
  </si>
  <si>
    <t>27/03/2026</t>
  </si>
  <si>
    <t>05:06</t>
  </si>
  <si>
    <t>S1099</t>
  </si>
  <si>
    <t>P26915</t>
  </si>
  <si>
    <t>21:53</t>
  </si>
  <si>
    <t>S1100</t>
  </si>
  <si>
    <t>P94265</t>
  </si>
  <si>
    <t>13:07</t>
  </si>
  <si>
    <t>01:07</t>
  </si>
  <si>
    <t>S1101</t>
  </si>
  <si>
    <t>P10264</t>
  </si>
  <si>
    <t>09:44</t>
  </si>
  <si>
    <t>06/04/2026</t>
  </si>
  <si>
    <t>16:44</t>
  </si>
  <si>
    <t>S1102</t>
  </si>
  <si>
    <t>P93045</t>
  </si>
  <si>
    <t>04/06/2026</t>
  </si>
  <si>
    <t>10:28</t>
  </si>
  <si>
    <t>19:28</t>
  </si>
  <si>
    <t>S1103</t>
  </si>
  <si>
    <t>P98437</t>
  </si>
  <si>
    <t>20:17</t>
  </si>
  <si>
    <t>S1104</t>
  </si>
  <si>
    <t>P20133</t>
  </si>
  <si>
    <t>15:07</t>
  </si>
  <si>
    <t>22:07</t>
  </si>
  <si>
    <t>S1105</t>
  </si>
  <si>
    <t>P22339</t>
  </si>
  <si>
    <t>16/06/2026</t>
  </si>
  <si>
    <t>07:13</t>
  </si>
  <si>
    <t>19:13</t>
  </si>
  <si>
    <t>S1106</t>
  </si>
  <si>
    <t>P62762</t>
  </si>
  <si>
    <t>11/03/2026</t>
  </si>
  <si>
    <t>16:27</t>
  </si>
  <si>
    <t>00:27</t>
  </si>
  <si>
    <t>S1107</t>
  </si>
  <si>
    <t>P24950</t>
  </si>
  <si>
    <t>30/06/2026</t>
  </si>
  <si>
    <t>19:53</t>
  </si>
  <si>
    <t>S1108</t>
  </si>
  <si>
    <t>P12072</t>
  </si>
  <si>
    <t>02/03/2026</t>
  </si>
  <si>
    <t>14:45</t>
  </si>
  <si>
    <t>23:45</t>
  </si>
  <si>
    <t>S1109</t>
  </si>
  <si>
    <t>P97402</t>
  </si>
  <si>
    <t>15:54</t>
  </si>
  <si>
    <t>00:54</t>
  </si>
  <si>
    <t>S1110</t>
  </si>
  <si>
    <t>P65833</t>
  </si>
  <si>
    <t>03/01/2026</t>
  </si>
  <si>
    <t>13:59</t>
  </si>
  <si>
    <t>23:59</t>
  </si>
  <si>
    <t>S1111</t>
  </si>
  <si>
    <t>P51404</t>
  </si>
  <si>
    <t>08/03/2026</t>
  </si>
  <si>
    <t>07:48</t>
  </si>
  <si>
    <t>09/03/2026</t>
  </si>
  <si>
    <t>06:48</t>
  </si>
  <si>
    <t>S1112</t>
  </si>
  <si>
    <t>P34005</t>
  </si>
  <si>
    <t>10:30</t>
  </si>
  <si>
    <t>21:30</t>
  </si>
  <si>
    <t>S1113</t>
  </si>
  <si>
    <t>P62447</t>
  </si>
  <si>
    <t>15:01</t>
  </si>
  <si>
    <t>22:01</t>
  </si>
  <si>
    <t>S1114</t>
  </si>
  <si>
    <t>P86084</t>
  </si>
  <si>
    <t>13:42</t>
  </si>
  <si>
    <t>18/05/2026</t>
  </si>
  <si>
    <t>20:42</t>
  </si>
  <si>
    <t>S1115</t>
  </si>
  <si>
    <t>P76450</t>
  </si>
  <si>
    <t>13:41</t>
  </si>
  <si>
    <t>Wrong Container</t>
  </si>
  <si>
    <t>S1116</t>
  </si>
  <si>
    <t>P40554</t>
  </si>
  <si>
    <t>16:13</t>
  </si>
  <si>
    <t>S1117</t>
  </si>
  <si>
    <t>P36489</t>
  </si>
  <si>
    <t>11:51</t>
  </si>
  <si>
    <t>22:51</t>
  </si>
  <si>
    <t>S1118</t>
  </si>
  <si>
    <t>P42911</t>
  </si>
  <si>
    <t>19:14</t>
  </si>
  <si>
    <t>S1119</t>
  </si>
  <si>
    <t>P77161</t>
  </si>
  <si>
    <t>15:52</t>
  </si>
  <si>
    <t>04:52</t>
  </si>
  <si>
    <t>S1120</t>
  </si>
  <si>
    <t>P99040</t>
  </si>
  <si>
    <t>16:03</t>
  </si>
  <si>
    <t>17:03</t>
  </si>
  <si>
    <t>S1121</t>
  </si>
  <si>
    <t>P11015</t>
  </si>
  <si>
    <t>16/02/2026</t>
  </si>
  <si>
    <t>12:03</t>
  </si>
  <si>
    <t>S1122</t>
  </si>
  <si>
    <t>P16205</t>
  </si>
  <si>
    <t>15:38</t>
  </si>
  <si>
    <t>S1123</t>
  </si>
  <si>
    <t>P34623</t>
  </si>
  <si>
    <t>13:18</t>
  </si>
  <si>
    <t>S1124</t>
  </si>
  <si>
    <t>P75454</t>
  </si>
  <si>
    <t>16:10</t>
  </si>
  <si>
    <t>10/06/2026</t>
  </si>
  <si>
    <t>02:10</t>
  </si>
  <si>
    <t>S1125</t>
  </si>
  <si>
    <t>P87247</t>
  </si>
  <si>
    <t>14:02</t>
  </si>
  <si>
    <t>21:02</t>
  </si>
  <si>
    <t>S1126</t>
  </si>
  <si>
    <t>P90444</t>
  </si>
  <si>
    <t>10:14</t>
  </si>
  <si>
    <t>18:14</t>
  </si>
  <si>
    <t>S1127</t>
  </si>
  <si>
    <t>P79609</t>
  </si>
  <si>
    <t>10:25</t>
  </si>
  <si>
    <t>23:25</t>
  </si>
  <si>
    <t>S1128</t>
  </si>
  <si>
    <t>P99459</t>
  </si>
  <si>
    <t>23/01/2026</t>
  </si>
  <si>
    <t>09:13</t>
  </si>
  <si>
    <t>S1129</t>
  </si>
  <si>
    <t>P94654</t>
  </si>
  <si>
    <t>02:27</t>
  </si>
  <si>
    <t>S1130</t>
  </si>
  <si>
    <t>P85696</t>
  </si>
  <si>
    <t>14:28</t>
  </si>
  <si>
    <t>13:28</t>
  </si>
  <si>
    <t>Clotted Sample</t>
  </si>
  <si>
    <t>S1131</t>
  </si>
  <si>
    <t>P71470</t>
  </si>
  <si>
    <t>22/06/2026</t>
  </si>
  <si>
    <t>09:06</t>
  </si>
  <si>
    <t>13:06</t>
  </si>
  <si>
    <t>S1132</t>
  </si>
  <si>
    <t>P49608</t>
  </si>
  <si>
    <t>26/05/2026</t>
  </si>
  <si>
    <t>09:31</t>
  </si>
  <si>
    <t>S1133</t>
  </si>
  <si>
    <t>P57419</t>
  </si>
  <si>
    <t>07:26</t>
  </si>
  <si>
    <t>12:26</t>
  </si>
  <si>
    <t>S1134</t>
  </si>
  <si>
    <t>P67489</t>
  </si>
  <si>
    <t>23:10</t>
  </si>
  <si>
    <t>S1135</t>
  </si>
  <si>
    <t>P70785</t>
  </si>
  <si>
    <t>09:26</t>
  </si>
  <si>
    <t>01:26</t>
  </si>
  <si>
    <t>S1136</t>
  </si>
  <si>
    <t>P31955</t>
  </si>
  <si>
    <t>06/03/2026</t>
  </si>
  <si>
    <t>S1137</t>
  </si>
  <si>
    <t>P53413</t>
  </si>
  <si>
    <t>11:34</t>
  </si>
  <si>
    <t>14:34</t>
  </si>
  <si>
    <t>S1138</t>
  </si>
  <si>
    <t>P92893</t>
  </si>
  <si>
    <t>14/02/2026</t>
  </si>
  <si>
    <t>13:09</t>
  </si>
  <si>
    <t>18:09</t>
  </si>
  <si>
    <t>S1139</t>
  </si>
  <si>
    <t>P97385</t>
  </si>
  <si>
    <t>07/03/2026</t>
  </si>
  <si>
    <t>23:11</t>
  </si>
  <si>
    <t>S1140</t>
  </si>
  <si>
    <t>P68239</t>
  </si>
  <si>
    <t>19:35</t>
  </si>
  <si>
    <t>S1141</t>
  </si>
  <si>
    <t>P37743</t>
  </si>
  <si>
    <t>10:41</t>
  </si>
  <si>
    <t>17:41</t>
  </si>
  <si>
    <t>S1142</t>
  </si>
  <si>
    <t>P98219</t>
  </si>
  <si>
    <t>13/01/2026</t>
  </si>
  <si>
    <t>08:04</t>
  </si>
  <si>
    <t>16:04</t>
  </si>
  <si>
    <t>S1143</t>
  </si>
  <si>
    <t>P46852</t>
  </si>
  <si>
    <t>17/01/2026</t>
  </si>
  <si>
    <t>10:53</t>
  </si>
  <si>
    <t>18/01/2026</t>
  </si>
  <si>
    <t>02:53</t>
  </si>
  <si>
    <t>S1144</t>
  </si>
  <si>
    <t>P75673</t>
  </si>
  <si>
    <t>09:38</t>
  </si>
  <si>
    <t>S1145</t>
  </si>
  <si>
    <t>P12789</t>
  </si>
  <si>
    <t>23:07</t>
  </si>
  <si>
    <t>S1146</t>
  </si>
  <si>
    <t>P67083</t>
  </si>
  <si>
    <t>18:46</t>
  </si>
  <si>
    <t>S1147</t>
  </si>
  <si>
    <t>P81676</t>
  </si>
  <si>
    <t>12:47</t>
  </si>
  <si>
    <t>03:47</t>
  </si>
  <si>
    <t>S1148</t>
  </si>
  <si>
    <t>P71606</t>
  </si>
  <si>
    <t>07:05</t>
  </si>
  <si>
    <t>S1149</t>
  </si>
  <si>
    <t>P25157</t>
  </si>
  <si>
    <t>17:59</t>
  </si>
  <si>
    <t>S1150</t>
  </si>
  <si>
    <t>P54382</t>
  </si>
  <si>
    <t>16:05</t>
  </si>
  <si>
    <t>00:05</t>
  </si>
  <si>
    <t>S1151</t>
  </si>
  <si>
    <t>P35687</t>
  </si>
  <si>
    <t>S1152</t>
  </si>
  <si>
    <t>P29479</t>
  </si>
  <si>
    <t>22:22</t>
  </si>
  <si>
    <t>S1153</t>
  </si>
  <si>
    <t>P15439</t>
  </si>
  <si>
    <t>08/01/2026</t>
  </si>
  <si>
    <t>12:21</t>
  </si>
  <si>
    <t>17:21</t>
  </si>
  <si>
    <t>S1154</t>
  </si>
  <si>
    <t>P49313</t>
  </si>
  <si>
    <t>13:57</t>
  </si>
  <si>
    <t>16:57</t>
  </si>
  <si>
    <t>S1155</t>
  </si>
  <si>
    <t>P60091</t>
  </si>
  <si>
    <t>13:34</t>
  </si>
  <si>
    <t>20:34</t>
  </si>
  <si>
    <t>S1156</t>
  </si>
  <si>
    <t>P31511</t>
  </si>
  <si>
    <t>02:21</t>
  </si>
  <si>
    <t>S1157</t>
  </si>
  <si>
    <t>P10189</t>
  </si>
  <si>
    <t>27/05/2026</t>
  </si>
  <si>
    <t>13:53</t>
  </si>
  <si>
    <t>28/05/2026</t>
  </si>
  <si>
    <t>00:53</t>
  </si>
  <si>
    <t>S1158</t>
  </si>
  <si>
    <t>P11386</t>
  </si>
  <si>
    <t>28/03/2026</t>
  </si>
  <si>
    <t>15:02</t>
  </si>
  <si>
    <t>19:02</t>
  </si>
  <si>
    <t>S1159</t>
  </si>
  <si>
    <t>P26904</t>
  </si>
  <si>
    <t>07:18</t>
  </si>
  <si>
    <t>S1160</t>
  </si>
  <si>
    <t>P63741</t>
  </si>
  <si>
    <t>12:37</t>
  </si>
  <si>
    <t>20:37</t>
  </si>
  <si>
    <t>S1161</t>
  </si>
  <si>
    <t>P63933</t>
  </si>
  <si>
    <t>07:40</t>
  </si>
  <si>
    <t>S1162</t>
  </si>
  <si>
    <t>P23062</t>
  </si>
  <si>
    <t>11:12</t>
  </si>
  <si>
    <t>19:12</t>
  </si>
  <si>
    <t>S1163</t>
  </si>
  <si>
    <t>P96204</t>
  </si>
  <si>
    <t>25/04/2026</t>
  </si>
  <si>
    <t>00:23</t>
  </si>
  <si>
    <t>S1164</t>
  </si>
  <si>
    <t>P93316</t>
  </si>
  <si>
    <t>01/01/2026</t>
  </si>
  <si>
    <t>12:46</t>
  </si>
  <si>
    <t>15:46</t>
  </si>
  <si>
    <t>S1165</t>
  </si>
  <si>
    <t>P80511</t>
  </si>
  <si>
    <t>14:09</t>
  </si>
  <si>
    <t>21:09</t>
  </si>
  <si>
    <t>S1166</t>
  </si>
  <si>
    <t>P26478</t>
  </si>
  <si>
    <t>11:48</t>
  </si>
  <si>
    <t>22:48</t>
  </si>
  <si>
    <t>S1167</t>
  </si>
  <si>
    <t>P41221</t>
  </si>
  <si>
    <t>08:19</t>
  </si>
  <si>
    <t>S1168</t>
  </si>
  <si>
    <t>P61483</t>
  </si>
  <si>
    <t>25/02/2026</t>
  </si>
  <si>
    <t>09:39</t>
  </si>
  <si>
    <t>20:39</t>
  </si>
  <si>
    <t>S1169</t>
  </si>
  <si>
    <t>P57282</t>
  </si>
  <si>
    <t>27/02/2026</t>
  </si>
  <si>
    <t>15:09</t>
  </si>
  <si>
    <t>03:09</t>
  </si>
  <si>
    <t>S1170</t>
  </si>
  <si>
    <t>P94194</t>
  </si>
  <si>
    <t>13:22</t>
  </si>
  <si>
    <t>18:22</t>
  </si>
  <si>
    <t>S1171</t>
  </si>
  <si>
    <t>P96964</t>
  </si>
  <si>
    <t>13:26</t>
  </si>
  <si>
    <t>S1172</t>
  </si>
  <si>
    <t>P13754</t>
  </si>
  <si>
    <t>12:53</t>
  </si>
  <si>
    <t>18:53</t>
  </si>
  <si>
    <t>S1173</t>
  </si>
  <si>
    <t>P52329</t>
  </si>
  <si>
    <t>09:09</t>
  </si>
  <si>
    <t>02/02/2026</t>
  </si>
  <si>
    <t>00:09</t>
  </si>
  <si>
    <t>S1174</t>
  </si>
  <si>
    <t>P41926</t>
  </si>
  <si>
    <t>08:44</t>
  </si>
  <si>
    <t>S1175</t>
  </si>
  <si>
    <t>P88239</t>
  </si>
  <si>
    <t>23:08</t>
  </si>
  <si>
    <t>S1176</t>
  </si>
  <si>
    <t>P79880</t>
  </si>
  <si>
    <t>14:26</t>
  </si>
  <si>
    <t>03:26</t>
  </si>
  <si>
    <t>S1177</t>
  </si>
  <si>
    <t>P14594</t>
  </si>
  <si>
    <t>10:45</t>
  </si>
  <si>
    <t>15:45</t>
  </si>
  <si>
    <t>S1178</t>
  </si>
  <si>
    <t>P79355</t>
  </si>
  <si>
    <t>08:35</t>
  </si>
  <si>
    <t>11:35</t>
  </si>
  <si>
    <t>S1179</t>
  </si>
  <si>
    <t>P81457</t>
  </si>
  <si>
    <t>21:13</t>
  </si>
  <si>
    <t>S1180</t>
  </si>
  <si>
    <t>P93478</t>
  </si>
  <si>
    <t>25/05/2026</t>
  </si>
  <si>
    <t>22:05</t>
  </si>
  <si>
    <t>S1181</t>
  </si>
  <si>
    <t>P21600</t>
  </si>
  <si>
    <t>09:54</t>
  </si>
  <si>
    <t>S1182</t>
  </si>
  <si>
    <t>P98221</t>
  </si>
  <si>
    <t>03/02/2026</t>
  </si>
  <si>
    <t>13:29</t>
  </si>
  <si>
    <t>04/02/2026</t>
  </si>
  <si>
    <t>16:29</t>
  </si>
  <si>
    <t>S1183</t>
  </si>
  <si>
    <t>P47354</t>
  </si>
  <si>
    <t>11:59</t>
  </si>
  <si>
    <t>18:59</t>
  </si>
  <si>
    <t>S1184</t>
  </si>
  <si>
    <t>P12070</t>
  </si>
  <si>
    <t>11:43</t>
  </si>
  <si>
    <t>12:43</t>
  </si>
  <si>
    <t>S1185</t>
  </si>
  <si>
    <t>P94635</t>
  </si>
  <si>
    <t>18/03/2026</t>
  </si>
  <si>
    <t>15:15</t>
  </si>
  <si>
    <t>19/03/2026</t>
  </si>
  <si>
    <t>22:15</t>
  </si>
  <si>
    <t>S1186</t>
  </si>
  <si>
    <t>P77785</t>
  </si>
  <si>
    <t>17:06</t>
  </si>
  <si>
    <t>S1187</t>
  </si>
  <si>
    <t>P20518</t>
  </si>
  <si>
    <t>28/06/2026</t>
  </si>
  <si>
    <t>15:21</t>
  </si>
  <si>
    <t>29/06/2026</t>
  </si>
  <si>
    <t>00:21</t>
  </si>
  <si>
    <t>S1188</t>
  </si>
  <si>
    <t>P24380</t>
  </si>
  <si>
    <t>08:16</t>
  </si>
  <si>
    <t>11:16</t>
  </si>
  <si>
    <t>S1189</t>
  </si>
  <si>
    <t>P66626</t>
  </si>
  <si>
    <t>12/06/2026</t>
  </si>
  <si>
    <t>14:49</t>
  </si>
  <si>
    <t>20:49</t>
  </si>
  <si>
    <t>S1190</t>
  </si>
  <si>
    <t>P96878</t>
  </si>
  <si>
    <t>17/03/2026</t>
  </si>
  <si>
    <t>11:22</t>
  </si>
  <si>
    <t>S1191</t>
  </si>
  <si>
    <t>P41944</t>
  </si>
  <si>
    <t>14/06/2026</t>
  </si>
  <si>
    <t>08:08</t>
  </si>
  <si>
    <t>S1192</t>
  </si>
  <si>
    <t>P65956</t>
  </si>
  <si>
    <t>15:06</t>
  </si>
  <si>
    <t>18:06</t>
  </si>
  <si>
    <t>S1193</t>
  </si>
  <si>
    <t>P71583</t>
  </si>
  <si>
    <t>12:27</t>
  </si>
  <si>
    <t>17:27</t>
  </si>
  <si>
    <t>S1194</t>
  </si>
  <si>
    <t>P43891</t>
  </si>
  <si>
    <t>11:54</t>
  </si>
  <si>
    <t>21:54</t>
  </si>
  <si>
    <t>S1195</t>
  </si>
  <si>
    <t>P28079</t>
  </si>
  <si>
    <t>12:12</t>
  </si>
  <si>
    <t>18:12</t>
  </si>
  <si>
    <t>S1196</t>
  </si>
  <si>
    <t>P26162</t>
  </si>
  <si>
    <t>16:40</t>
  </si>
  <si>
    <t>22:40</t>
  </si>
  <si>
    <t>S1197</t>
  </si>
  <si>
    <t>P33781</t>
  </si>
  <si>
    <t>10:38</t>
  </si>
  <si>
    <t>14:38</t>
  </si>
  <si>
    <t>S1198</t>
  </si>
  <si>
    <t>P70924</t>
  </si>
  <si>
    <t>08:00</t>
  </si>
  <si>
    <t>11:00</t>
  </si>
  <si>
    <t>S1199</t>
  </si>
  <si>
    <t>P94767</t>
  </si>
  <si>
    <t>02/01/2026</t>
  </si>
  <si>
    <t>P59415</t>
  </si>
  <si>
    <t>13:33</t>
  </si>
  <si>
    <t>19:33</t>
  </si>
  <si>
    <t>S1201</t>
  </si>
  <si>
    <t>P34120</t>
  </si>
  <si>
    <t>07:59</t>
  </si>
  <si>
    <t>15:59</t>
  </si>
  <si>
    <t>S1202</t>
  </si>
  <si>
    <t>P29623</t>
  </si>
  <si>
    <t>08:09</t>
  </si>
  <si>
    <t>S1203</t>
  </si>
  <si>
    <t>P54138</t>
  </si>
  <si>
    <t>11:21</t>
  </si>
  <si>
    <t>S1204</t>
  </si>
  <si>
    <t>P41267</t>
  </si>
  <si>
    <t>S1205</t>
  </si>
  <si>
    <t>P87418</t>
  </si>
  <si>
    <t>09:37</t>
  </si>
  <si>
    <t>S1206</t>
  </si>
  <si>
    <t>P56055</t>
  </si>
  <si>
    <t>00:46</t>
  </si>
  <si>
    <t>S1207</t>
  </si>
  <si>
    <t>P74785</t>
  </si>
  <si>
    <t>08:31</t>
  </si>
  <si>
    <t>10:31</t>
  </si>
  <si>
    <t>S1208</t>
  </si>
  <si>
    <t>P51296</t>
  </si>
  <si>
    <t>22/03/2026</t>
  </si>
  <si>
    <t>11:41</t>
  </si>
  <si>
    <t>20:41</t>
  </si>
  <si>
    <t>S1209</t>
  </si>
  <si>
    <t>P46437</t>
  </si>
  <si>
    <t>16:24</t>
  </si>
  <si>
    <t>20:24</t>
  </si>
  <si>
    <t>S1210</t>
  </si>
  <si>
    <t>P10152</t>
  </si>
  <si>
    <t>29/05/2026</t>
  </si>
  <si>
    <t>08:39</t>
  </si>
  <si>
    <t>S1211</t>
  </si>
  <si>
    <t>P41067</t>
  </si>
  <si>
    <t>11:45</t>
  </si>
  <si>
    <t>20:45</t>
  </si>
  <si>
    <t>S1212</t>
  </si>
  <si>
    <t>P30432</t>
  </si>
  <si>
    <t>22/05/2026</t>
  </si>
  <si>
    <t>16:36</t>
  </si>
  <si>
    <t>19:36</t>
  </si>
  <si>
    <t>S1213</t>
  </si>
  <si>
    <t>P19406</t>
  </si>
  <si>
    <t>15:20</t>
  </si>
  <si>
    <t>00:20</t>
  </si>
  <si>
    <t>S1214</t>
  </si>
  <si>
    <t>P82684</t>
  </si>
  <si>
    <t>00:02</t>
  </si>
  <si>
    <t>S1215</t>
  </si>
  <si>
    <t>P75174</t>
  </si>
  <si>
    <t>07:25</t>
  </si>
  <si>
    <t>S1216</t>
  </si>
  <si>
    <t>P57713</t>
  </si>
  <si>
    <t>12:15</t>
  </si>
  <si>
    <t>03:15</t>
  </si>
  <si>
    <t>S1217</t>
  </si>
  <si>
    <t>P99096</t>
  </si>
  <si>
    <t>13:31</t>
  </si>
  <si>
    <t>S1218</t>
  </si>
  <si>
    <t>P96016</t>
  </si>
  <si>
    <t>13:51</t>
  </si>
  <si>
    <t>15/02/2026</t>
  </si>
  <si>
    <t>00:51</t>
  </si>
  <si>
    <t>S1219</t>
  </si>
  <si>
    <t>P58821</t>
  </si>
  <si>
    <t>09:41</t>
  </si>
  <si>
    <t>19:41</t>
  </si>
  <si>
    <t>S1220</t>
  </si>
  <si>
    <t>P42227</t>
  </si>
  <si>
    <t>24/04/2026</t>
  </si>
  <si>
    <t>23:00</t>
  </si>
  <si>
    <t>S1221</t>
  </si>
  <si>
    <t>P18993</t>
  </si>
  <si>
    <t>20:01</t>
  </si>
  <si>
    <t>S1222</t>
  </si>
  <si>
    <t>P46930</t>
  </si>
  <si>
    <t>S1223</t>
  </si>
  <si>
    <t>P68002</t>
  </si>
  <si>
    <t>07:44</t>
  </si>
  <si>
    <t>12:44</t>
  </si>
  <si>
    <t>S1224</t>
  </si>
  <si>
    <t>P16620</t>
  </si>
  <si>
    <t>15:39</t>
  </si>
  <si>
    <t>S1225</t>
  </si>
  <si>
    <t>P96660</t>
  </si>
  <si>
    <t>16:17</t>
  </si>
  <si>
    <t>19:17</t>
  </si>
  <si>
    <t>S1226</t>
  </si>
  <si>
    <t>P76210</t>
  </si>
  <si>
    <t>11:28</t>
  </si>
  <si>
    <t>S1227</t>
  </si>
  <si>
    <t>P51315</t>
  </si>
  <si>
    <t>18:31</t>
  </si>
  <si>
    <t>S1228</t>
  </si>
  <si>
    <t>P19763</t>
  </si>
  <si>
    <t>21/01/2026</t>
  </si>
  <si>
    <t>S1229</t>
  </si>
  <si>
    <t>P18643</t>
  </si>
  <si>
    <t>14:41</t>
  </si>
  <si>
    <t>S1230</t>
  </si>
  <si>
    <t>P59865</t>
  </si>
  <si>
    <t>10:24</t>
  </si>
  <si>
    <t>21:24</t>
  </si>
  <si>
    <t>S1231</t>
  </si>
  <si>
    <t>P38904</t>
  </si>
  <si>
    <t>09:25</t>
  </si>
  <si>
    <t>S1232</t>
  </si>
  <si>
    <t>P61859</t>
  </si>
  <si>
    <t>14:46</t>
  </si>
  <si>
    <t>S1233</t>
  </si>
  <si>
    <t>P92382</t>
  </si>
  <si>
    <t>13/02/2026</t>
  </si>
  <si>
    <t>14:40</t>
  </si>
  <si>
    <t>03:40</t>
  </si>
  <si>
    <t>S1234</t>
  </si>
  <si>
    <t>P83479</t>
  </si>
  <si>
    <t>22/01/2026</t>
  </si>
  <si>
    <t>S1235</t>
  </si>
  <si>
    <t>P38571</t>
  </si>
  <si>
    <t>18:07</t>
  </si>
  <si>
    <t>S1236</t>
  </si>
  <si>
    <t>P63108</t>
  </si>
  <si>
    <t>11:09</t>
  </si>
  <si>
    <t>S1237</t>
  </si>
  <si>
    <t>P62978</t>
  </si>
  <si>
    <t>13:20</t>
  </si>
  <si>
    <t>19:20</t>
  </si>
  <si>
    <t>S1238</t>
  </si>
  <si>
    <t>P69710</t>
  </si>
  <si>
    <t>15/05/2026</t>
  </si>
  <si>
    <t>07:28</t>
  </si>
  <si>
    <t>16:28</t>
  </si>
  <si>
    <t>S1239</t>
  </si>
  <si>
    <t>P35765</t>
  </si>
  <si>
    <t>15/01/2026</t>
  </si>
  <si>
    <t>08:40</t>
  </si>
  <si>
    <t>19:40</t>
  </si>
  <si>
    <t>S1240</t>
  </si>
  <si>
    <t>P19704</t>
  </si>
  <si>
    <t>16/01/2026</t>
  </si>
  <si>
    <t>14:12</t>
  </si>
  <si>
    <t>22:12</t>
  </si>
  <si>
    <t>S1241</t>
  </si>
  <si>
    <t>P14176</t>
  </si>
  <si>
    <t>11:50</t>
  </si>
  <si>
    <t>S1242</t>
  </si>
  <si>
    <t>P52696</t>
  </si>
  <si>
    <t>11:33</t>
  </si>
  <si>
    <t>23:33</t>
  </si>
  <si>
    <t>S1243</t>
  </si>
  <si>
    <t>P13787</t>
  </si>
  <si>
    <t>09:47</t>
  </si>
  <si>
    <t>19:47</t>
  </si>
  <si>
    <t>S1244</t>
  </si>
  <si>
    <t>P95045</t>
  </si>
  <si>
    <t>03/05/2026</t>
  </si>
  <si>
    <t>05:38</t>
  </si>
  <si>
    <t>S1245</t>
  </si>
  <si>
    <t>P43613</t>
  </si>
  <si>
    <t>22:19</t>
  </si>
  <si>
    <t>S1246</t>
  </si>
  <si>
    <t>P82814</t>
  </si>
  <si>
    <t>14:07</t>
  </si>
  <si>
    <t>S1247</t>
  </si>
  <si>
    <t>P75684</t>
  </si>
  <si>
    <t>10:04</t>
  </si>
  <si>
    <t>S1248</t>
  </si>
  <si>
    <t>P95977</t>
  </si>
  <si>
    <t>S1249</t>
  </si>
  <si>
    <t>P78877</t>
  </si>
  <si>
    <t>14:27</t>
  </si>
  <si>
    <t>S1250</t>
  </si>
  <si>
    <t>P46510</t>
  </si>
  <si>
    <t>21:29</t>
  </si>
  <si>
    <t>S1251</t>
  </si>
  <si>
    <t>P19972</t>
  </si>
  <si>
    <t>S1252</t>
  </si>
  <si>
    <t>P66575</t>
  </si>
  <si>
    <t>11:47</t>
  </si>
  <si>
    <t>S1253</t>
  </si>
  <si>
    <t>P48971</t>
  </si>
  <si>
    <t>11:31</t>
  </si>
  <si>
    <t>01:31</t>
  </si>
  <si>
    <t>S1254</t>
  </si>
  <si>
    <t>P20346</t>
  </si>
  <si>
    <t>18:26</t>
  </si>
  <si>
    <t>S1255</t>
  </si>
  <si>
    <t>P66537</t>
  </si>
  <si>
    <t>07:29</t>
  </si>
  <si>
    <t>18:29</t>
  </si>
  <si>
    <t>S1256</t>
  </si>
  <si>
    <t>P59575</t>
  </si>
  <si>
    <t>13:25</t>
  </si>
  <si>
    <t>S1257</t>
  </si>
  <si>
    <t>P40969</t>
  </si>
  <si>
    <t>14:30</t>
  </si>
  <si>
    <t>20:30</t>
  </si>
  <si>
    <t>S1258</t>
  </si>
  <si>
    <t>P79127</t>
  </si>
  <si>
    <t>07:20</t>
  </si>
  <si>
    <t>18:20</t>
  </si>
  <si>
    <t>S1259</t>
  </si>
  <si>
    <t>P64197</t>
  </si>
  <si>
    <t>S1260</t>
  </si>
  <si>
    <t>P91279</t>
  </si>
  <si>
    <t>23:21</t>
  </si>
  <si>
    <t>S1261</t>
  </si>
  <si>
    <t>P19076</t>
  </si>
  <si>
    <t>15:37</t>
  </si>
  <si>
    <t>05:37</t>
  </si>
  <si>
    <t>S1262</t>
  </si>
  <si>
    <t>P96748</t>
  </si>
  <si>
    <t>20/01/2026</t>
  </si>
  <si>
    <t>16:35</t>
  </si>
  <si>
    <t>05:35</t>
  </si>
  <si>
    <t>S1263</t>
  </si>
  <si>
    <t>P46547</t>
  </si>
  <si>
    <t>S1264</t>
  </si>
  <si>
    <t>P22544</t>
  </si>
  <si>
    <t>14/05/2026</t>
  </si>
  <si>
    <t>S1265</t>
  </si>
  <si>
    <t>P79911</t>
  </si>
  <si>
    <t>04/05/2026</t>
  </si>
  <si>
    <t>05/05/2026</t>
  </si>
  <si>
    <t>S1266</t>
  </si>
  <si>
    <t>P32936</t>
  </si>
  <si>
    <t>12:41</t>
  </si>
  <si>
    <t>S1267</t>
  </si>
  <si>
    <t>P72897</t>
  </si>
  <si>
    <t>S1268</t>
  </si>
  <si>
    <t>P40519</t>
  </si>
  <si>
    <t>07/04/2026</t>
  </si>
  <si>
    <t>00:18</t>
  </si>
  <si>
    <t>S1269</t>
  </si>
  <si>
    <t>P94729</t>
  </si>
  <si>
    <t>10:35</t>
  </si>
  <si>
    <t>S1270</t>
  </si>
  <si>
    <t>P24947</t>
  </si>
  <si>
    <t>S1271</t>
  </si>
  <si>
    <t>P59176</t>
  </si>
  <si>
    <t>19:37</t>
  </si>
  <si>
    <t>S1272</t>
  </si>
  <si>
    <t>P60850</t>
  </si>
  <si>
    <t>10:26</t>
  </si>
  <si>
    <t>16:26</t>
  </si>
  <si>
    <t>S1273</t>
  </si>
  <si>
    <t>P27811</t>
  </si>
  <si>
    <t>10:09</t>
  </si>
  <si>
    <t>S1274</t>
  </si>
  <si>
    <t>P37174</t>
  </si>
  <si>
    <t>13/06/2026</t>
  </si>
  <si>
    <t>S1275</t>
  </si>
  <si>
    <t>P44454</t>
  </si>
  <si>
    <t>S1276</t>
  </si>
  <si>
    <t>P62817</t>
  </si>
  <si>
    <t>25/03/2026</t>
  </si>
  <si>
    <t>16:56</t>
  </si>
  <si>
    <t>S1277</t>
  </si>
  <si>
    <t>P21445</t>
  </si>
  <si>
    <t>07:54</t>
  </si>
  <si>
    <t>16:54</t>
  </si>
  <si>
    <t>S1278</t>
  </si>
  <si>
    <t>P88563</t>
  </si>
  <si>
    <t>13:37</t>
  </si>
  <si>
    <t>17:37</t>
  </si>
  <si>
    <t>S1279</t>
  </si>
  <si>
    <t>P43913</t>
  </si>
  <si>
    <t>10:47</t>
  </si>
  <si>
    <t>S1280</t>
  </si>
  <si>
    <t>P10409</t>
  </si>
  <si>
    <t>08:02</t>
  </si>
  <si>
    <t>12:02</t>
  </si>
  <si>
    <t>S1281</t>
  </si>
  <si>
    <t>P94617</t>
  </si>
  <si>
    <t>08:24</t>
  </si>
  <si>
    <t>S1282</t>
  </si>
  <si>
    <t>P26922</t>
  </si>
  <si>
    <t>05/06/2026</t>
  </si>
  <si>
    <t>12:24</t>
  </si>
  <si>
    <t>00:24</t>
  </si>
  <si>
    <t>S1283</t>
  </si>
  <si>
    <t>P90429</t>
  </si>
  <si>
    <t>18/02/2026</t>
  </si>
  <si>
    <t>15:24</t>
  </si>
  <si>
    <t>S1284</t>
  </si>
  <si>
    <t>P59915</t>
  </si>
  <si>
    <t>09:04</t>
  </si>
  <si>
    <t>19:04</t>
  </si>
  <si>
    <t>S1285</t>
  </si>
  <si>
    <t>P27026</t>
  </si>
  <si>
    <t>27/01/2026</t>
  </si>
  <si>
    <t>17:17</t>
  </si>
  <si>
    <t>S1286</t>
  </si>
  <si>
    <t>P44332</t>
  </si>
  <si>
    <t>02:49</t>
  </si>
  <si>
    <t>S1287</t>
  </si>
  <si>
    <t>P76652</t>
  </si>
  <si>
    <t>09:55</t>
  </si>
  <si>
    <t>20:55</t>
  </si>
  <si>
    <t>S1288</t>
  </si>
  <si>
    <t>P79876</t>
  </si>
  <si>
    <t>16:08</t>
  </si>
  <si>
    <t>S1289</t>
  </si>
  <si>
    <t>P71934</t>
  </si>
  <si>
    <t>16:32</t>
  </si>
  <si>
    <t>03:32</t>
  </si>
  <si>
    <t>S1290</t>
  </si>
  <si>
    <t>P80787</t>
  </si>
  <si>
    <t>13/05/2026</t>
  </si>
  <si>
    <t>17:54</t>
  </si>
  <si>
    <t>S1291</t>
  </si>
  <si>
    <t>P31304</t>
  </si>
  <si>
    <t>09:07</t>
  </si>
  <si>
    <t>16:07</t>
  </si>
  <si>
    <t>S1292</t>
  </si>
  <si>
    <t>P32014</t>
  </si>
  <si>
    <t>13:21</t>
  </si>
  <si>
    <t>S1293</t>
  </si>
  <si>
    <t>P46143</t>
  </si>
  <si>
    <t>15:12</t>
  </si>
  <si>
    <t>S1294</t>
  </si>
  <si>
    <t>P30869</t>
  </si>
  <si>
    <t>08:48</t>
  </si>
  <si>
    <t>S1295</t>
  </si>
  <si>
    <t>P84765</t>
  </si>
  <si>
    <t>21/03/2026</t>
  </si>
  <si>
    <t>18:47</t>
  </si>
  <si>
    <t>S1296</t>
  </si>
  <si>
    <t>P14592</t>
  </si>
  <si>
    <t>13:00</t>
  </si>
  <si>
    <t>S1297</t>
  </si>
  <si>
    <t>P55514</t>
  </si>
  <si>
    <t>17:42</t>
  </si>
  <si>
    <t>S1298</t>
  </si>
  <si>
    <t>P44660</t>
  </si>
  <si>
    <t>30/04/2026</t>
  </si>
  <si>
    <t>S1299</t>
  </si>
  <si>
    <t>P90219</t>
  </si>
  <si>
    <t>14:59</t>
  </si>
  <si>
    <t>S1300</t>
  </si>
  <si>
    <t>P84663</t>
  </si>
  <si>
    <t>09:46</t>
  </si>
  <si>
    <t>S1301</t>
  </si>
  <si>
    <t>P85632</t>
  </si>
  <si>
    <t>21:27</t>
  </si>
  <si>
    <t>S1302</t>
  </si>
  <si>
    <t>P14681</t>
  </si>
  <si>
    <t>S1303</t>
  </si>
  <si>
    <t>P69637</t>
  </si>
  <si>
    <t>20:13</t>
  </si>
  <si>
    <t>S1304</t>
  </si>
  <si>
    <t>P71882</t>
  </si>
  <si>
    <t>S1305</t>
  </si>
  <si>
    <t>P78303</t>
  </si>
  <si>
    <t>21:47</t>
  </si>
  <si>
    <t>S1306</t>
  </si>
  <si>
    <t>P65697</t>
  </si>
  <si>
    <t>09:15</t>
  </si>
  <si>
    <t>00:15</t>
  </si>
  <si>
    <t>S1307</t>
  </si>
  <si>
    <t>P47787</t>
  </si>
  <si>
    <t>13:32</t>
  </si>
  <si>
    <t>20:32</t>
  </si>
  <si>
    <t>S1308</t>
  </si>
  <si>
    <t>P38440</t>
  </si>
  <si>
    <t>11:14</t>
  </si>
  <si>
    <t>16:14</t>
  </si>
  <si>
    <t>S1309</t>
  </si>
  <si>
    <t>P89364</t>
  </si>
  <si>
    <t>19:15</t>
  </si>
  <si>
    <t>S1310</t>
  </si>
  <si>
    <t>P99025</t>
  </si>
  <si>
    <t>23:01</t>
  </si>
  <si>
    <t>S1311</t>
  </si>
  <si>
    <t>P73402</t>
  </si>
  <si>
    <t>S1312</t>
  </si>
  <si>
    <t>P99753</t>
  </si>
  <si>
    <t>22:39</t>
  </si>
  <si>
    <t>S1313</t>
  </si>
  <si>
    <t>P46617</t>
  </si>
  <si>
    <t>15:04</t>
  </si>
  <si>
    <t>20/06/2026</t>
  </si>
  <si>
    <t>S1314</t>
  </si>
  <si>
    <t>P52418</t>
  </si>
  <si>
    <t>11:56</t>
  </si>
  <si>
    <t>S1315</t>
  </si>
  <si>
    <t>P74899</t>
  </si>
  <si>
    <t>S1316</t>
  </si>
  <si>
    <t>P70716</t>
  </si>
  <si>
    <t>11:57</t>
  </si>
  <si>
    <t>14:57</t>
  </si>
  <si>
    <t>S1317</t>
  </si>
  <si>
    <t>P39275</t>
  </si>
  <si>
    <t>14:32</t>
  </si>
  <si>
    <t>22:32</t>
  </si>
  <si>
    <t>S1318</t>
  </si>
  <si>
    <t>P39321</t>
  </si>
  <si>
    <t>09:51</t>
  </si>
  <si>
    <t>S1319</t>
  </si>
  <si>
    <t>P65098</t>
  </si>
  <si>
    <t>10:32</t>
  </si>
  <si>
    <t>17:32</t>
  </si>
  <si>
    <t>S1320</t>
  </si>
  <si>
    <t>P62410</t>
  </si>
  <si>
    <t>08:55</t>
  </si>
  <si>
    <t>17:55</t>
  </si>
  <si>
    <t>S1321</t>
  </si>
  <si>
    <t>P32799</t>
  </si>
  <si>
    <t>S1322</t>
  </si>
  <si>
    <t>P26611</t>
  </si>
  <si>
    <t>07:35</t>
  </si>
  <si>
    <t>20:35</t>
  </si>
  <si>
    <t>S1323</t>
  </si>
  <si>
    <t>P53486</t>
  </si>
  <si>
    <t>00:19</t>
  </si>
  <si>
    <t>S1324</t>
  </si>
  <si>
    <t>P50658</t>
  </si>
  <si>
    <t>20:11</t>
  </si>
  <si>
    <t>S1325</t>
  </si>
  <si>
    <t>P84297</t>
  </si>
  <si>
    <t>15:19</t>
  </si>
  <si>
    <t>21:19</t>
  </si>
  <si>
    <t>S1326</t>
  </si>
  <si>
    <t>P67637</t>
  </si>
  <si>
    <t>09:00</t>
  </si>
  <si>
    <t>S1327</t>
  </si>
  <si>
    <t>P87565</t>
  </si>
  <si>
    <t>00:28</t>
  </si>
  <si>
    <t>S1328</t>
  </si>
  <si>
    <t>P57049</t>
  </si>
  <si>
    <t>21:46</t>
  </si>
  <si>
    <t>S1329</t>
  </si>
  <si>
    <t>P86733</t>
  </si>
  <si>
    <t>01:03</t>
  </si>
  <si>
    <t>S1330</t>
  </si>
  <si>
    <t>P34928</t>
  </si>
  <si>
    <t>S1331</t>
  </si>
  <si>
    <t>P23187</t>
  </si>
  <si>
    <t>17:36</t>
  </si>
  <si>
    <t>S1332</t>
  </si>
  <si>
    <t>P75579</t>
  </si>
  <si>
    <t>S1333</t>
  </si>
  <si>
    <t>P73660</t>
  </si>
  <si>
    <t>07:33</t>
  </si>
  <si>
    <t>08:33</t>
  </si>
  <si>
    <t>S1334</t>
  </si>
  <si>
    <t>P86429</t>
  </si>
  <si>
    <t>04:10</t>
  </si>
  <si>
    <t>S1335</t>
  </si>
  <si>
    <t>P13986</t>
  </si>
  <si>
    <t>07:43</t>
  </si>
  <si>
    <t>20:43</t>
  </si>
  <si>
    <t>S1336</t>
  </si>
  <si>
    <t>P18166</t>
  </si>
  <si>
    <t>08/06/2026</t>
  </si>
  <si>
    <t>07:41</t>
  </si>
  <si>
    <t>18:41</t>
  </si>
  <si>
    <t>S1337</t>
  </si>
  <si>
    <t>P24262</t>
  </si>
  <si>
    <t>15:17</t>
  </si>
  <si>
    <t>01:17</t>
  </si>
  <si>
    <t>S1338</t>
  </si>
  <si>
    <t>P87342</t>
  </si>
  <si>
    <t>02:34</t>
  </si>
  <si>
    <t>S1339</t>
  </si>
  <si>
    <t>P28324</t>
  </si>
  <si>
    <t>00:43</t>
  </si>
  <si>
    <t>S1340</t>
  </si>
  <si>
    <t>P57982</t>
  </si>
  <si>
    <t>09:52</t>
  </si>
  <si>
    <t>23:52</t>
  </si>
  <si>
    <t>S1341</t>
  </si>
  <si>
    <t>P53816</t>
  </si>
  <si>
    <t>00:59</t>
  </si>
  <si>
    <t>S1342</t>
  </si>
  <si>
    <t>P46499</t>
  </si>
  <si>
    <t>12:17</t>
  </si>
  <si>
    <t>S1343</t>
  </si>
  <si>
    <t>P34058</t>
  </si>
  <si>
    <t>12:42</t>
  </si>
  <si>
    <t>S1344</t>
  </si>
  <si>
    <t>P55915</t>
  </si>
  <si>
    <t>31/05/2026</t>
  </si>
  <si>
    <t>S1345</t>
  </si>
  <si>
    <t>P55335</t>
  </si>
  <si>
    <t>02:46</t>
  </si>
  <si>
    <t>S1346</t>
  </si>
  <si>
    <t>P12782</t>
  </si>
  <si>
    <t>S1347</t>
  </si>
  <si>
    <t>P84502</t>
  </si>
  <si>
    <t>03:25</t>
  </si>
  <si>
    <t>S1348</t>
  </si>
  <si>
    <t>P53601</t>
  </si>
  <si>
    <t>S1349</t>
  </si>
  <si>
    <t>P35094</t>
  </si>
  <si>
    <t>19:51</t>
  </si>
  <si>
    <t>S1350</t>
  </si>
  <si>
    <t>P52589</t>
  </si>
  <si>
    <t>13:36</t>
  </si>
  <si>
    <t>S1351</t>
  </si>
  <si>
    <t>P12029</t>
  </si>
  <si>
    <t>07:01</t>
  </si>
  <si>
    <t>09:01</t>
  </si>
  <si>
    <t>S1352</t>
  </si>
  <si>
    <t>P53527</t>
  </si>
  <si>
    <t>07:53</t>
  </si>
  <si>
    <t>14:53</t>
  </si>
  <si>
    <t>S1353</t>
  </si>
  <si>
    <t>P49152</t>
  </si>
  <si>
    <t>07:12</t>
  </si>
  <si>
    <t>S1354</t>
  </si>
  <si>
    <t>P12877</t>
  </si>
  <si>
    <t>18:54</t>
  </si>
  <si>
    <t>S1355</t>
  </si>
  <si>
    <t>P49681</t>
  </si>
  <si>
    <t>S1356</t>
  </si>
  <si>
    <t>P79996</t>
  </si>
  <si>
    <t>22:25</t>
  </si>
  <si>
    <t>S1357</t>
  </si>
  <si>
    <t>P60663</t>
  </si>
  <si>
    <t>14:03</t>
  </si>
  <si>
    <t>S1358</t>
  </si>
  <si>
    <t>P31521</t>
  </si>
  <si>
    <t>14:31</t>
  </si>
  <si>
    <t>S1359</t>
  </si>
  <si>
    <t>P29716</t>
  </si>
  <si>
    <t>21:37</t>
  </si>
  <si>
    <t>S1360</t>
  </si>
  <si>
    <t>P82656</t>
  </si>
  <si>
    <t>15:55</t>
  </si>
  <si>
    <t>21:55</t>
  </si>
  <si>
    <t>S1361</t>
  </si>
  <si>
    <t>P51141</t>
  </si>
  <si>
    <t>13:44</t>
  </si>
  <si>
    <t>S1362</t>
  </si>
  <si>
    <t>P45405</t>
  </si>
  <si>
    <t>11/06/2026</t>
  </si>
  <si>
    <t>12:22</t>
  </si>
  <si>
    <t>S1363</t>
  </si>
  <si>
    <t>P71022</t>
  </si>
  <si>
    <t>S1364</t>
  </si>
  <si>
    <t>P45492</t>
  </si>
  <si>
    <t>23:30</t>
  </si>
  <si>
    <t>S1365</t>
  </si>
  <si>
    <t>P86627</t>
  </si>
  <si>
    <t>29/04/2026</t>
  </si>
  <si>
    <t>18:23</t>
  </si>
  <si>
    <t>S1366</t>
  </si>
  <si>
    <t>P27038</t>
  </si>
  <si>
    <t>S1367</t>
  </si>
  <si>
    <t>P88285</t>
  </si>
  <si>
    <t>14:33</t>
  </si>
  <si>
    <t>02:33</t>
  </si>
  <si>
    <t>S1368</t>
  </si>
  <si>
    <t>P50173</t>
  </si>
  <si>
    <t>17:08</t>
  </si>
  <si>
    <t>S1369</t>
  </si>
  <si>
    <t>P94431</t>
  </si>
  <si>
    <t>10/03/2026</t>
  </si>
  <si>
    <t>16:19</t>
  </si>
  <si>
    <t>S1370</t>
  </si>
  <si>
    <t>P34454</t>
  </si>
  <si>
    <t>23:20</t>
  </si>
  <si>
    <t>S1371</t>
  </si>
  <si>
    <t>P29428</t>
  </si>
  <si>
    <t>08:58</t>
  </si>
  <si>
    <t>S1372</t>
  </si>
  <si>
    <t>P65306</t>
  </si>
  <si>
    <t>S1373</t>
  </si>
  <si>
    <t>P73054</t>
  </si>
  <si>
    <t>12:54</t>
  </si>
  <si>
    <t>S1374</t>
  </si>
  <si>
    <t>P39877</t>
  </si>
  <si>
    <t>04:48</t>
  </si>
  <si>
    <t>S1375</t>
  </si>
  <si>
    <t>P79789</t>
  </si>
  <si>
    <t>S1376</t>
  </si>
  <si>
    <t>P82948</t>
  </si>
  <si>
    <t>08:27</t>
  </si>
  <si>
    <t>S1377</t>
  </si>
  <si>
    <t>P15839</t>
  </si>
  <si>
    <t>22:43</t>
  </si>
  <si>
    <t>S1378</t>
  </si>
  <si>
    <t>P77689</t>
  </si>
  <si>
    <t>21:44</t>
  </si>
  <si>
    <t>S1379</t>
  </si>
  <si>
    <t>P51849</t>
  </si>
  <si>
    <t>10:56</t>
  </si>
  <si>
    <t>20:56</t>
  </si>
  <si>
    <t>S1380</t>
  </si>
  <si>
    <t>P69096</t>
  </si>
  <si>
    <t>11:15</t>
  </si>
  <si>
    <t>20:15</t>
  </si>
  <si>
    <t>S1381</t>
  </si>
  <si>
    <t>P47195</t>
  </si>
  <si>
    <t>S1382</t>
  </si>
  <si>
    <t>P63794</t>
  </si>
  <si>
    <t>S1383</t>
  </si>
  <si>
    <t>P62696</t>
  </si>
  <si>
    <t>23/05/2026</t>
  </si>
  <si>
    <t>00:33</t>
  </si>
  <si>
    <t>S1384</t>
  </si>
  <si>
    <t>P25255</t>
  </si>
  <si>
    <t>10:20</t>
  </si>
  <si>
    <t>22:20</t>
  </si>
  <si>
    <t>S1385</t>
  </si>
  <si>
    <t>P21685</t>
  </si>
  <si>
    <t>26/02/2026</t>
  </si>
  <si>
    <t>S1386</t>
  </si>
  <si>
    <t>P69261</t>
  </si>
  <si>
    <t>10:48</t>
  </si>
  <si>
    <t>21:48</t>
  </si>
  <si>
    <t>S1387</t>
  </si>
  <si>
    <t>P20626</t>
  </si>
  <si>
    <t>11:19</t>
  </si>
  <si>
    <t>13:19</t>
  </si>
  <si>
    <t>S1388</t>
  </si>
  <si>
    <t>P78118</t>
  </si>
  <si>
    <t>10:58</t>
  </si>
  <si>
    <t>20:58</t>
  </si>
  <si>
    <t>S1389</t>
  </si>
  <si>
    <t>P19829</t>
  </si>
  <si>
    <t>30/05/2026</t>
  </si>
  <si>
    <t>10:13</t>
  </si>
  <si>
    <t>S1390</t>
  </si>
  <si>
    <t>P22516</t>
  </si>
  <si>
    <t>16:11</t>
  </si>
  <si>
    <t>S1391</t>
  </si>
  <si>
    <t>P81898</t>
  </si>
  <si>
    <t>18:39</t>
  </si>
  <si>
    <t>S1392</t>
  </si>
  <si>
    <t>P20873</t>
  </si>
  <si>
    <t>S1393</t>
  </si>
  <si>
    <t>P44283</t>
  </si>
  <si>
    <t>14:56</t>
  </si>
  <si>
    <t>S1394</t>
  </si>
  <si>
    <t>P91302</t>
  </si>
  <si>
    <t>S1395</t>
  </si>
  <si>
    <t>P84655</t>
  </si>
  <si>
    <t>S1396</t>
  </si>
  <si>
    <t>P23174</t>
  </si>
  <si>
    <t>15:14</t>
  </si>
  <si>
    <t>02:14</t>
  </si>
  <si>
    <t>S1397</t>
  </si>
  <si>
    <t>P81252</t>
  </si>
  <si>
    <t>S1398</t>
  </si>
  <si>
    <t>P30290</t>
  </si>
  <si>
    <t>15:40</t>
  </si>
  <si>
    <t>00:40</t>
  </si>
  <si>
    <t>S1399</t>
  </si>
  <si>
    <t>P93151</t>
  </si>
  <si>
    <t>09:03</t>
  </si>
  <si>
    <t>19:03</t>
  </si>
  <si>
    <t>P14037</t>
  </si>
  <si>
    <t>07:11</t>
  </si>
  <si>
    <t>S1401</t>
  </si>
  <si>
    <t>P65555</t>
  </si>
  <si>
    <t>23:15</t>
  </si>
  <si>
    <t>S1402</t>
  </si>
  <si>
    <t>P77819</t>
  </si>
  <si>
    <t>08:14</t>
  </si>
  <si>
    <t>20:14</t>
  </si>
  <si>
    <t>S1403</t>
  </si>
  <si>
    <t>P45847</t>
  </si>
  <si>
    <t>15:00</t>
  </si>
  <si>
    <t>S1404</t>
  </si>
  <si>
    <t>P60768</t>
  </si>
  <si>
    <t>11/02/2026</t>
  </si>
  <si>
    <t>12/02/2026</t>
  </si>
  <si>
    <t>14:24</t>
  </si>
  <si>
    <t>S1405</t>
  </si>
  <si>
    <t>P62205</t>
  </si>
  <si>
    <t>16:12</t>
  </si>
  <si>
    <t>03:12</t>
  </si>
  <si>
    <t>S1406</t>
  </si>
  <si>
    <t>P84240</t>
  </si>
  <si>
    <t>14:01</t>
  </si>
  <si>
    <t>S1407</t>
  </si>
  <si>
    <t>P35592</t>
  </si>
  <si>
    <t>16:15</t>
  </si>
  <si>
    <t>06/01/2026</t>
  </si>
  <si>
    <t>S1408</t>
  </si>
  <si>
    <t>P37747</t>
  </si>
  <si>
    <t>10:52</t>
  </si>
  <si>
    <t>12:52</t>
  </si>
  <si>
    <t>S1409</t>
  </si>
  <si>
    <t>P11589</t>
  </si>
  <si>
    <t>S1410</t>
  </si>
  <si>
    <t>P80344</t>
  </si>
  <si>
    <t>23:27</t>
  </si>
  <si>
    <t>S1411</t>
  </si>
  <si>
    <t>P10897</t>
  </si>
  <si>
    <t>S1412</t>
  </si>
  <si>
    <t>P36347</t>
  </si>
  <si>
    <t>07:31</t>
  </si>
  <si>
    <t>S1413</t>
  </si>
  <si>
    <t>P99695</t>
  </si>
  <si>
    <t>08:28</t>
  </si>
  <si>
    <t>S1414</t>
  </si>
  <si>
    <t>P78771</t>
  </si>
  <si>
    <t>12:13</t>
  </si>
  <si>
    <t>S1415</t>
  </si>
  <si>
    <t>P93009</t>
  </si>
  <si>
    <t>15:08</t>
  </si>
  <si>
    <t>S1416</t>
  </si>
  <si>
    <t>P32578</t>
  </si>
  <si>
    <t>11:36</t>
  </si>
  <si>
    <t>S1417</t>
  </si>
  <si>
    <t>P79431</t>
  </si>
  <si>
    <t>14:10</t>
  </si>
  <si>
    <t>20:10</t>
  </si>
  <si>
    <t>S1418</t>
  </si>
  <si>
    <t>P42513</t>
  </si>
  <si>
    <t>16:16</t>
  </si>
  <si>
    <t>07:16</t>
  </si>
  <si>
    <t>S1419</t>
  </si>
  <si>
    <t>P71327</t>
  </si>
  <si>
    <t>07:52</t>
  </si>
  <si>
    <t>18:52</t>
  </si>
  <si>
    <t>S1420</t>
  </si>
  <si>
    <t>P59107</t>
  </si>
  <si>
    <t>S1421</t>
  </si>
  <si>
    <t>P94769</t>
  </si>
  <si>
    <t>13:23</t>
  </si>
  <si>
    <t>S1422</t>
  </si>
  <si>
    <t>P87821</t>
  </si>
  <si>
    <t>11:05</t>
  </si>
  <si>
    <t>03/04/2026</t>
  </si>
  <si>
    <t>S1423</t>
  </si>
  <si>
    <t>P48699</t>
  </si>
  <si>
    <t>16:55</t>
  </si>
  <si>
    <t>S1424</t>
  </si>
  <si>
    <t>P73479</t>
  </si>
  <si>
    <t>07:06</t>
  </si>
  <si>
    <t>S1425</t>
  </si>
  <si>
    <t>P25588</t>
  </si>
  <si>
    <t>S1426</t>
  </si>
  <si>
    <t>P23436</t>
  </si>
  <si>
    <t>S1427</t>
  </si>
  <si>
    <t>P91998</t>
  </si>
  <si>
    <t>07:04</t>
  </si>
  <si>
    <t>S1428</t>
  </si>
  <si>
    <t>P77722</t>
  </si>
  <si>
    <t>13:10</t>
  </si>
  <si>
    <t>S1429</t>
  </si>
  <si>
    <t>P19776</t>
  </si>
  <si>
    <t>S1430</t>
  </si>
  <si>
    <t>P23682</t>
  </si>
  <si>
    <t>S1431</t>
  </si>
  <si>
    <t>P75499</t>
  </si>
  <si>
    <t>03:07</t>
  </si>
  <si>
    <t>S1432</t>
  </si>
  <si>
    <t>P65577</t>
  </si>
  <si>
    <t>15:53</t>
  </si>
  <si>
    <t>S1433</t>
  </si>
  <si>
    <t>P24997</t>
  </si>
  <si>
    <t>S1434</t>
  </si>
  <si>
    <t>P83535</t>
  </si>
  <si>
    <t>12:59</t>
  </si>
  <si>
    <t>20:59</t>
  </si>
  <si>
    <t>S1435</t>
  </si>
  <si>
    <t>P60441</t>
  </si>
  <si>
    <t>12:34</t>
  </si>
  <si>
    <t>17:34</t>
  </si>
  <si>
    <t>S1436</t>
  </si>
  <si>
    <t>P19712</t>
  </si>
  <si>
    <t>S1437</t>
  </si>
  <si>
    <t>P12290</t>
  </si>
  <si>
    <t>23:41</t>
  </si>
  <si>
    <t>S1438</t>
  </si>
  <si>
    <t>P78765</t>
  </si>
  <si>
    <t>20:28</t>
  </si>
  <si>
    <t>S1439</t>
  </si>
  <si>
    <t>P29965</t>
  </si>
  <si>
    <t>S1440</t>
  </si>
  <si>
    <t>P20235</t>
  </si>
  <si>
    <t>20:22</t>
  </si>
  <si>
    <t>S1441</t>
  </si>
  <si>
    <t>P39462</t>
  </si>
  <si>
    <t>11:42</t>
  </si>
  <si>
    <t>21:42</t>
  </si>
  <si>
    <t>S1442</t>
  </si>
  <si>
    <t>P27531</t>
  </si>
  <si>
    <t>23:34</t>
  </si>
  <si>
    <t>S1443</t>
  </si>
  <si>
    <t>P31647</t>
  </si>
  <si>
    <t>10:42</t>
  </si>
  <si>
    <t>22:42</t>
  </si>
  <si>
    <t>S1444</t>
  </si>
  <si>
    <t>P32510</t>
  </si>
  <si>
    <t>19/01/2026</t>
  </si>
  <si>
    <t>S1445</t>
  </si>
  <si>
    <t>P75094</t>
  </si>
  <si>
    <t>07:02</t>
  </si>
  <si>
    <t>16:02</t>
  </si>
  <si>
    <t>S1446</t>
  </si>
  <si>
    <t>P50246</t>
  </si>
  <si>
    <t>12:06</t>
  </si>
  <si>
    <t>S1447</t>
  </si>
  <si>
    <t>P52141</t>
  </si>
  <si>
    <t>S1448</t>
  </si>
  <si>
    <t>P34814</t>
  </si>
  <si>
    <t>09:14</t>
  </si>
  <si>
    <t>S1449</t>
  </si>
  <si>
    <t>P38212</t>
  </si>
  <si>
    <t>00:39</t>
  </si>
  <si>
    <t>S1450</t>
  </si>
  <si>
    <t>P28590</t>
  </si>
  <si>
    <t>14:55</t>
  </si>
  <si>
    <t>23:55</t>
  </si>
  <si>
    <t>S1451</t>
  </si>
  <si>
    <t>P31714</t>
  </si>
  <si>
    <t>00:06</t>
  </si>
  <si>
    <t>S1452</t>
  </si>
  <si>
    <t>P66297</t>
  </si>
  <si>
    <t>08:43</t>
  </si>
  <si>
    <t>15:43</t>
  </si>
  <si>
    <t>S1453</t>
  </si>
  <si>
    <t>P50487</t>
  </si>
  <si>
    <t>13:27</t>
  </si>
  <si>
    <t>19:27</t>
  </si>
  <si>
    <t>S1454</t>
  </si>
  <si>
    <t>P93634</t>
  </si>
  <si>
    <t>16:09</t>
  </si>
  <si>
    <t>S1455</t>
  </si>
  <si>
    <t>P66689</t>
  </si>
  <si>
    <t>08:56</t>
  </si>
  <si>
    <t>S1456</t>
  </si>
  <si>
    <t>P31023</t>
  </si>
  <si>
    <t>01:09</t>
  </si>
  <si>
    <t>S1457</t>
  </si>
  <si>
    <t>P25245</t>
  </si>
  <si>
    <t>14:48</t>
  </si>
  <si>
    <t>S1458</t>
  </si>
  <si>
    <t>P71615</t>
  </si>
  <si>
    <t>10:10</t>
  </si>
  <si>
    <t>21:10</t>
  </si>
  <si>
    <t>S1459</t>
  </si>
  <si>
    <t>P11194</t>
  </si>
  <si>
    <t>00:14</t>
  </si>
  <si>
    <t>S1460</t>
  </si>
  <si>
    <t>P74362</t>
  </si>
  <si>
    <t>S1461</t>
  </si>
  <si>
    <t>P48322</t>
  </si>
  <si>
    <t>S1462</t>
  </si>
  <si>
    <t>P66761</t>
  </si>
  <si>
    <t>01/04/2026</t>
  </si>
  <si>
    <t>15:22</t>
  </si>
  <si>
    <t>S1463</t>
  </si>
  <si>
    <t>P29344</t>
  </si>
  <si>
    <t>20:05</t>
  </si>
  <si>
    <t>S1464</t>
  </si>
  <si>
    <t>P23911</t>
  </si>
  <si>
    <t>14:44</t>
  </si>
  <si>
    <t>01:44</t>
  </si>
  <si>
    <t>S1465</t>
  </si>
  <si>
    <t>P16028</t>
  </si>
  <si>
    <t>14:36</t>
  </si>
  <si>
    <t>18:36</t>
  </si>
  <si>
    <t>S1466</t>
  </si>
  <si>
    <t>P12099</t>
  </si>
  <si>
    <t>10:01</t>
  </si>
  <si>
    <t>18:01</t>
  </si>
  <si>
    <t>S1467</t>
  </si>
  <si>
    <t>P67315</t>
  </si>
  <si>
    <t>12:39</t>
  </si>
  <si>
    <t>S1468</t>
  </si>
  <si>
    <t>P31849</t>
  </si>
  <si>
    <t>19:59</t>
  </si>
  <si>
    <t>S1469</t>
  </si>
  <si>
    <t>P83999</t>
  </si>
  <si>
    <t>19:34</t>
  </si>
  <si>
    <t>S1470</t>
  </si>
  <si>
    <t>P31964</t>
  </si>
  <si>
    <t>S1471</t>
  </si>
  <si>
    <t>P67793</t>
  </si>
  <si>
    <t>10:50</t>
  </si>
  <si>
    <t>S1472</t>
  </si>
  <si>
    <t>P12007</t>
  </si>
  <si>
    <t>21:31</t>
  </si>
  <si>
    <t>S1473</t>
  </si>
  <si>
    <t>P98095</t>
  </si>
  <si>
    <t>20:31</t>
  </si>
  <si>
    <t>S1474</t>
  </si>
  <si>
    <t>P27999</t>
  </si>
  <si>
    <t>23:40</t>
  </si>
  <si>
    <t>S1475</t>
  </si>
  <si>
    <t>P11063</t>
  </si>
  <si>
    <t>20:53</t>
  </si>
  <si>
    <t>S1476</t>
  </si>
  <si>
    <t>P37246</t>
  </si>
  <si>
    <t>S1477</t>
  </si>
  <si>
    <t>P61101</t>
  </si>
  <si>
    <t>14:52</t>
  </si>
  <si>
    <t>21:52</t>
  </si>
  <si>
    <t>S1478</t>
  </si>
  <si>
    <t>P73209</t>
  </si>
  <si>
    <t>S1479</t>
  </si>
  <si>
    <t>P48803</t>
  </si>
  <si>
    <t>17:39</t>
  </si>
  <si>
    <t>S1480</t>
  </si>
  <si>
    <t>P53810</t>
  </si>
  <si>
    <t>05:51</t>
  </si>
  <si>
    <t>S1481</t>
  </si>
  <si>
    <t>P70190</t>
  </si>
  <si>
    <t>S1482</t>
  </si>
  <si>
    <t>P12818</t>
  </si>
  <si>
    <t>S1483</t>
  </si>
  <si>
    <t>P10909</t>
  </si>
  <si>
    <t>11/01/2026</t>
  </si>
  <si>
    <t>12:00</t>
  </si>
  <si>
    <t>S1484</t>
  </si>
  <si>
    <t>P87320</t>
  </si>
  <si>
    <t>12:40</t>
  </si>
  <si>
    <t>17:40</t>
  </si>
  <si>
    <t>S1485</t>
  </si>
  <si>
    <t>P97496</t>
  </si>
  <si>
    <t>S1486</t>
  </si>
  <si>
    <t>P98392</t>
  </si>
  <si>
    <t>00:10</t>
  </si>
  <si>
    <t>S1487</t>
  </si>
  <si>
    <t>P38194</t>
  </si>
  <si>
    <t>S1488</t>
  </si>
  <si>
    <t>P88032</t>
  </si>
  <si>
    <t>23:37</t>
  </si>
  <si>
    <t>S1489</t>
  </si>
  <si>
    <t>P60862</t>
  </si>
  <si>
    <t>22:13</t>
  </si>
  <si>
    <t>S1490</t>
  </si>
  <si>
    <t>P84651</t>
  </si>
  <si>
    <t>S1491</t>
  </si>
  <si>
    <t>P32817</t>
  </si>
  <si>
    <t>17:44</t>
  </si>
  <si>
    <t>S1492</t>
  </si>
  <si>
    <t>P13844</t>
  </si>
  <si>
    <t>01:00</t>
  </si>
  <si>
    <t>S1493</t>
  </si>
  <si>
    <t>P23350</t>
  </si>
  <si>
    <t>13:55</t>
  </si>
  <si>
    <t>S1494</t>
  </si>
  <si>
    <t>P71725</t>
  </si>
  <si>
    <t>22:23</t>
  </si>
  <si>
    <t>S1495</t>
  </si>
  <si>
    <t>P72976</t>
  </si>
  <si>
    <t>10:33</t>
  </si>
  <si>
    <t>22:33</t>
  </si>
  <si>
    <t>S1496</t>
  </si>
  <si>
    <t>P91869</t>
  </si>
  <si>
    <t>02:24</t>
  </si>
  <si>
    <t>S1497</t>
  </si>
  <si>
    <t>P74455</t>
  </si>
  <si>
    <t>15:25</t>
  </si>
  <si>
    <t>20:25</t>
  </si>
  <si>
    <t>S1498</t>
  </si>
  <si>
    <t>P67951</t>
  </si>
  <si>
    <t>18:32</t>
  </si>
  <si>
    <t>S1499</t>
  </si>
  <si>
    <t>P62077</t>
  </si>
  <si>
    <t>S1500</t>
  </si>
  <si>
    <t>P84364</t>
  </si>
  <si>
    <t>14:04</t>
  </si>
  <si>
    <t>S1501</t>
  </si>
  <si>
    <t>P21761</t>
  </si>
  <si>
    <t>S1502</t>
  </si>
  <si>
    <t>P56130</t>
  </si>
  <si>
    <t>S1503</t>
  </si>
  <si>
    <t>P53074</t>
  </si>
  <si>
    <t>16:53</t>
  </si>
  <si>
    <t>S1504</t>
  </si>
  <si>
    <t>P70682</t>
  </si>
  <si>
    <t>S1505</t>
  </si>
  <si>
    <t>P62985</t>
  </si>
  <si>
    <t>11:37</t>
  </si>
  <si>
    <t>S1506</t>
  </si>
  <si>
    <t>P36041</t>
  </si>
  <si>
    <t>11:55</t>
  </si>
  <si>
    <t>02:55</t>
  </si>
  <si>
    <t>S1507</t>
  </si>
  <si>
    <t>P79387</t>
  </si>
  <si>
    <t>17:46</t>
  </si>
  <si>
    <t>S1508</t>
  </si>
  <si>
    <t>P89575</t>
  </si>
  <si>
    <t>10:21</t>
  </si>
  <si>
    <t>21:21</t>
  </si>
  <si>
    <t>S1509</t>
  </si>
  <si>
    <t>P48138</t>
  </si>
  <si>
    <t>20:21</t>
  </si>
  <si>
    <t>S1510</t>
  </si>
  <si>
    <t>P92781</t>
  </si>
  <si>
    <t>17:07</t>
  </si>
  <si>
    <t>S1511</t>
  </si>
  <si>
    <t>P91233</t>
  </si>
  <si>
    <t>13:35</t>
  </si>
  <si>
    <t>S1512</t>
  </si>
  <si>
    <t>P78798</t>
  </si>
  <si>
    <t>S1513</t>
  </si>
  <si>
    <t>P85297</t>
  </si>
  <si>
    <t>S1514</t>
  </si>
  <si>
    <t>P52955</t>
  </si>
  <si>
    <t>12:32</t>
  </si>
  <si>
    <t>S1515</t>
  </si>
  <si>
    <t>P40858</t>
  </si>
  <si>
    <t>10:18</t>
  </si>
  <si>
    <t>S1516</t>
  </si>
  <si>
    <t>P26671</t>
  </si>
  <si>
    <t>10:36</t>
  </si>
  <si>
    <t>09:36</t>
  </si>
  <si>
    <t>S1517</t>
  </si>
  <si>
    <t>P93109</t>
  </si>
  <si>
    <t>S1518</t>
  </si>
  <si>
    <t>P29118</t>
  </si>
  <si>
    <t>15:58</t>
  </si>
  <si>
    <t>18:58</t>
  </si>
  <si>
    <t>S1519</t>
  </si>
  <si>
    <t>P11220</t>
  </si>
  <si>
    <t>11:32</t>
  </si>
  <si>
    <t>S1520</t>
  </si>
  <si>
    <t>P44008</t>
  </si>
  <si>
    <t>12:28</t>
  </si>
  <si>
    <t>S1521</t>
  </si>
  <si>
    <t>P98483</t>
  </si>
  <si>
    <t>20:40</t>
  </si>
  <si>
    <t>S1522</t>
  </si>
  <si>
    <t>P39835</t>
  </si>
  <si>
    <t>07:24</t>
  </si>
  <si>
    <t>S1523</t>
  </si>
  <si>
    <t>P96496</t>
  </si>
  <si>
    <t>13:05</t>
  </si>
  <si>
    <t>S1524</t>
  </si>
  <si>
    <t>P24693</t>
  </si>
  <si>
    <t>21:26</t>
  </si>
  <si>
    <t>S1525</t>
  </si>
  <si>
    <t>P42880</t>
  </si>
  <si>
    <t>S1526</t>
  </si>
  <si>
    <t>P98364</t>
  </si>
  <si>
    <t>21:36</t>
  </si>
  <si>
    <t>S1527</t>
  </si>
  <si>
    <t>P71253</t>
  </si>
  <si>
    <t>S1528</t>
  </si>
  <si>
    <t>P57180</t>
  </si>
  <si>
    <t>02:37</t>
  </si>
  <si>
    <t>S1529</t>
  </si>
  <si>
    <t>P68040</t>
  </si>
  <si>
    <t>18:42</t>
  </si>
  <si>
    <t>S1530</t>
  </si>
  <si>
    <t>P75677</t>
  </si>
  <si>
    <t>S1531</t>
  </si>
  <si>
    <t>P28423</t>
  </si>
  <si>
    <t>S1532</t>
  </si>
  <si>
    <t>P75824</t>
  </si>
  <si>
    <t>S1533</t>
  </si>
  <si>
    <t>P26733</t>
  </si>
  <si>
    <t>01:36</t>
  </si>
  <si>
    <t>S1534</t>
  </si>
  <si>
    <t>P76887</t>
  </si>
  <si>
    <t>S1535</t>
  </si>
  <si>
    <t>P10497</t>
  </si>
  <si>
    <t>S1536</t>
  </si>
  <si>
    <t>P63434</t>
  </si>
  <si>
    <t>08:54</t>
  </si>
  <si>
    <t>S1537</t>
  </si>
  <si>
    <t>P17369</t>
  </si>
  <si>
    <t>16:58</t>
  </si>
  <si>
    <t>S1538</t>
  </si>
  <si>
    <t>P58562</t>
  </si>
  <si>
    <t>S1539</t>
  </si>
  <si>
    <t>P77826</t>
  </si>
  <si>
    <t>04:21</t>
  </si>
  <si>
    <t>S1540</t>
  </si>
  <si>
    <t>P40567</t>
  </si>
  <si>
    <t>S1541</t>
  </si>
  <si>
    <t>P93636</t>
  </si>
  <si>
    <t>17:01</t>
  </si>
  <si>
    <t>S1542</t>
  </si>
  <si>
    <t>P13275</t>
  </si>
  <si>
    <t>22:54</t>
  </si>
  <si>
    <t>S1543</t>
  </si>
  <si>
    <t>P32354</t>
  </si>
  <si>
    <t>18:18</t>
  </si>
  <si>
    <t>S1544</t>
  </si>
  <si>
    <t>P53297</t>
  </si>
  <si>
    <t>04:56</t>
  </si>
  <si>
    <t>S1545</t>
  </si>
  <si>
    <t>P17553</t>
  </si>
  <si>
    <t>00:01</t>
  </si>
  <si>
    <t>S1546</t>
  </si>
  <si>
    <t>P47711</t>
  </si>
  <si>
    <t>02:12</t>
  </si>
  <si>
    <t>S1547</t>
  </si>
  <si>
    <t>P33717</t>
  </si>
  <si>
    <t>18:33</t>
  </si>
  <si>
    <t>S1548</t>
  </si>
  <si>
    <t>P91810</t>
  </si>
  <si>
    <t>07:57</t>
  </si>
  <si>
    <t>S1549</t>
  </si>
  <si>
    <t>P46495</t>
  </si>
  <si>
    <t>09:59</t>
  </si>
  <si>
    <t>S1550</t>
  </si>
  <si>
    <t>P69168</t>
  </si>
  <si>
    <t>21:56</t>
  </si>
  <si>
    <t>S1551</t>
  </si>
  <si>
    <t>P98090</t>
  </si>
  <si>
    <t>13:04</t>
  </si>
  <si>
    <t>21:04</t>
  </si>
  <si>
    <t>S1552</t>
  </si>
  <si>
    <t>P80194</t>
  </si>
  <si>
    <t>09:33</t>
  </si>
  <si>
    <t>S1553</t>
  </si>
  <si>
    <t>P83480</t>
  </si>
  <si>
    <t>S1554</t>
  </si>
  <si>
    <t>P70569</t>
  </si>
  <si>
    <t>S1555</t>
  </si>
  <si>
    <t>P23116</t>
  </si>
  <si>
    <t>S1556</t>
  </si>
  <si>
    <t>P94510</t>
  </si>
  <si>
    <t>11:44</t>
  </si>
  <si>
    <t>22:44</t>
  </si>
  <si>
    <t>S1557</t>
  </si>
  <si>
    <t>P94418</t>
  </si>
  <si>
    <t>13:46</t>
  </si>
  <si>
    <t>S1558</t>
  </si>
  <si>
    <t>P18495</t>
  </si>
  <si>
    <t>S1559</t>
  </si>
  <si>
    <t>P51194</t>
  </si>
  <si>
    <t>13:16</t>
  </si>
  <si>
    <t>19:16</t>
  </si>
  <si>
    <t>S1560</t>
  </si>
  <si>
    <t>P82090</t>
  </si>
  <si>
    <t>02:40</t>
  </si>
  <si>
    <t>S1561</t>
  </si>
  <si>
    <t>P58782</t>
  </si>
  <si>
    <t>02:47</t>
  </si>
  <si>
    <t>S1562</t>
  </si>
  <si>
    <t>P70276</t>
  </si>
  <si>
    <t>S1563</t>
  </si>
  <si>
    <t>P26479</t>
  </si>
  <si>
    <t>08:25</t>
  </si>
  <si>
    <t>S1564</t>
  </si>
  <si>
    <t>P98730</t>
  </si>
  <si>
    <t>S1565</t>
  </si>
  <si>
    <t>P93092</t>
  </si>
  <si>
    <t>09:32</t>
  </si>
  <si>
    <t>19:32</t>
  </si>
  <si>
    <t>S1566</t>
  </si>
  <si>
    <t>P80447</t>
  </si>
  <si>
    <t>S1567</t>
  </si>
  <si>
    <t>P39311</t>
  </si>
  <si>
    <t>S1568</t>
  </si>
  <si>
    <t>P35965</t>
  </si>
  <si>
    <t>16:48</t>
  </si>
  <si>
    <t>19:48</t>
  </si>
  <si>
    <t>S1569</t>
  </si>
  <si>
    <t>P75782</t>
  </si>
  <si>
    <t>07/01/2026</t>
  </si>
  <si>
    <t>22:50</t>
  </si>
  <si>
    <t>S1570</t>
  </si>
  <si>
    <t>P92743</t>
  </si>
  <si>
    <t>S1571</t>
  </si>
  <si>
    <t>P22868</t>
  </si>
  <si>
    <t>16:23</t>
  </si>
  <si>
    <t>20:23</t>
  </si>
  <si>
    <t>S1572</t>
  </si>
  <si>
    <t>P42703</t>
  </si>
  <si>
    <t>15:49</t>
  </si>
  <si>
    <t>S1573</t>
  </si>
  <si>
    <t>P55456</t>
  </si>
  <si>
    <t>23:24</t>
  </si>
  <si>
    <t>S1574</t>
  </si>
  <si>
    <t>P95047</t>
  </si>
  <si>
    <t>S1575</t>
  </si>
  <si>
    <t>P71060</t>
  </si>
  <si>
    <t>S1576</t>
  </si>
  <si>
    <t>P32790</t>
  </si>
  <si>
    <t>18:56</t>
  </si>
  <si>
    <t>S1577</t>
  </si>
  <si>
    <t>P39306</t>
  </si>
  <si>
    <t>14:19</t>
  </si>
  <si>
    <t>18:19</t>
  </si>
  <si>
    <t>S1578</t>
  </si>
  <si>
    <t>P72662</t>
  </si>
  <si>
    <t>S1579</t>
  </si>
  <si>
    <t>P43139</t>
  </si>
  <si>
    <t>15:57</t>
  </si>
  <si>
    <t>S1580</t>
  </si>
  <si>
    <t>P23409</t>
  </si>
  <si>
    <t>S1581</t>
  </si>
  <si>
    <t>P17682</t>
  </si>
  <si>
    <t>03:45</t>
  </si>
  <si>
    <t>S1582</t>
  </si>
  <si>
    <t>P64898</t>
  </si>
  <si>
    <t>S1583</t>
  </si>
  <si>
    <t>P35465</t>
  </si>
  <si>
    <t>S1584</t>
  </si>
  <si>
    <t>P85503</t>
  </si>
  <si>
    <t>S1585</t>
  </si>
  <si>
    <t>P87584</t>
  </si>
  <si>
    <t>08:52</t>
  </si>
  <si>
    <t>S1586</t>
  </si>
  <si>
    <t>P38183</t>
  </si>
  <si>
    <t>08:07</t>
  </si>
  <si>
    <t>S1587</t>
  </si>
  <si>
    <t>P25914</t>
  </si>
  <si>
    <t>S1588</t>
  </si>
  <si>
    <t>P42160</t>
  </si>
  <si>
    <t>S1589</t>
  </si>
  <si>
    <t>P65158</t>
  </si>
  <si>
    <t>S1590</t>
  </si>
  <si>
    <t>P63517</t>
  </si>
  <si>
    <t>11:10</t>
  </si>
  <si>
    <t>22:10</t>
  </si>
  <si>
    <t>S1591</t>
  </si>
  <si>
    <t>P17525</t>
  </si>
  <si>
    <t>S1592</t>
  </si>
  <si>
    <t>P82629</t>
  </si>
  <si>
    <t>11:23</t>
  </si>
  <si>
    <t>19:23</t>
  </si>
  <si>
    <t>S1593</t>
  </si>
  <si>
    <t>P42293</t>
  </si>
  <si>
    <t>S1594</t>
  </si>
  <si>
    <t>P37882</t>
  </si>
  <si>
    <t>23:13</t>
  </si>
  <si>
    <t>S1595</t>
  </si>
  <si>
    <t>P71185</t>
  </si>
  <si>
    <t>S1596</t>
  </si>
  <si>
    <t>P56859</t>
  </si>
  <si>
    <t>09:35</t>
  </si>
  <si>
    <t>12:35</t>
  </si>
  <si>
    <t>S1597</t>
  </si>
  <si>
    <t>P85342</t>
  </si>
  <si>
    <t>S1598</t>
  </si>
  <si>
    <t>P58160</t>
  </si>
  <si>
    <t>22:38</t>
  </si>
  <si>
    <t>S1599</t>
  </si>
  <si>
    <t>P92340</t>
  </si>
  <si>
    <t>17:45</t>
  </si>
  <si>
    <t>P61987</t>
  </si>
  <si>
    <t>22:34</t>
  </si>
  <si>
    <t>S1601</t>
  </si>
  <si>
    <t>P25463</t>
  </si>
  <si>
    <t>S1602</t>
  </si>
  <si>
    <t>P11711</t>
  </si>
  <si>
    <t>S1603</t>
  </si>
  <si>
    <t>P46514</t>
  </si>
  <si>
    <t>12:55</t>
  </si>
  <si>
    <t>00:55</t>
  </si>
  <si>
    <t>S1604</t>
  </si>
  <si>
    <t>P72524</t>
  </si>
  <si>
    <t>06:47</t>
  </si>
  <si>
    <t>S1605</t>
  </si>
  <si>
    <t>P75648</t>
  </si>
  <si>
    <t>S1606</t>
  </si>
  <si>
    <t>P66388</t>
  </si>
  <si>
    <t>S1607</t>
  </si>
  <si>
    <t>P47583</t>
  </si>
  <si>
    <t>S1608</t>
  </si>
  <si>
    <t>P33955</t>
  </si>
  <si>
    <t>S1609</t>
  </si>
  <si>
    <t>P79143</t>
  </si>
  <si>
    <t>01:51</t>
  </si>
  <si>
    <t>S1610</t>
  </si>
  <si>
    <t>P37859</t>
  </si>
  <si>
    <t>S1611</t>
  </si>
  <si>
    <t>P64044</t>
  </si>
  <si>
    <t>S1612</t>
  </si>
  <si>
    <t>P54080</t>
  </si>
  <si>
    <t>18:21</t>
  </si>
  <si>
    <t>S1613</t>
  </si>
  <si>
    <t>P50468</t>
  </si>
  <si>
    <t>15:27</t>
  </si>
  <si>
    <t>01:27</t>
  </si>
  <si>
    <t>S1614</t>
  </si>
  <si>
    <t>P22514</t>
  </si>
  <si>
    <t>00:30</t>
  </si>
  <si>
    <t>S1615</t>
  </si>
  <si>
    <t>P67759</t>
  </si>
  <si>
    <t>12:11</t>
  </si>
  <si>
    <t>S1616</t>
  </si>
  <si>
    <t>P97476</t>
  </si>
  <si>
    <t>S1617</t>
  </si>
  <si>
    <t>P22488</t>
  </si>
  <si>
    <t>16:22</t>
  </si>
  <si>
    <t>23:22</t>
  </si>
  <si>
    <t>S1618</t>
  </si>
  <si>
    <t>P96198</t>
  </si>
  <si>
    <t>21:00</t>
  </si>
  <si>
    <t>S1619</t>
  </si>
  <si>
    <t>P11578</t>
  </si>
  <si>
    <t>04:08</t>
  </si>
  <si>
    <t>S1620</t>
  </si>
  <si>
    <t>P24438</t>
  </si>
  <si>
    <t>05:36</t>
  </si>
  <si>
    <t>S1621</t>
  </si>
  <si>
    <t>P41138</t>
  </si>
  <si>
    <t>00:22</t>
  </si>
  <si>
    <t>S1622</t>
  </si>
  <si>
    <t>P68588</t>
  </si>
  <si>
    <t>S1623</t>
  </si>
  <si>
    <t>P14796</t>
  </si>
  <si>
    <t>01:35</t>
  </si>
  <si>
    <t>S1624</t>
  </si>
  <si>
    <t>P54413</t>
  </si>
  <si>
    <t>07:50</t>
  </si>
  <si>
    <t>14:50</t>
  </si>
  <si>
    <t>S1625</t>
  </si>
  <si>
    <t>P95775</t>
  </si>
  <si>
    <t>12:04</t>
  </si>
  <si>
    <t>01:04</t>
  </si>
  <si>
    <t>S1626</t>
  </si>
  <si>
    <t>P73077</t>
  </si>
  <si>
    <t>16:37</t>
  </si>
  <si>
    <t>00:37</t>
  </si>
  <si>
    <t>S1627</t>
  </si>
  <si>
    <t>P50503</t>
  </si>
  <si>
    <t>14:21</t>
  </si>
  <si>
    <t>16:21</t>
  </si>
  <si>
    <t>S1628</t>
  </si>
  <si>
    <t>P73393</t>
  </si>
  <si>
    <t>S1629</t>
  </si>
  <si>
    <t>P87050</t>
  </si>
  <si>
    <t>S1630</t>
  </si>
  <si>
    <t>P17781</t>
  </si>
  <si>
    <t>S1631</t>
  </si>
  <si>
    <t>P13240</t>
  </si>
  <si>
    <t>07:17</t>
  </si>
  <si>
    <t>S1632</t>
  </si>
  <si>
    <t>P46211</t>
  </si>
  <si>
    <t>S1633</t>
  </si>
  <si>
    <t>P54511</t>
  </si>
  <si>
    <t>S1634</t>
  </si>
  <si>
    <t>P69565</t>
  </si>
  <si>
    <t>10:59</t>
  </si>
  <si>
    <t>02:59</t>
  </si>
  <si>
    <t>S1635</t>
  </si>
  <si>
    <t>P53024</t>
  </si>
  <si>
    <t>08:10</t>
  </si>
  <si>
    <t>S1636</t>
  </si>
  <si>
    <t>P22701</t>
  </si>
  <si>
    <t>S1637</t>
  </si>
  <si>
    <t>P20271</t>
  </si>
  <si>
    <t>S1638</t>
  </si>
  <si>
    <t>P86245</t>
  </si>
  <si>
    <t>S1639</t>
  </si>
  <si>
    <t>P62197</t>
  </si>
  <si>
    <t>S1640</t>
  </si>
  <si>
    <t>P50575</t>
  </si>
  <si>
    <t>08:18</t>
  </si>
  <si>
    <t>21:18</t>
  </si>
  <si>
    <t>S1641</t>
  </si>
  <si>
    <t>P45546</t>
  </si>
  <si>
    <t>21:33</t>
  </si>
  <si>
    <t>S1642</t>
  </si>
  <si>
    <t>P88413</t>
  </si>
  <si>
    <t>16:38</t>
  </si>
  <si>
    <t>23:38</t>
  </si>
  <si>
    <t>S1643</t>
  </si>
  <si>
    <t>P93334</t>
  </si>
  <si>
    <t>S1644</t>
  </si>
  <si>
    <t>P20559</t>
  </si>
  <si>
    <t>S1645</t>
  </si>
  <si>
    <t>P19424</t>
  </si>
  <si>
    <t>S1646</t>
  </si>
  <si>
    <t>P31651</t>
  </si>
  <si>
    <t>S1647</t>
  </si>
  <si>
    <t>P70473</t>
  </si>
  <si>
    <t>S1648</t>
  </si>
  <si>
    <t>P96301</t>
  </si>
  <si>
    <t>15:44</t>
  </si>
  <si>
    <t>19:44</t>
  </si>
  <si>
    <t>S1649</t>
  </si>
  <si>
    <t>P36391</t>
  </si>
  <si>
    <t>15:42</t>
  </si>
  <si>
    <t>02:42</t>
  </si>
  <si>
    <t>S1650</t>
  </si>
  <si>
    <t>P11384</t>
  </si>
  <si>
    <t>10:23</t>
  </si>
  <si>
    <t>S1651</t>
  </si>
  <si>
    <t>P52494</t>
  </si>
  <si>
    <t>S1652</t>
  </si>
  <si>
    <t>P45205</t>
  </si>
  <si>
    <t>21:20</t>
  </si>
  <si>
    <t>S1653</t>
  </si>
  <si>
    <t>P41772</t>
  </si>
  <si>
    <t>04:27</t>
  </si>
  <si>
    <t>S1654</t>
  </si>
  <si>
    <t>P88098</t>
  </si>
  <si>
    <t>S1655</t>
  </si>
  <si>
    <t>P60806</t>
  </si>
  <si>
    <t>21:15</t>
  </si>
  <si>
    <t>S1656</t>
  </si>
  <si>
    <t>P79826</t>
  </si>
  <si>
    <t>14:08</t>
  </si>
  <si>
    <t>22:08</t>
  </si>
  <si>
    <t>S1657</t>
  </si>
  <si>
    <t>P13058</t>
  </si>
  <si>
    <t>S1658</t>
  </si>
  <si>
    <t>P78596</t>
  </si>
  <si>
    <t>23:53</t>
  </si>
  <si>
    <t>S1659</t>
  </si>
  <si>
    <t>P81446</t>
  </si>
  <si>
    <t>17:16</t>
  </si>
  <si>
    <t>S1660</t>
  </si>
  <si>
    <t>P72402</t>
  </si>
  <si>
    <t>09:43</t>
  </si>
  <si>
    <t>14:43</t>
  </si>
  <si>
    <t>S1661</t>
  </si>
  <si>
    <t>P82261</t>
  </si>
  <si>
    <t>09:08</t>
  </si>
  <si>
    <t>S1662</t>
  </si>
  <si>
    <t>P49412</t>
  </si>
  <si>
    <t>S1663</t>
  </si>
  <si>
    <t>P48831</t>
  </si>
  <si>
    <t>11:39</t>
  </si>
  <si>
    <t>S1664</t>
  </si>
  <si>
    <t>P56065</t>
  </si>
  <si>
    <t>21:51</t>
  </si>
  <si>
    <t>S1665</t>
  </si>
  <si>
    <t>P63769</t>
  </si>
  <si>
    <t>10:05</t>
  </si>
  <si>
    <t>01:05</t>
  </si>
  <si>
    <t>S1666</t>
  </si>
  <si>
    <t>P79168</t>
  </si>
  <si>
    <t>S1667</t>
  </si>
  <si>
    <t>P10629</t>
  </si>
  <si>
    <t>S1668</t>
  </si>
  <si>
    <t>P43275</t>
  </si>
  <si>
    <t>03:16</t>
  </si>
  <si>
    <t>S1669</t>
  </si>
  <si>
    <t>P87294</t>
  </si>
  <si>
    <t>S1670</t>
  </si>
  <si>
    <t>P65870</t>
  </si>
  <si>
    <t>10:43</t>
  </si>
  <si>
    <t>19:43</t>
  </si>
  <si>
    <t>S1671</t>
  </si>
  <si>
    <t>P28841</t>
  </si>
  <si>
    <t>23:48</t>
  </si>
  <si>
    <t>S1672</t>
  </si>
  <si>
    <t>P57577</t>
  </si>
  <si>
    <t>S1673</t>
  </si>
  <si>
    <t>P48248</t>
  </si>
  <si>
    <t>11:27</t>
  </si>
  <si>
    <t>18:27</t>
  </si>
  <si>
    <t>S1674</t>
  </si>
  <si>
    <t>P26802</t>
  </si>
  <si>
    <t>S1675</t>
  </si>
  <si>
    <t>P11922</t>
  </si>
  <si>
    <t>08:59</t>
  </si>
  <si>
    <t>S1676</t>
  </si>
  <si>
    <t>P38768</t>
  </si>
  <si>
    <t>20:44</t>
  </si>
  <si>
    <t>S1677</t>
  </si>
  <si>
    <t>P19615</t>
  </si>
  <si>
    <t>S1678</t>
  </si>
  <si>
    <t>P15261</t>
  </si>
  <si>
    <t>S1679</t>
  </si>
  <si>
    <t>P85574</t>
  </si>
  <si>
    <t>11:26</t>
  </si>
  <si>
    <t>19:26</t>
  </si>
  <si>
    <t>S1680</t>
  </si>
  <si>
    <t>P59056</t>
  </si>
  <si>
    <t>16:33</t>
  </si>
  <si>
    <t>S1681</t>
  </si>
  <si>
    <t>P62125</t>
  </si>
  <si>
    <t>13:52</t>
  </si>
  <si>
    <t>S1682</t>
  </si>
  <si>
    <t>P47281</t>
  </si>
  <si>
    <t>S1683</t>
  </si>
  <si>
    <t>P87885</t>
  </si>
  <si>
    <t>18:40</t>
  </si>
  <si>
    <t>S1684</t>
  </si>
  <si>
    <t>P28756</t>
  </si>
  <si>
    <t>07:55</t>
  </si>
  <si>
    <t>S1685</t>
  </si>
  <si>
    <t>P32769</t>
  </si>
  <si>
    <t>18:30</t>
  </si>
  <si>
    <t>S1686</t>
  </si>
  <si>
    <t>P11115</t>
  </si>
  <si>
    <t>S1687</t>
  </si>
  <si>
    <t>P80536</t>
  </si>
  <si>
    <t>12:50</t>
  </si>
  <si>
    <t>18:50</t>
  </si>
  <si>
    <t>S1688</t>
  </si>
  <si>
    <t>P31965</t>
  </si>
  <si>
    <t>S1689</t>
  </si>
  <si>
    <t>P57762</t>
  </si>
  <si>
    <t>11:58</t>
  </si>
  <si>
    <t>21:58</t>
  </si>
  <si>
    <t>S1690</t>
  </si>
  <si>
    <t>P43316</t>
  </si>
  <si>
    <t>S1691</t>
  </si>
  <si>
    <t>P63016</t>
  </si>
  <si>
    <t>09:19</t>
  </si>
  <si>
    <t>S1692</t>
  </si>
  <si>
    <t>P65779</t>
  </si>
  <si>
    <t>S1693</t>
  </si>
  <si>
    <t>P88748</t>
  </si>
  <si>
    <t>00:17</t>
  </si>
  <si>
    <t>S1694</t>
  </si>
  <si>
    <t>P91261</t>
  </si>
  <si>
    <t>S1695</t>
  </si>
  <si>
    <t>P86694</t>
  </si>
  <si>
    <t>13:43</t>
  </si>
  <si>
    <t>21:43</t>
  </si>
  <si>
    <t>S1696</t>
  </si>
  <si>
    <t>P12144</t>
  </si>
  <si>
    <t>14:16</t>
  </si>
  <si>
    <t>S1697</t>
  </si>
  <si>
    <t>P74364</t>
  </si>
  <si>
    <t>17:02</t>
  </si>
  <si>
    <t>S1698</t>
  </si>
  <si>
    <t>P82179</t>
  </si>
  <si>
    <t>S1699</t>
  </si>
  <si>
    <t>P81034</t>
  </si>
  <si>
    <t>07:49</t>
  </si>
  <si>
    <t>S1700</t>
  </si>
  <si>
    <t>P68937</t>
  </si>
  <si>
    <t>S1701</t>
  </si>
  <si>
    <t>P71228</t>
  </si>
  <si>
    <t>13:14</t>
  </si>
  <si>
    <t>S1702</t>
  </si>
  <si>
    <t>P22136</t>
  </si>
  <si>
    <t>19:42</t>
  </si>
  <si>
    <t>S1703</t>
  </si>
  <si>
    <t>P94988</t>
  </si>
  <si>
    <t>23:05</t>
  </si>
  <si>
    <t>S1704</t>
  </si>
  <si>
    <t>P58183</t>
  </si>
  <si>
    <t>S1705</t>
  </si>
  <si>
    <t>P74697</t>
  </si>
  <si>
    <t>S1706</t>
  </si>
  <si>
    <t>P81094</t>
  </si>
  <si>
    <t>02:50</t>
  </si>
  <si>
    <t>S1707</t>
  </si>
  <si>
    <t>P31155</t>
  </si>
  <si>
    <t>10:19</t>
  </si>
  <si>
    <t>23:19</t>
  </si>
  <si>
    <t>S1708</t>
  </si>
  <si>
    <t>P77887</t>
  </si>
  <si>
    <t>10:27</t>
  </si>
  <si>
    <t>S1709</t>
  </si>
  <si>
    <t>P46045</t>
  </si>
  <si>
    <t>16:42</t>
  </si>
  <si>
    <t>S1710</t>
  </si>
  <si>
    <t>P23482</t>
  </si>
  <si>
    <t>S1711</t>
  </si>
  <si>
    <t>P73629</t>
  </si>
  <si>
    <t>S1712</t>
  </si>
  <si>
    <t>P99103</t>
  </si>
  <si>
    <t>S1713</t>
  </si>
  <si>
    <t>P41416</t>
  </si>
  <si>
    <t>18:04</t>
  </si>
  <si>
    <t>S1714</t>
  </si>
  <si>
    <t>P85090</t>
  </si>
  <si>
    <t>S1715</t>
  </si>
  <si>
    <t>P91941</t>
  </si>
  <si>
    <t>S1716</t>
  </si>
  <si>
    <t>P58257</t>
  </si>
  <si>
    <t>S1717</t>
  </si>
  <si>
    <t>P69062</t>
  </si>
  <si>
    <t>S1718</t>
  </si>
  <si>
    <t>P50784</t>
  </si>
  <si>
    <t>S1719</t>
  </si>
  <si>
    <t>P24564</t>
  </si>
  <si>
    <t>21:28</t>
  </si>
  <si>
    <t>S1720</t>
  </si>
  <si>
    <t>P27825</t>
  </si>
  <si>
    <t>05:50</t>
  </si>
  <si>
    <t>S1721</t>
  </si>
  <si>
    <t>P17711</t>
  </si>
  <si>
    <t>10:37</t>
  </si>
  <si>
    <t>S1722</t>
  </si>
  <si>
    <t>P68349</t>
  </si>
  <si>
    <t>07:45</t>
  </si>
  <si>
    <t>13:45</t>
  </si>
  <si>
    <t>S1723</t>
  </si>
  <si>
    <t>P72335</t>
  </si>
  <si>
    <t>S1724</t>
  </si>
  <si>
    <t>P32124</t>
  </si>
  <si>
    <t>18:34</t>
  </si>
  <si>
    <t>S1725</t>
  </si>
  <si>
    <t>P67890</t>
  </si>
  <si>
    <t>12:14</t>
  </si>
  <si>
    <t>23:14</t>
  </si>
  <si>
    <t>S1726</t>
  </si>
  <si>
    <t>P70225</t>
  </si>
  <si>
    <t>18:00</t>
  </si>
  <si>
    <t>S1727</t>
  </si>
  <si>
    <t>P29337</t>
  </si>
  <si>
    <t>18:55</t>
  </si>
  <si>
    <t>S1728</t>
  </si>
  <si>
    <t>P43274</t>
  </si>
  <si>
    <t>09:58</t>
  </si>
  <si>
    <t>S1729</t>
  </si>
  <si>
    <t>P24496</t>
  </si>
  <si>
    <t>S1730</t>
  </si>
  <si>
    <t>P41061</t>
  </si>
  <si>
    <t>11:02</t>
  </si>
  <si>
    <t>S1731</t>
  </si>
  <si>
    <t>P79128</t>
  </si>
  <si>
    <t>18:08</t>
  </si>
  <si>
    <t>S1732</t>
  </si>
  <si>
    <t>P95584</t>
  </si>
  <si>
    <t>S1733</t>
  </si>
  <si>
    <t>P55168</t>
  </si>
  <si>
    <t>13:01</t>
  </si>
  <si>
    <t>21:01</t>
  </si>
  <si>
    <t>S1734</t>
  </si>
  <si>
    <t>P40788</t>
  </si>
  <si>
    <t>12/01/2026</t>
  </si>
  <si>
    <t>S1735</t>
  </si>
  <si>
    <t>P14189</t>
  </si>
  <si>
    <t>S1736</t>
  </si>
  <si>
    <t>P55921</t>
  </si>
  <si>
    <t>S1737</t>
  </si>
  <si>
    <t>P61820</t>
  </si>
  <si>
    <t>S1738</t>
  </si>
  <si>
    <t>P65035</t>
  </si>
  <si>
    <t>S1739</t>
  </si>
  <si>
    <t>P71048</t>
  </si>
  <si>
    <t>04:35</t>
  </si>
  <si>
    <t>S1740</t>
  </si>
  <si>
    <t>P16351</t>
  </si>
  <si>
    <t>19:38</t>
  </si>
  <si>
    <t>S1741</t>
  </si>
  <si>
    <t>P34741</t>
  </si>
  <si>
    <t>09:29</t>
  </si>
  <si>
    <t>S1742</t>
  </si>
  <si>
    <t>P91299</t>
  </si>
  <si>
    <t>S1743</t>
  </si>
  <si>
    <t>P41076</t>
  </si>
  <si>
    <t>19:49</t>
  </si>
  <si>
    <t>S1744</t>
  </si>
  <si>
    <t>P86114</t>
  </si>
  <si>
    <t>05:55</t>
  </si>
  <si>
    <t>S1745</t>
  </si>
  <si>
    <t>P34760</t>
  </si>
  <si>
    <t>14:20</t>
  </si>
  <si>
    <t>S1746</t>
  </si>
  <si>
    <t>P20048</t>
  </si>
  <si>
    <t>01:30</t>
  </si>
  <si>
    <t>S1747</t>
  </si>
  <si>
    <t>P52137</t>
  </si>
  <si>
    <t>S1748</t>
  </si>
  <si>
    <t>P80330</t>
  </si>
  <si>
    <t>22:41</t>
  </si>
  <si>
    <t>S1749</t>
  </si>
  <si>
    <t>P51373</t>
  </si>
  <si>
    <t>S1750</t>
  </si>
  <si>
    <t>P23114</t>
  </si>
  <si>
    <t>13:02</t>
  </si>
  <si>
    <t>S1751</t>
  </si>
  <si>
    <t>P16890</t>
  </si>
  <si>
    <t>S1752</t>
  </si>
  <si>
    <t>P14379</t>
  </si>
  <si>
    <t>00:56</t>
  </si>
  <si>
    <t>S1753</t>
  </si>
  <si>
    <t>P77913</t>
  </si>
  <si>
    <t>S1754</t>
  </si>
  <si>
    <t>P55905</t>
  </si>
  <si>
    <t>S1755</t>
  </si>
  <si>
    <t>P27578</t>
  </si>
  <si>
    <t>00:00</t>
  </si>
  <si>
    <t>S1756</t>
  </si>
  <si>
    <t>P20426</t>
  </si>
  <si>
    <t>S1757</t>
  </si>
  <si>
    <t>P97249</t>
  </si>
  <si>
    <t>08:12</t>
  </si>
  <si>
    <t>S1758</t>
  </si>
  <si>
    <t>P68072</t>
  </si>
  <si>
    <t>13:49</t>
  </si>
  <si>
    <t>22:49</t>
  </si>
  <si>
    <t>S1759</t>
  </si>
  <si>
    <t>P29947</t>
  </si>
  <si>
    <t>18:35</t>
  </si>
  <si>
    <t>S1760</t>
  </si>
  <si>
    <t>P86941</t>
  </si>
  <si>
    <t>S1761</t>
  </si>
  <si>
    <t>P29636</t>
  </si>
  <si>
    <t>00:16</t>
  </si>
  <si>
    <t>S1762</t>
  </si>
  <si>
    <t>P79899</t>
  </si>
  <si>
    <t>09:27</t>
  </si>
  <si>
    <t>S1763</t>
  </si>
  <si>
    <t>P29584</t>
  </si>
  <si>
    <t>07:36</t>
  </si>
  <si>
    <t>S1764</t>
  </si>
  <si>
    <t>P96919</t>
  </si>
  <si>
    <t>11:30</t>
  </si>
  <si>
    <t>S1765</t>
  </si>
  <si>
    <t>P42641</t>
  </si>
  <si>
    <t>S1766</t>
  </si>
  <si>
    <t>P87438</t>
  </si>
  <si>
    <t>23:49</t>
  </si>
  <si>
    <t>S1767</t>
  </si>
  <si>
    <t>P37708</t>
  </si>
  <si>
    <t>S1768</t>
  </si>
  <si>
    <t>P20295</t>
  </si>
  <si>
    <t>19:18</t>
  </si>
  <si>
    <t>S1769</t>
  </si>
  <si>
    <t>P51845</t>
  </si>
  <si>
    <t>14:15</t>
  </si>
  <si>
    <t>S1770</t>
  </si>
  <si>
    <t>P45319</t>
  </si>
  <si>
    <t>S1771</t>
  </si>
  <si>
    <t>P12570</t>
  </si>
  <si>
    <t>S1772</t>
  </si>
  <si>
    <t>P62344</t>
  </si>
  <si>
    <t>S1773</t>
  </si>
  <si>
    <t>P91502</t>
  </si>
  <si>
    <t>S1774</t>
  </si>
  <si>
    <t>P26740</t>
  </si>
  <si>
    <t>23:29</t>
  </si>
  <si>
    <t>S1775</t>
  </si>
  <si>
    <t>P37079</t>
  </si>
  <si>
    <t>13:50</t>
  </si>
  <si>
    <t>S1776</t>
  </si>
  <si>
    <t>P51642</t>
  </si>
  <si>
    <t>17:52</t>
  </si>
  <si>
    <t>S1777</t>
  </si>
  <si>
    <t>P67180</t>
  </si>
  <si>
    <t>01:12</t>
  </si>
  <si>
    <t>S1778</t>
  </si>
  <si>
    <t>P39100</t>
  </si>
  <si>
    <t>S1779</t>
  </si>
  <si>
    <t>P82068</t>
  </si>
  <si>
    <t>S1780</t>
  </si>
  <si>
    <t>P80654</t>
  </si>
  <si>
    <t>11:38</t>
  </si>
  <si>
    <t>18:38</t>
  </si>
  <si>
    <t>S1781</t>
  </si>
  <si>
    <t>P62757</t>
  </si>
  <si>
    <t>S1782</t>
  </si>
  <si>
    <t>P33794</t>
  </si>
  <si>
    <t>S1783</t>
  </si>
  <si>
    <t>P47975</t>
  </si>
  <si>
    <t>S1784</t>
  </si>
  <si>
    <t>P83865</t>
  </si>
  <si>
    <t>07:58</t>
  </si>
  <si>
    <t>S1785</t>
  </si>
  <si>
    <t>P51708</t>
  </si>
  <si>
    <t>09:16</t>
  </si>
  <si>
    <t>S1786</t>
  </si>
  <si>
    <t>P61582</t>
  </si>
  <si>
    <t>S1787</t>
  </si>
  <si>
    <t>P60519</t>
  </si>
  <si>
    <t>S1788</t>
  </si>
  <si>
    <t>P54276</t>
  </si>
  <si>
    <t>19:09</t>
  </si>
  <si>
    <t>S1789</t>
  </si>
  <si>
    <t>P91263</t>
  </si>
  <si>
    <t>S1790</t>
  </si>
  <si>
    <t>P13744</t>
  </si>
  <si>
    <t>20:36</t>
  </si>
  <si>
    <t>S1791</t>
  </si>
  <si>
    <t>P88610</t>
  </si>
  <si>
    <t>S1792</t>
  </si>
  <si>
    <t>P10969</t>
  </si>
  <si>
    <t>S1793</t>
  </si>
  <si>
    <t>P92648</t>
  </si>
  <si>
    <t>07:07</t>
  </si>
  <si>
    <t>S1794</t>
  </si>
  <si>
    <t>P60988</t>
  </si>
  <si>
    <t>13:56</t>
  </si>
  <si>
    <t>S1795</t>
  </si>
  <si>
    <t>P94499</t>
  </si>
  <si>
    <t>11:07</t>
  </si>
  <si>
    <t>S1796</t>
  </si>
  <si>
    <t>P22995</t>
  </si>
  <si>
    <t>S1797</t>
  </si>
  <si>
    <t>P68234</t>
  </si>
  <si>
    <t>S1798</t>
  </si>
  <si>
    <t>P78133</t>
  </si>
  <si>
    <t>S1799</t>
  </si>
  <si>
    <t>P23081</t>
  </si>
  <si>
    <t>P14245</t>
  </si>
  <si>
    <t>S1801</t>
  </si>
  <si>
    <t>P21058</t>
  </si>
  <si>
    <t>17:04</t>
  </si>
  <si>
    <t>S1802</t>
  </si>
  <si>
    <t>P20633</t>
  </si>
  <si>
    <t>S1803</t>
  </si>
  <si>
    <t>P62488</t>
  </si>
  <si>
    <t>S1804</t>
  </si>
  <si>
    <t>P80327</t>
  </si>
  <si>
    <t>15:16</t>
  </si>
  <si>
    <t>02:16</t>
  </si>
  <si>
    <t>S1805</t>
  </si>
  <si>
    <t>P11260</t>
  </si>
  <si>
    <t>13:24</t>
  </si>
  <si>
    <t>18:24</t>
  </si>
  <si>
    <t>S1806</t>
  </si>
  <si>
    <t>P64111</t>
  </si>
  <si>
    <t>12:31</t>
  </si>
  <si>
    <t>S1807</t>
  </si>
  <si>
    <t>P26096</t>
  </si>
  <si>
    <t>17:35</t>
  </si>
  <si>
    <t>S1808</t>
  </si>
  <si>
    <t>P10499</t>
  </si>
  <si>
    <t>S1809</t>
  </si>
  <si>
    <t>P40936</t>
  </si>
  <si>
    <t>12:33</t>
  </si>
  <si>
    <t>S1810</t>
  </si>
  <si>
    <t>P14690</t>
  </si>
  <si>
    <t>S1811</t>
  </si>
  <si>
    <t>P83283</t>
  </si>
  <si>
    <t>03:50</t>
  </si>
  <si>
    <t>S1812</t>
  </si>
  <si>
    <t>P48951</t>
  </si>
  <si>
    <t>S1813</t>
  </si>
  <si>
    <t>P93326</t>
  </si>
  <si>
    <t>S1814</t>
  </si>
  <si>
    <t>P13243</t>
  </si>
  <si>
    <t>22:46</t>
  </si>
  <si>
    <t>S1815</t>
  </si>
  <si>
    <t>P50214</t>
  </si>
  <si>
    <t>S1816</t>
  </si>
  <si>
    <t>P72888</t>
  </si>
  <si>
    <t>21:59</t>
  </si>
  <si>
    <t>S1817</t>
  </si>
  <si>
    <t>P25673</t>
  </si>
  <si>
    <t>S1818</t>
  </si>
  <si>
    <t>P70737</t>
  </si>
  <si>
    <t>S1819</t>
  </si>
  <si>
    <t>P40772</t>
  </si>
  <si>
    <t>S1820</t>
  </si>
  <si>
    <t>P38262</t>
  </si>
  <si>
    <t>05:12</t>
  </si>
  <si>
    <t>S1821</t>
  </si>
  <si>
    <t>P12683</t>
  </si>
  <si>
    <t>S1822</t>
  </si>
  <si>
    <t>P68553</t>
  </si>
  <si>
    <t>S1823</t>
  </si>
  <si>
    <t>P94473</t>
  </si>
  <si>
    <t>S1824</t>
  </si>
  <si>
    <t>P18925</t>
  </si>
  <si>
    <t>S1825</t>
  </si>
  <si>
    <t>P55933</t>
  </si>
  <si>
    <t>S1826</t>
  </si>
  <si>
    <t>P81508</t>
  </si>
  <si>
    <t>22:26</t>
  </si>
  <si>
    <t>S1827</t>
  </si>
  <si>
    <t>P75784</t>
  </si>
  <si>
    <t>S1828</t>
  </si>
  <si>
    <t>P93633</t>
  </si>
  <si>
    <t>01:20</t>
  </si>
  <si>
    <t>S1829</t>
  </si>
  <si>
    <t>P12987</t>
  </si>
  <si>
    <t>01:08</t>
  </si>
  <si>
    <t>S1830</t>
  </si>
  <si>
    <t>P24328</t>
  </si>
  <si>
    <t>S1831</t>
  </si>
  <si>
    <t>P26140</t>
  </si>
  <si>
    <t>10:46</t>
  </si>
  <si>
    <t>S1832</t>
  </si>
  <si>
    <t>P79855</t>
  </si>
  <si>
    <t>16:45</t>
  </si>
  <si>
    <t>04:45</t>
  </si>
  <si>
    <t>S1833</t>
  </si>
  <si>
    <t>P20643</t>
  </si>
  <si>
    <t>S1834</t>
  </si>
  <si>
    <t>P95793</t>
  </si>
  <si>
    <t>S1835</t>
  </si>
  <si>
    <t>P22065</t>
  </si>
  <si>
    <t>21:35</t>
  </si>
  <si>
    <t>S1836</t>
  </si>
  <si>
    <t>P24530</t>
  </si>
  <si>
    <t>S1837</t>
  </si>
  <si>
    <t>P18041</t>
  </si>
  <si>
    <t>S1838</t>
  </si>
  <si>
    <t>P50161</t>
  </si>
  <si>
    <t>01:32</t>
  </si>
  <si>
    <t>S1839</t>
  </si>
  <si>
    <t>P53411</t>
  </si>
  <si>
    <t>S1840</t>
  </si>
  <si>
    <t>P58475</t>
  </si>
  <si>
    <t>11:49</t>
  </si>
  <si>
    <t>21:49</t>
  </si>
  <si>
    <t>S1841</t>
  </si>
  <si>
    <t>P92672</t>
  </si>
  <si>
    <t>S1842</t>
  </si>
  <si>
    <t>P28296</t>
  </si>
  <si>
    <t>07:10</t>
  </si>
  <si>
    <t>17:10</t>
  </si>
  <si>
    <t>S1843</t>
  </si>
  <si>
    <t>P50660</t>
  </si>
  <si>
    <t>20:54</t>
  </si>
  <si>
    <t>S1844</t>
  </si>
  <si>
    <t>P15189</t>
  </si>
  <si>
    <t>14:05</t>
  </si>
  <si>
    <t>03:05</t>
  </si>
  <si>
    <t>S1845</t>
  </si>
  <si>
    <t>P68441</t>
  </si>
  <si>
    <t>S1846</t>
  </si>
  <si>
    <t>P57478</t>
  </si>
  <si>
    <t>S1847</t>
  </si>
  <si>
    <t>P30734</t>
  </si>
  <si>
    <t>02:06</t>
  </si>
  <si>
    <t>S1848</t>
  </si>
  <si>
    <t>P21305</t>
  </si>
  <si>
    <t>08:06</t>
  </si>
  <si>
    <t>S1849</t>
  </si>
  <si>
    <t>P50859</t>
  </si>
  <si>
    <t>22:24</t>
  </si>
  <si>
    <t>S1850</t>
  </si>
  <si>
    <t>P14324</t>
  </si>
  <si>
    <t>17:38</t>
  </si>
  <si>
    <t>S1851</t>
  </si>
  <si>
    <t>P69235</t>
  </si>
  <si>
    <t>S1852</t>
  </si>
  <si>
    <t>P53853</t>
  </si>
  <si>
    <t>20:09</t>
  </si>
  <si>
    <t>S1853</t>
  </si>
  <si>
    <t>P60334</t>
  </si>
  <si>
    <t>S1854</t>
  </si>
  <si>
    <t>P54583</t>
  </si>
  <si>
    <t>S1855</t>
  </si>
  <si>
    <t>P39426</t>
  </si>
  <si>
    <t>17:00</t>
  </si>
  <si>
    <t>S1856</t>
  </si>
  <si>
    <t>P93835</t>
  </si>
  <si>
    <t>18:17</t>
  </si>
  <si>
    <t>S1857</t>
  </si>
  <si>
    <t>P12195</t>
  </si>
  <si>
    <t>22:28</t>
  </si>
  <si>
    <t>S1858</t>
  </si>
  <si>
    <t>P90571</t>
  </si>
  <si>
    <t>06:29</t>
  </si>
  <si>
    <t>S1859</t>
  </si>
  <si>
    <t>P51625</t>
  </si>
  <si>
    <t>21:06</t>
  </si>
  <si>
    <t>S1860</t>
  </si>
  <si>
    <t>P86618</t>
  </si>
  <si>
    <t>S1861</t>
  </si>
  <si>
    <t>P51835</t>
  </si>
  <si>
    <t>S1862</t>
  </si>
  <si>
    <t>P88991</t>
  </si>
  <si>
    <t>S1863</t>
  </si>
  <si>
    <t>P56173</t>
  </si>
  <si>
    <t>S1864</t>
  </si>
  <si>
    <t>P75707</t>
  </si>
  <si>
    <t>S1865</t>
  </si>
  <si>
    <t>P20936</t>
  </si>
  <si>
    <t>S1866</t>
  </si>
  <si>
    <t>P96941</t>
  </si>
  <si>
    <t>08:21</t>
  </si>
  <si>
    <t>S1867</t>
  </si>
  <si>
    <t>P61428</t>
  </si>
  <si>
    <t>S1868</t>
  </si>
  <si>
    <t>P78233</t>
  </si>
  <si>
    <t>S1869</t>
  </si>
  <si>
    <t>P85930</t>
  </si>
  <si>
    <t>13:48</t>
  </si>
  <si>
    <t>01:48</t>
  </si>
  <si>
    <t>S1870</t>
  </si>
  <si>
    <t>P55481</t>
  </si>
  <si>
    <t>S1871</t>
  </si>
  <si>
    <t>P73532</t>
  </si>
  <si>
    <t>S1872</t>
  </si>
  <si>
    <t>P25121</t>
  </si>
  <si>
    <t>14:51</t>
  </si>
  <si>
    <t>S1873</t>
  </si>
  <si>
    <t>P33337</t>
  </si>
  <si>
    <t>S1874</t>
  </si>
  <si>
    <t>P25857</t>
  </si>
  <si>
    <t>13:47</t>
  </si>
  <si>
    <t>S1875</t>
  </si>
  <si>
    <t>P35833</t>
  </si>
  <si>
    <t>S1876</t>
  </si>
  <si>
    <t>P52191</t>
  </si>
  <si>
    <t>S1877</t>
  </si>
  <si>
    <t>P32458</t>
  </si>
  <si>
    <t>12:18</t>
  </si>
  <si>
    <t>S1878</t>
  </si>
  <si>
    <t>P93199</t>
  </si>
  <si>
    <t>14:06</t>
  </si>
  <si>
    <t>23:06</t>
  </si>
  <si>
    <t>S1879</t>
  </si>
  <si>
    <t>P59491</t>
  </si>
  <si>
    <t>16:00</t>
  </si>
  <si>
    <t>S1880</t>
  </si>
  <si>
    <t>P99090</t>
  </si>
  <si>
    <t>S1881</t>
  </si>
  <si>
    <t>P64383</t>
  </si>
  <si>
    <t>S1882</t>
  </si>
  <si>
    <t>P77880</t>
  </si>
  <si>
    <t>S1883</t>
  </si>
  <si>
    <t>P64331</t>
  </si>
  <si>
    <t>S1884</t>
  </si>
  <si>
    <t>P31900</t>
  </si>
  <si>
    <t>S1885</t>
  </si>
  <si>
    <t>P82768</t>
  </si>
  <si>
    <t>02:23</t>
  </si>
  <si>
    <t>S1886</t>
  </si>
  <si>
    <t>P54985</t>
  </si>
  <si>
    <t>S1887</t>
  </si>
  <si>
    <t>P25252</t>
  </si>
  <si>
    <t>S1888</t>
  </si>
  <si>
    <t>P39566</t>
  </si>
  <si>
    <t>08:50</t>
  </si>
  <si>
    <t>00:50</t>
  </si>
  <si>
    <t>S1889</t>
  </si>
  <si>
    <t>P86628</t>
  </si>
  <si>
    <t>S1890</t>
  </si>
  <si>
    <t>P91984</t>
  </si>
  <si>
    <t>S1891</t>
  </si>
  <si>
    <t>P98085</t>
  </si>
  <si>
    <t>S1892</t>
  </si>
  <si>
    <t>P79374</t>
  </si>
  <si>
    <t>S1893</t>
  </si>
  <si>
    <t>P96896</t>
  </si>
  <si>
    <t>15:29</t>
  </si>
  <si>
    <t>01:29</t>
  </si>
  <si>
    <t>S1894</t>
  </si>
  <si>
    <t>P48921</t>
  </si>
  <si>
    <t>S1895</t>
  </si>
  <si>
    <t>P34494</t>
  </si>
  <si>
    <t>S1896</t>
  </si>
  <si>
    <t>P53855</t>
  </si>
  <si>
    <t>S1897</t>
  </si>
  <si>
    <t>P27742</t>
  </si>
  <si>
    <t>S1898</t>
  </si>
  <si>
    <t>P11681</t>
  </si>
  <si>
    <t>S1899</t>
  </si>
  <si>
    <t>P14843</t>
  </si>
  <si>
    <t>S1900</t>
  </si>
  <si>
    <t>P23375</t>
  </si>
  <si>
    <t>12:25</t>
  </si>
  <si>
    <t>S1901</t>
  </si>
  <si>
    <t>P65713</t>
  </si>
  <si>
    <t>S1902</t>
  </si>
  <si>
    <t>P31399</t>
  </si>
  <si>
    <t>00:26</t>
  </si>
  <si>
    <t>S1903</t>
  </si>
  <si>
    <t>P30549</t>
  </si>
  <si>
    <t>02:04</t>
  </si>
  <si>
    <t>S1904</t>
  </si>
  <si>
    <t>P53623</t>
  </si>
  <si>
    <t>S1905</t>
  </si>
  <si>
    <t>P87469</t>
  </si>
  <si>
    <t>06:35</t>
  </si>
  <si>
    <t>S1906</t>
  </si>
  <si>
    <t>S1907</t>
  </si>
  <si>
    <t>P64835</t>
  </si>
  <si>
    <t>S1908</t>
  </si>
  <si>
    <t>P11779</t>
  </si>
  <si>
    <t>07:09</t>
  </si>
  <si>
    <t>S1909</t>
  </si>
  <si>
    <t>P59038</t>
  </si>
  <si>
    <t>S1910</t>
  </si>
  <si>
    <t>P44487</t>
  </si>
  <si>
    <t>S1911</t>
  </si>
  <si>
    <t>P94360</t>
  </si>
  <si>
    <t>20:04</t>
  </si>
  <si>
    <t>S1912</t>
  </si>
  <si>
    <t>P44140</t>
  </si>
  <si>
    <t>02:29</t>
  </si>
  <si>
    <t>S1913</t>
  </si>
  <si>
    <t>P61722</t>
  </si>
  <si>
    <t>07:00</t>
  </si>
  <si>
    <t>S1914</t>
  </si>
  <si>
    <t>P63602</t>
  </si>
  <si>
    <t>10:02</t>
  </si>
  <si>
    <t>02:02</t>
  </si>
  <si>
    <t>S1915</t>
  </si>
  <si>
    <t>P73074</t>
  </si>
  <si>
    <t>05:31</t>
  </si>
  <si>
    <t>S1916</t>
  </si>
  <si>
    <t>P65382</t>
  </si>
  <si>
    <t>S1917</t>
  </si>
  <si>
    <t>P44821</t>
  </si>
  <si>
    <t>23:09</t>
  </si>
  <si>
    <t>S1918</t>
  </si>
  <si>
    <t>P18582</t>
  </si>
  <si>
    <t>00:25</t>
  </si>
  <si>
    <t>S1919</t>
  </si>
  <si>
    <t>P96755</t>
  </si>
  <si>
    <t>S1920</t>
  </si>
  <si>
    <t>P23791</t>
  </si>
  <si>
    <t>S1921</t>
  </si>
  <si>
    <t>P90975</t>
  </si>
  <si>
    <t>11:17</t>
  </si>
  <si>
    <t>S1922</t>
  </si>
  <si>
    <t>P72553</t>
  </si>
  <si>
    <t>S1923</t>
  </si>
  <si>
    <t>P81914</t>
  </si>
  <si>
    <t>S1924</t>
  </si>
  <si>
    <t>P20117</t>
  </si>
  <si>
    <t>S1925</t>
  </si>
  <si>
    <t>P56903</t>
  </si>
  <si>
    <t>S1926</t>
  </si>
  <si>
    <t>P35685</t>
  </si>
  <si>
    <t>20:02</t>
  </si>
  <si>
    <t>S1927</t>
  </si>
  <si>
    <t>P95212</t>
  </si>
  <si>
    <t>11:25</t>
  </si>
  <si>
    <t>S1928</t>
  </si>
  <si>
    <t>P24039</t>
  </si>
  <si>
    <t>S1929</t>
  </si>
  <si>
    <t>P30781</t>
  </si>
  <si>
    <t>S1930</t>
  </si>
  <si>
    <t>P17966</t>
  </si>
  <si>
    <t>S1931</t>
  </si>
  <si>
    <t>P86319</t>
  </si>
  <si>
    <t>S1932</t>
  </si>
  <si>
    <t>P30331</t>
  </si>
  <si>
    <t>00:36</t>
  </si>
  <si>
    <t>S1933</t>
  </si>
  <si>
    <t>P91831</t>
  </si>
  <si>
    <t>S1934</t>
  </si>
  <si>
    <t>P55072</t>
  </si>
  <si>
    <t>S1935</t>
  </si>
  <si>
    <t>P30895</t>
  </si>
  <si>
    <t>09:48</t>
  </si>
  <si>
    <t>S1936</t>
  </si>
  <si>
    <t>P16647</t>
  </si>
  <si>
    <t>S1937</t>
  </si>
  <si>
    <t>P78983</t>
  </si>
  <si>
    <t>10:57</t>
  </si>
  <si>
    <t>S1938</t>
  </si>
  <si>
    <t>P20468</t>
  </si>
  <si>
    <t>09:40</t>
  </si>
  <si>
    <t>S1939</t>
  </si>
  <si>
    <t>P84299</t>
  </si>
  <si>
    <t>S1940</t>
  </si>
  <si>
    <t>P12579</t>
  </si>
  <si>
    <t>20:51</t>
  </si>
  <si>
    <t>S1941</t>
  </si>
  <si>
    <t>P45696</t>
  </si>
  <si>
    <t>S1942</t>
  </si>
  <si>
    <t>P16173</t>
  </si>
  <si>
    <t>S1943</t>
  </si>
  <si>
    <t>08:37</t>
  </si>
  <si>
    <t>S1944</t>
  </si>
  <si>
    <t>P14863</t>
  </si>
  <si>
    <t>10:15</t>
  </si>
  <si>
    <t>S1945</t>
  </si>
  <si>
    <t>P52421</t>
  </si>
  <si>
    <t>S1946</t>
  </si>
  <si>
    <t>P74518</t>
  </si>
  <si>
    <t>S1947</t>
  </si>
  <si>
    <t>P49131</t>
  </si>
  <si>
    <t>22:11</t>
  </si>
  <si>
    <t>S1948</t>
  </si>
  <si>
    <t>P43397</t>
  </si>
  <si>
    <t>S1949</t>
  </si>
  <si>
    <t>P33242</t>
  </si>
  <si>
    <t>20:57</t>
  </si>
  <si>
    <t>S1950</t>
  </si>
  <si>
    <t>P75321</t>
  </si>
  <si>
    <t>S1951</t>
  </si>
  <si>
    <t>P95004</t>
  </si>
  <si>
    <t>S1952</t>
  </si>
  <si>
    <t>P40101</t>
  </si>
  <si>
    <t>S1953</t>
  </si>
  <si>
    <t>P16998</t>
  </si>
  <si>
    <t>S1954</t>
  </si>
  <si>
    <t>P71339</t>
  </si>
  <si>
    <t>15:26</t>
  </si>
  <si>
    <t>23:26</t>
  </si>
  <si>
    <t>S1955</t>
  </si>
  <si>
    <t>P12553</t>
  </si>
  <si>
    <t>10:08</t>
  </si>
  <si>
    <t>S1956</t>
  </si>
  <si>
    <t>P37264</t>
  </si>
  <si>
    <t>S1957</t>
  </si>
  <si>
    <t>P67913</t>
  </si>
  <si>
    <t>18:43</t>
  </si>
  <si>
    <t>S1958</t>
  </si>
  <si>
    <t>P14397</t>
  </si>
  <si>
    <t>03:46</t>
  </si>
  <si>
    <t>S1959</t>
  </si>
  <si>
    <t>P45142</t>
  </si>
  <si>
    <t>S1960</t>
  </si>
  <si>
    <t>P14132</t>
  </si>
  <si>
    <t>S1961</t>
  </si>
  <si>
    <t>P75964</t>
  </si>
  <si>
    <t>S1962</t>
  </si>
  <si>
    <t>P60170</t>
  </si>
  <si>
    <t>S1963</t>
  </si>
  <si>
    <t>P97543</t>
  </si>
  <si>
    <t>S1964</t>
  </si>
  <si>
    <t>P80480</t>
  </si>
  <si>
    <t>04:49</t>
  </si>
  <si>
    <t>S1965</t>
  </si>
  <si>
    <t>P22643</t>
  </si>
  <si>
    <t>S1966</t>
  </si>
  <si>
    <t>P65063</t>
  </si>
  <si>
    <t>S1967</t>
  </si>
  <si>
    <t>P19795</t>
  </si>
  <si>
    <t>20:38</t>
  </si>
  <si>
    <t>S1968</t>
  </si>
  <si>
    <t>P61273</t>
  </si>
  <si>
    <t>S1969</t>
  </si>
  <si>
    <t>P88671</t>
  </si>
  <si>
    <t>S1970</t>
  </si>
  <si>
    <t>P48842</t>
  </si>
  <si>
    <t>S1971</t>
  </si>
  <si>
    <t>P58075</t>
  </si>
  <si>
    <t>S1972</t>
  </si>
  <si>
    <t>P29889</t>
  </si>
  <si>
    <t>S1973</t>
  </si>
  <si>
    <t>P35963</t>
  </si>
  <si>
    <t>S1974</t>
  </si>
  <si>
    <t>P68305</t>
  </si>
  <si>
    <t>09:49</t>
  </si>
  <si>
    <t>S1975</t>
  </si>
  <si>
    <t>P61908</t>
  </si>
  <si>
    <t>S1976</t>
  </si>
  <si>
    <t>P22681</t>
  </si>
  <si>
    <t>23:58</t>
  </si>
  <si>
    <t>S1977</t>
  </si>
  <si>
    <t>P44936</t>
  </si>
  <si>
    <t>S1978</t>
  </si>
  <si>
    <t>P81026</t>
  </si>
  <si>
    <t>13:08</t>
  </si>
  <si>
    <t>S1979</t>
  </si>
  <si>
    <t>P64540</t>
  </si>
  <si>
    <t>17:47</t>
  </si>
  <si>
    <t>S1980</t>
  </si>
  <si>
    <t>P56970</t>
  </si>
  <si>
    <t>14:11</t>
  </si>
  <si>
    <t>S1981</t>
  </si>
  <si>
    <t>P32012</t>
  </si>
  <si>
    <t>01:25</t>
  </si>
  <si>
    <t>S1982</t>
  </si>
  <si>
    <t>P56585</t>
  </si>
  <si>
    <t>S1983</t>
  </si>
  <si>
    <t>P90121</t>
  </si>
  <si>
    <t>10:12</t>
  </si>
  <si>
    <t>S1984</t>
  </si>
  <si>
    <t>P49054</t>
  </si>
  <si>
    <t>08:45</t>
  </si>
  <si>
    <t>S1985</t>
  </si>
  <si>
    <t>P46905</t>
  </si>
  <si>
    <t>S1986</t>
  </si>
  <si>
    <t>P33394</t>
  </si>
  <si>
    <t>S1987</t>
  </si>
  <si>
    <t>P25929</t>
  </si>
  <si>
    <t>S1988</t>
  </si>
  <si>
    <t>P61997</t>
  </si>
  <si>
    <t>S1989</t>
  </si>
  <si>
    <t>S1990</t>
  </si>
  <si>
    <t>P63473</t>
  </si>
  <si>
    <t>S1991</t>
  </si>
  <si>
    <t>P33153</t>
  </si>
  <si>
    <t>00:47</t>
  </si>
  <si>
    <t>S1992</t>
  </si>
  <si>
    <t>P33632</t>
  </si>
  <si>
    <t>S1993</t>
  </si>
  <si>
    <t>P95243</t>
  </si>
  <si>
    <t>S1994</t>
  </si>
  <si>
    <t>P42421</t>
  </si>
  <si>
    <t>S1995</t>
  </si>
  <si>
    <t>P81444</t>
  </si>
  <si>
    <t>S1996</t>
  </si>
  <si>
    <t>P73588</t>
  </si>
  <si>
    <t>16:34</t>
  </si>
  <si>
    <t>S1997</t>
  </si>
  <si>
    <t>P62431</t>
  </si>
  <si>
    <t>19:55</t>
  </si>
  <si>
    <t>S1998</t>
  </si>
  <si>
    <t>P69981</t>
  </si>
  <si>
    <t>S1999</t>
  </si>
  <si>
    <t>P51354</t>
  </si>
  <si>
    <t>P73675</t>
  </si>
  <si>
    <t>19:10</t>
  </si>
  <si>
    <t>S2001</t>
  </si>
  <si>
    <t>P47695</t>
  </si>
  <si>
    <t>Data_Quality Flag</t>
  </si>
  <si>
    <t>Duplicate Sample ID</t>
  </si>
  <si>
    <t>Patient ID with Conflicting Age</t>
  </si>
  <si>
    <t>Patient ID with Conflicting Age &amp; Gender</t>
  </si>
  <si>
    <t>Female patient with PSA test</t>
  </si>
  <si>
    <t xml:space="preserve"> Invalid Age</t>
  </si>
  <si>
    <t>Female patient with PSA test; Invalid Age</t>
  </si>
  <si>
    <t>Female patient with PSA test; Suspicious Test-Age Combination</t>
  </si>
  <si>
    <t>Suspicious Test-Age Combination</t>
  </si>
  <si>
    <t>Test-department mismatch</t>
  </si>
  <si>
    <t>Female patient with PSA test; Test-department mismatch</t>
  </si>
  <si>
    <t>Patient ID with Conflicting Age; Test-department mismatch</t>
  </si>
  <si>
    <t>Female patient with PSA test; Suspicious Test-Age Combination; Test-department mismatch</t>
  </si>
  <si>
    <t>Suspicious Test-Age Combination; Test-department mismatch</t>
  </si>
  <si>
    <t xml:space="preserve"> Invalid Age; Test-department mismatch</t>
  </si>
  <si>
    <t>Duplicate Sample ID; Test-department mismatch</t>
  </si>
  <si>
    <t>Female patient with PSA test, Test-department mismatch</t>
  </si>
  <si>
    <t>Female patient with PSA test,; Test-department mismatch</t>
  </si>
  <si>
    <t>Patient ID with Conflicting Age &amp; Gender; Test-department mismatch</t>
  </si>
  <si>
    <t>Suspicious Test-Age Combination;Test-department mismatch</t>
  </si>
  <si>
    <t>Invalid Age; Test-department mismatch</t>
  </si>
  <si>
    <t>Female patient with PSA test;Test-department mismatch</t>
  </si>
  <si>
    <t>Female patient with PSA test; Suspicious Test-Age Combination;Test-department mismatch</t>
  </si>
  <si>
    <t>Invalid Age;Test-department mismatch</t>
  </si>
  <si>
    <t>Suspicious Test-Age Combination; Suspicious Test-Age Combination;Test-department mismatch</t>
  </si>
  <si>
    <t>Suspicious Test-Age combination;Test-department mismatch</t>
  </si>
  <si>
    <t>Sample-test status mismatch; Rejected sample with released result</t>
  </si>
  <si>
    <t>Test-department mismatch;Sample-test status mismatch; Rejected sample with released result</t>
  </si>
  <si>
    <t>Female patient with PSA test; Sample-test status mismatch; Rejected sample with released result Test-department mismatch</t>
  </si>
  <si>
    <t>Test-department mismatch; Sample-test status mismatch; Rejected sample with released result</t>
  </si>
  <si>
    <t>Female patient with PSA test; Sample-test status mismatch; Rejected sample with released resultTest-department mismatch</t>
  </si>
  <si>
    <t>Female patient with PSA test; Sample-test status mismatch; Rejected sample with released result</t>
  </si>
  <si>
    <t>Suspicious Test-Age Combination; Sample-test status mismatch; Rejected sample with released resultTest-department mismatch</t>
  </si>
  <si>
    <t>Female patient with PSA test; Sample-test status mismatch; Rejected sample with released resultSuspicious Test-Age Combination</t>
  </si>
  <si>
    <t>Suspicious Test-Age Combination; Sample-test status mismatch; Rejected sample with released result</t>
  </si>
  <si>
    <t>Female patient with PSA test; Pending test with released result; Test-department mismatch</t>
  </si>
  <si>
    <t>Female patient with PSA test; Pending test with released result</t>
  </si>
  <si>
    <t>Pending test with released result</t>
  </si>
  <si>
    <t>Suspicious Test-Age Combination; Pending test with released resultTest-department mismatch</t>
  </si>
  <si>
    <t>Test-department mismatch; Pending test with released result</t>
  </si>
  <si>
    <t>Female patient with PSA test;  Pending test with released resultSuspicious Test-Age Combination;Test-department mismatch</t>
  </si>
  <si>
    <t>Sample-test status mismatch; Pending test with released result Rejected sample with released result</t>
  </si>
  <si>
    <t>Female patient with PSA test; Pending test with released resultTest-department mismatch</t>
  </si>
  <si>
    <t>Date</t>
  </si>
  <si>
    <t>Columns Affected</t>
  </si>
  <si>
    <t>Issue Found</t>
  </si>
  <si>
    <t>Action Taken</t>
  </si>
  <si>
    <t>Impact on Analysis</t>
  </si>
  <si>
    <t>Same Patient_ID had conflicting ages.</t>
  </si>
  <si>
    <t>Patient_ID, Age</t>
  </si>
  <si>
    <t>Gender, Test Type</t>
  </si>
  <si>
    <t>Test type, Departement</t>
  </si>
  <si>
    <t>May affect departmental workload and performance metrics.</t>
  </si>
  <si>
    <t>Business-anomaly requiring investigation.</t>
  </si>
  <si>
    <t>Could affect age-base analysis and patient profiling.</t>
  </si>
  <si>
    <t>May increase sample count and workload metrics.</t>
  </si>
  <si>
    <t>Flagged affected rows as Duplicate sample ID and records retained for review.</t>
  </si>
  <si>
    <t>Flagged as Patient_ID with conflicting age; records retained for investigation.</t>
  </si>
  <si>
    <t>Flagged rows as Female patients with PSA Test; records retained for review.</t>
  </si>
  <si>
    <t>Flagged rows as Test-Department Mismatch; records retained for review.</t>
  </si>
  <si>
    <t>Some tests were assigned to the wrong departement.</t>
  </si>
  <si>
    <t>Female patients had PSA tests.</t>
  </si>
  <si>
    <t>Duplicate Sample_ID(S1005 appeared 6 times).</t>
  </si>
  <si>
    <t xml:space="preserve"> Sample-test status mismatch; Rejected sample with released result</t>
  </si>
  <si>
    <t xml:space="preserve"> Pending test with released result</t>
  </si>
  <si>
    <t>Duplicate Sample ID; Sample-test status mismatch; Rejected sample with released result; Test-department mismatch</t>
  </si>
  <si>
    <t>Sample Status, Test Status, Release Information</t>
  </si>
  <si>
    <t>Workflow statuses were inconsistent</t>
  </si>
  <si>
    <t>Flagged affected rows for investigation</t>
  </si>
  <si>
    <t>Could affect completion and TAT metrics</t>
  </si>
  <si>
    <t>Test type, Age</t>
  </si>
  <si>
    <t>Young patients with PSA test</t>
  </si>
  <si>
    <t>Flagged rows as Suspicious Test-Age combination; records retained for review</t>
  </si>
  <si>
    <t>Could affect age base analysis and performance metrics</t>
  </si>
  <si>
    <t>Column</t>
  </si>
  <si>
    <t>Validation Checks Performed</t>
  </si>
  <si>
    <t>Result</t>
  </si>
  <si>
    <t>Test Type</t>
  </si>
  <si>
    <t>Sample status &amp; Test Status</t>
  </si>
  <si>
    <t>Exceptions Flagged</t>
  </si>
  <si>
    <t>Issues Found</t>
  </si>
  <si>
    <t>Issues found</t>
  </si>
  <si>
    <t>Patient_ID with conflicting age</t>
  </si>
  <si>
    <t>Missing values, invalid values, gender-test combinations</t>
  </si>
  <si>
    <t>Validated with exceptions flagged</t>
  </si>
  <si>
    <t>Female Patients with PSA test</t>
  </si>
  <si>
    <t>Missing values, invalid ages, test-age combinations</t>
  </si>
  <si>
    <t>Test-Department Mismatch</t>
  </si>
  <si>
    <t>Missing values, invalid values,  department consistency</t>
  </si>
  <si>
    <t>Missing values, Invalid values, test-department consistency</t>
  </si>
  <si>
    <t>Cross-field workflow consistency</t>
  </si>
  <si>
    <t>Sample-Test Mismatch; Pending Test with Released Result; Rejected sample with Released result</t>
  </si>
  <si>
    <t>Missing values, duplicates IDs, demographic consistency</t>
  </si>
  <si>
    <t>Missing values, duplicates and Sequence gaps</t>
  </si>
  <si>
    <t>Row Labels</t>
  </si>
  <si>
    <t>Grand Total</t>
  </si>
  <si>
    <t>Count of Sample_ID</t>
  </si>
  <si>
    <t>Sum of Price</t>
  </si>
  <si>
    <t/>
  </si>
  <si>
    <t>Column Labels</t>
  </si>
  <si>
    <t>Port harcourt</t>
  </si>
  <si>
    <t>Month</t>
  </si>
  <si>
    <t>Sample By Test type</t>
  </si>
  <si>
    <t>Sample By Rejection Reason</t>
  </si>
  <si>
    <t>Revenue By Branch</t>
  </si>
  <si>
    <t>Revenue By Test type</t>
  </si>
  <si>
    <t>Revenue By Payment Method</t>
  </si>
  <si>
    <t>Average of Satisfaction_Rating</t>
  </si>
  <si>
    <t>Lagos</t>
  </si>
  <si>
    <t>Enugu</t>
  </si>
  <si>
    <t>SS</t>
  </si>
  <si>
    <r>
      <t xml:space="preserve">1. </t>
    </r>
    <r>
      <rPr>
        <b/>
        <sz val="14"/>
        <color theme="1"/>
        <rFont val="Times New Roman"/>
        <family val="1"/>
      </rPr>
      <t>High Sample Volume</t>
    </r>
  </si>
  <si>
    <r>
      <t>Microbiology processed the highest number of samples</t>
    </r>
    <r>
      <rPr>
        <b/>
        <sz val="14"/>
        <color theme="1"/>
        <rFont val="Times New Roman"/>
        <family val="1"/>
      </rPr>
      <t xml:space="preserve"> (254),</t>
    </r>
    <r>
      <rPr>
        <sz val="14"/>
        <color theme="1"/>
        <rFont val="Times New Roman"/>
        <family val="1"/>
      </rPr>
      <t xml:space="preserve"> indicating a higher workload compared to other departments.</t>
    </r>
  </si>
  <si>
    <r>
      <t xml:space="preserve">2. </t>
    </r>
    <r>
      <rPr>
        <b/>
        <sz val="14"/>
        <color theme="1"/>
        <rFont val="Times New Roman"/>
        <family val="1"/>
      </rPr>
      <t>Revenue Performance</t>
    </r>
  </si>
  <si>
    <r>
      <t xml:space="preserve">3. </t>
    </r>
    <r>
      <rPr>
        <b/>
        <sz val="14"/>
        <color theme="1"/>
        <rFont val="Times New Roman"/>
        <family val="1"/>
      </rPr>
      <t>Turnaround Time</t>
    </r>
  </si>
  <si>
    <r>
      <t xml:space="preserve">4. </t>
    </r>
    <r>
      <rPr>
        <b/>
        <sz val="14"/>
        <color theme="1"/>
        <rFont val="Times New Roman"/>
        <family val="1"/>
      </rPr>
      <t>Sample Rejection</t>
    </r>
  </si>
  <si>
    <r>
      <t xml:space="preserve">The laboratory recorded a </t>
    </r>
    <r>
      <rPr>
        <b/>
        <sz val="14"/>
        <color theme="1"/>
        <rFont val="Times New Roman"/>
        <family val="1"/>
      </rPr>
      <t>7.1%</t>
    </r>
    <r>
      <rPr>
        <sz val="14"/>
        <color theme="1"/>
        <rFont val="Times New Roman"/>
        <family val="1"/>
      </rPr>
      <t xml:space="preserve"> rejection rate, with hemolyzed, insufficient, and wrongly collected samples being among the leading causes of rejections.</t>
    </r>
  </si>
  <si>
    <r>
      <t xml:space="preserve">5. </t>
    </r>
    <r>
      <rPr>
        <b/>
        <sz val="14"/>
        <color theme="1"/>
        <rFont val="Times New Roman"/>
        <family val="1"/>
      </rPr>
      <t>Branch performance</t>
    </r>
  </si>
  <si>
    <r>
      <t xml:space="preserve">6. </t>
    </r>
    <r>
      <rPr>
        <b/>
        <sz val="14"/>
        <color theme="1"/>
        <rFont val="Times New Roman"/>
        <family val="1"/>
      </rPr>
      <t>Payment Method</t>
    </r>
    <r>
      <rPr>
        <sz val="14"/>
        <color theme="1"/>
        <rFont val="Times New Roman"/>
        <family val="1"/>
      </rPr>
      <t xml:space="preserve"> </t>
    </r>
  </si>
  <si>
    <r>
      <t xml:space="preserve">7. </t>
    </r>
    <r>
      <rPr>
        <b/>
        <sz val="14"/>
        <color theme="1"/>
        <rFont val="Times New Roman"/>
        <family val="1"/>
      </rPr>
      <t>Customer Satisfaction</t>
    </r>
  </si>
  <si>
    <r>
      <t>PSA generated the highest revenue,</t>
    </r>
    <r>
      <rPr>
        <b/>
        <sz val="14"/>
        <color theme="1"/>
        <rFont val="Times New Roman"/>
        <family val="1"/>
      </rPr>
      <t>31.1%</t>
    </r>
    <r>
      <rPr>
        <sz val="14"/>
        <color theme="1"/>
        <rFont val="Times New Roman"/>
        <family val="1"/>
      </rPr>
      <t xml:space="preserve"> </t>
    </r>
    <r>
      <rPr>
        <b/>
        <sz val="14"/>
        <color theme="1"/>
        <rFont val="Times New Roman"/>
        <family val="1"/>
      </rPr>
      <t>of total revenue,</t>
    </r>
    <r>
      <rPr>
        <sz val="14"/>
        <color theme="1"/>
        <rFont val="Times New Roman"/>
        <family val="1"/>
      </rPr>
      <t xml:space="preserve"> making it the laboratory's top revenue-generating test.</t>
    </r>
  </si>
  <si>
    <r>
      <t xml:space="preserve">The average turnaround time was </t>
    </r>
    <r>
      <rPr>
        <b/>
        <sz val="14"/>
        <color theme="1"/>
        <rFont val="Times New Roman"/>
        <family val="1"/>
      </rPr>
      <t>12.5 hours,</t>
    </r>
    <r>
      <rPr>
        <sz val="14"/>
        <color theme="1"/>
        <rFont val="Times New Roman"/>
        <family val="1"/>
      </rPr>
      <t xml:space="preserve"> while </t>
    </r>
    <r>
      <rPr>
        <b/>
        <sz val="14"/>
        <color theme="1"/>
        <rFont val="Times New Roman"/>
        <family val="1"/>
      </rPr>
      <t>809 out 1,000</t>
    </r>
    <r>
      <rPr>
        <sz val="14"/>
        <color theme="1"/>
        <rFont val="Times New Roman"/>
        <family val="1"/>
      </rPr>
      <t xml:space="preserve"> samples </t>
    </r>
    <r>
      <rPr>
        <b/>
        <sz val="14"/>
        <color theme="1"/>
        <rFont val="Times New Roman"/>
        <family val="1"/>
      </rPr>
      <t>(80.9%)</t>
    </r>
    <r>
      <rPr>
        <sz val="14"/>
        <color theme="1"/>
        <rFont val="Times New Roman"/>
        <family val="1"/>
      </rPr>
      <t xml:space="preserve"> were delayed, indicating the need to improve workflow efficiency.</t>
    </r>
  </si>
  <si>
    <r>
      <t xml:space="preserve">Abuja generated the highest revenue </t>
    </r>
    <r>
      <rPr>
        <b/>
        <sz val="14"/>
        <color theme="1"/>
        <rFont val="Times New Roman"/>
        <family val="1"/>
      </rPr>
      <t>($8,050)</t>
    </r>
    <r>
      <rPr>
        <sz val="14"/>
        <color theme="1"/>
        <rFont val="Times New Roman"/>
        <family val="1"/>
      </rPr>
      <t xml:space="preserve">, while Lagos generated the lowest revenue </t>
    </r>
    <r>
      <rPr>
        <b/>
        <sz val="14"/>
        <color theme="1"/>
        <rFont val="Times New Roman"/>
        <family val="1"/>
      </rPr>
      <t>($7,490)</t>
    </r>
    <r>
      <rPr>
        <sz val="14"/>
        <color theme="1"/>
        <rFont val="Times New Roman"/>
        <family val="1"/>
      </rPr>
      <t>, suggesting differences in branch performance.</t>
    </r>
  </si>
  <si>
    <t>Cash, card, and transfer payments were used in similar proportions, with no single payment method overwhelmingly dominating.</t>
  </si>
  <si>
    <r>
      <t>The average customer satisfaction score was</t>
    </r>
    <r>
      <rPr>
        <b/>
        <sz val="14"/>
        <color theme="1"/>
        <rFont val="Times New Roman"/>
        <family val="1"/>
      </rPr>
      <t xml:space="preserve"> 2.9 out 5</t>
    </r>
    <r>
      <rPr>
        <sz val="14"/>
        <color theme="1"/>
        <rFont val="Times New Roman"/>
        <family val="1"/>
      </rPr>
      <t>, suggesting room for improvement in service delivery.</t>
    </r>
  </si>
  <si>
    <t>Recommendations</t>
  </si>
  <si>
    <t>Reduce Sample Rejections</t>
  </si>
  <si>
    <t>Provide regular trainng for sampele collection personnel and strengthen quality control procedures during specimen collection and handling.</t>
  </si>
  <si>
    <t xml:space="preserve">Improve Customer Satisfaction </t>
  </si>
  <si>
    <t>Increase Revenue</t>
  </si>
  <si>
    <t>Monitor Perfromance</t>
  </si>
  <si>
    <t>Continue using dashboard to monitor KPIs regularly and support data-driven operational decisions.</t>
  </si>
  <si>
    <t>Review why Abuja is the highest performing branch and apply successful practices to other branches where appropriate.</t>
  </si>
  <si>
    <t xml:space="preserve">Investigate factors c0ntributing to the low satisfaction rating and implement measures to improve communication, waiting times, and overall patient experience. </t>
  </si>
  <si>
    <t>Increase staffing and optimize laboratory workflow, particularly in departments experiencing the highest number of delayed samples.</t>
  </si>
  <si>
    <t>LABORATORY  PERFORMANCE  DASHBOARD</t>
  </si>
  <si>
    <t>INSIGHTS  AND  RECOMMENDATIONS</t>
  </si>
  <si>
    <t xml:space="preserve">  Key Insights</t>
  </si>
  <si>
    <t>Improved Turnaround Time</t>
  </si>
  <si>
    <t>Total Samples</t>
  </si>
  <si>
    <t>Payment status by sample</t>
  </si>
  <si>
    <t>TAT status by Department</t>
  </si>
  <si>
    <t>TAT Status</t>
  </si>
  <si>
    <t>Satisfaction Rating</t>
  </si>
  <si>
    <r>
      <t xml:space="preserve">  </t>
    </r>
    <r>
      <rPr>
        <b/>
        <sz val="12"/>
        <color theme="1"/>
        <rFont val="Times New Roman"/>
        <family val="1"/>
      </rPr>
      <t xml:space="preserve"> Samples By Department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</si>
</sst>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800]dddd\,\ mmmm\ dd\,\ yyyy"/>
    <numFmt numFmtId="165" formatCode="[$-F400]h:mm:ss\ AM/PM"/>
    <numFmt numFmtId="166" formatCode="0.0"/>
    <numFmt numFmtId="167" formatCode="_-* #,##0_-;\-* #,##0_-;_-* &quot;-&quot;??_-;_-@_-"/>
    <numFmt numFmtId="168" formatCode="[$$-1009]#,##0.00"/>
  </numFmts>
  <fonts count="13">
    <font>
      <sz val="11"/>
      <color theme="1"/>
      <name val="Calibri"/>
      <family val="2"/>
      <scheme val="minor"/>
    </font>
    <font>
      <b/>
      <sz val="16"/>
      <color theme="1"/>
      <name val="Times New Roman"/>
      <family val="1"/>
    </font>
    <font>
      <sz val="11"/>
      <color theme="1"/>
      <name val="Times New Roman"/>
      <family val="1"/>
    </font>
    <font>
      <sz val="12"/>
      <color theme="1"/>
      <name val="Times New Roman"/>
      <family val="1"/>
    </font>
    <font>
      <sz val="12"/>
      <color theme="1"/>
      <name val="Calibri"/>
      <family val="2"/>
      <scheme val="minor"/>
    </font>
    <font>
      <b/>
      <sz val="11"/>
      <color theme="1"/>
      <name val="Times New Roman"/>
      <family val="1"/>
    </font>
    <font>
      <b/>
      <sz val="14"/>
      <color theme="1"/>
      <name val="Calibri"/>
      <family val="2"/>
      <scheme val="minor"/>
    </font>
    <font>
      <sz val="11"/>
      <color theme="8" tint="0.59999389629810485"/>
      <name val="Times New Roman"/>
      <family val="1"/>
    </font>
    <font>
      <b/>
      <sz val="14"/>
      <color theme="1"/>
      <name val="Times New Roman"/>
      <family val="1"/>
    </font>
    <font>
      <b/>
      <sz val="12"/>
      <color theme="1"/>
      <name val="Times New Roman"/>
      <family val="1"/>
    </font>
    <font>
      <sz val="14"/>
      <color theme="1"/>
      <name val="Times New Roman"/>
      <family val="1"/>
    </font>
    <font>
      <b/>
      <sz val="18"/>
      <color theme="1"/>
      <name val="Times New Roman"/>
      <family val="1"/>
    </font>
    <font>
      <b/>
      <sz val="11"/>
      <color theme="1"/>
      <name val="Tmes"/>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36">
    <xf numFmtId="0" fontId="0" fillId="0" borderId="0" xfId="0"/>
    <xf numFmtId="0" fontId="0" fillId="0" borderId="0" xfId="0" applyAlignment="1">
      <alignment horizontal="left"/>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vertical="center"/>
    </xf>
    <xf numFmtId="0" fontId="1" fillId="0" borderId="0" xfId="0" applyFont="1" applyAlignment="1">
      <alignment horizontal="center"/>
    </xf>
    <xf numFmtId="164" fontId="3" fillId="0" borderId="0" xfId="0" applyNumberFormat="1" applyFont="1" applyAlignment="1">
      <alignment horizontal="center" vertical="center" wrapText="1"/>
    </xf>
    <xf numFmtId="0" fontId="3" fillId="0" borderId="0" xfId="0" applyFont="1" applyAlignment="1">
      <alignment horizontal="center" vertical="center" wrapText="1"/>
    </xf>
    <xf numFmtId="14"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left"/>
    </xf>
    <xf numFmtId="0" fontId="2" fillId="0" borderId="0" xfId="0" applyFont="1"/>
    <xf numFmtId="14" fontId="2" fillId="0" borderId="0" xfId="0" applyNumberFormat="1" applyFont="1"/>
    <xf numFmtId="0" fontId="0" fillId="0" borderId="0" xfId="0" pivotButton="1"/>
    <xf numFmtId="0" fontId="6" fillId="0" borderId="0" xfId="0" applyFont="1"/>
    <xf numFmtId="0" fontId="2" fillId="2" borderId="0" xfId="0" applyFont="1" applyFill="1"/>
    <xf numFmtId="0" fontId="7" fillId="2" borderId="0" xfId="0" applyFont="1" applyFill="1"/>
    <xf numFmtId="0" fontId="5" fillId="0" borderId="0" xfId="0" applyFont="1" applyAlignment="1">
      <alignment horizontal="center"/>
    </xf>
    <xf numFmtId="1" fontId="5" fillId="0" borderId="0" xfId="0" applyNumberFormat="1" applyFont="1" applyAlignment="1">
      <alignment horizontal="left"/>
    </xf>
    <xf numFmtId="1" fontId="2" fillId="0" borderId="0" xfId="0" applyNumberFormat="1" applyFont="1"/>
    <xf numFmtId="1" fontId="0" fillId="0" borderId="0" xfId="0" applyNumberFormat="1"/>
    <xf numFmtId="14" fontId="5" fillId="0" borderId="0" xfId="0" applyNumberFormat="1" applyFont="1" applyAlignment="1">
      <alignment horizontal="left"/>
    </xf>
    <xf numFmtId="14" fontId="0" fillId="0" borderId="0" xfId="0" applyNumberFormat="1"/>
    <xf numFmtId="165" fontId="5" fillId="0" borderId="0" xfId="0" applyNumberFormat="1" applyFont="1" applyAlignment="1">
      <alignment horizontal="left"/>
    </xf>
    <xf numFmtId="165" fontId="2" fillId="0" borderId="0" xfId="0" applyNumberFormat="1" applyFon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8" fillId="0" borderId="0" xfId="0" applyFont="1"/>
    <xf numFmtId="0" fontId="1" fillId="0" borderId="0" xfId="0" applyFont="1"/>
    <xf numFmtId="0" fontId="10" fillId="0" borderId="0" xfId="0" applyFont="1"/>
    <xf numFmtId="0" fontId="11" fillId="0" borderId="0" xfId="0" applyFont="1"/>
    <xf numFmtId="0" fontId="5" fillId="0" borderId="0" xfId="0" applyFont="1"/>
    <xf numFmtId="0" fontId="12" fillId="0" borderId="0" xfId="0" applyFont="1"/>
    <xf numFmtId="0" fontId="0" fillId="0" borderId="0" xfId="0" applyNumberFormat="1"/>
  </cellXfs>
  <cellStyles count="1">
    <cellStyle name="Normal" xfId="0" builtinId="0"/>
  </cellStyles>
  <dxfs count="133">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numFmt numFmtId="166" formatCode="0.0"/>
    </dxf>
    <dxf>
      <numFmt numFmtId="35" formatCode="_-* #,##0.00_-;\-* #,##0.00_-;_-* &quot;-&quot;??_-;_-@_-"/>
    </dxf>
    <dxf>
      <numFmt numFmtId="169" formatCode="_-* #,##0.0_-;\-* #,##0.0_-;_-* &quot;-&quot;??_-;_-@_-"/>
    </dxf>
    <dxf>
      <numFmt numFmtId="167" formatCode="_-* #,##0_-;\-* #,##0_-;_-* &quot;-&quot;??_-;_-@_-"/>
    </dxf>
    <dxf>
      <numFmt numFmtId="168" formatCode="[$$-1009]#,##0.00"/>
    </dxf>
    <dxf>
      <fill>
        <patternFill>
          <bgColor theme="5" tint="0.39994506668294322"/>
        </patternFill>
      </fill>
    </dxf>
    <dxf>
      <font>
        <color rgb="FF9C0006"/>
      </font>
      <fill>
        <patternFill>
          <bgColor rgb="FFFFC7CE"/>
        </patternFill>
      </fill>
    </dxf>
    <dxf>
      <font>
        <color rgb="FF9C0006"/>
      </font>
      <fill>
        <patternFill>
          <bgColor rgb="FFFFC7CE"/>
        </patternFill>
      </fill>
    </dxf>
    <dxf>
      <fill>
        <patternFill>
          <bgColor theme="5" tint="-0.24994659260841701"/>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numFmt numFmtId="168" formatCode="[$$-1009]#,##0.00"/>
    </dxf>
    <dxf>
      <numFmt numFmtId="167" formatCode="_-* #,##0_-;\-* #,##0_-;_-* &quot;-&quot;??_-;_-@_-"/>
    </dxf>
    <dxf>
      <numFmt numFmtId="169" formatCode="_-* #,##0.0_-;\-* #,##0.0_-;_-* &quot;-&quot;??_-;_-@_-"/>
    </dxf>
    <dxf>
      <numFmt numFmtId="35" formatCode="_-* #,##0.00_-;\-* #,##0.00_-;_-* &quot;-&quot;??_-;_-@_-"/>
    </dxf>
    <dxf>
      <numFmt numFmtId="166" formatCode="0.0"/>
    </dxf>
    <dxf>
      <font>
        <b/>
        <color theme="1"/>
      </font>
      <border>
        <bottom style="thin">
          <color theme="9"/>
        </bottom>
        <vertical/>
        <horizontal/>
      </border>
    </dxf>
    <dxf>
      <font>
        <color theme="1"/>
        <name val="Times New Roman"/>
        <family val="1"/>
        <scheme val="none"/>
      </font>
      <fill>
        <patternFill>
          <bgColor theme="8" tint="-0.24994659260841701"/>
        </patternFill>
      </fill>
      <border>
        <left style="thin">
          <color theme="9"/>
        </left>
        <right style="thin">
          <color theme="9"/>
        </right>
        <top style="thin">
          <color theme="9"/>
        </top>
        <bottom style="thin">
          <color theme="9"/>
        </bottom>
        <vertical/>
        <horizontal/>
      </border>
    </dxf>
    <dxf>
      <font>
        <b/>
        <color theme="1"/>
      </font>
      <border>
        <bottom style="thin">
          <color theme="8"/>
        </bottom>
        <vertical/>
        <horizontal/>
      </border>
    </dxf>
    <dxf>
      <font>
        <color theme="1"/>
        <name val="Times New Roman"/>
        <family val="1"/>
        <scheme val="none"/>
      </font>
      <fill>
        <patternFill>
          <bgColor theme="8" tint="-0.24994659260841701"/>
        </patternFill>
      </fill>
      <border diagonalUp="0" diagonalDown="0">
        <left/>
        <right/>
        <top/>
        <bottom/>
        <vertical/>
        <horizontal/>
      </border>
    </dxf>
    <dxf>
      <font>
        <b/>
        <color theme="1"/>
      </font>
      <border>
        <bottom style="thin">
          <color theme="8"/>
        </bottom>
        <vertical/>
        <horizontal/>
      </border>
    </dxf>
    <dxf>
      <font>
        <color theme="1"/>
        <name val="Times New Roman"/>
        <family val="1"/>
        <scheme val="none"/>
      </font>
      <fill>
        <patternFill>
          <bgColor theme="8" tint="-0.24994659260841701"/>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bgColor theme="8" tint="-0.24994659260841701"/>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fgColor theme="8" tint="-0.24994659260841701"/>
          <bgColor theme="8" tint="-0.24994659260841701"/>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patternType="solid">
          <fgColor auto="1"/>
          <bgColor theme="8"/>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name val="Times New Roman"/>
        <family val="1"/>
        <scheme val="none"/>
      </font>
      <fill>
        <patternFill patternType="solid">
          <fgColor auto="1"/>
          <bgColor theme="8" tint="-0.24994659260841701"/>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name val="Times New Roman"/>
        <family val="1"/>
        <scheme val="none"/>
      </font>
      <fill>
        <patternFill>
          <bgColor theme="8" tint="-0.24994659260841701"/>
        </patternFill>
      </fill>
      <border>
        <left style="thin">
          <color theme="8"/>
        </left>
        <right style="thin">
          <color theme="8"/>
        </right>
        <top style="thin">
          <color theme="8"/>
        </top>
        <bottom style="thin">
          <color theme="8"/>
        </bottom>
        <vertical/>
        <horizontal/>
      </border>
    </dxf>
    <dxf>
      <font>
        <name val="Times New Roman"/>
        <family val="1"/>
        <scheme val="none"/>
      </font>
      <fill>
        <patternFill>
          <bgColor theme="8" tint="-0.24994659260841701"/>
        </patternFill>
      </fill>
    </dxf>
  </dxfs>
  <tableStyles count="11" defaultTableStyle="TableStyleMedium2" defaultPivotStyle="PivotStyleLight16">
    <tableStyle name="Slicer Style 1" pivot="0" table="0" count="1" xr9:uid="{2490DD0B-FE3B-49A5-BD23-1227DF65B149}">
      <tableStyleElement type="wholeTable" dxfId="132"/>
    </tableStyle>
    <tableStyle name="SlicerStyleDark5 10" pivot="0" table="0" count="10" xr9:uid="{2FA5A1A5-5347-4BD7-8FC6-084BCFABEB51}">
      <tableStyleElement type="wholeTable" dxfId="131"/>
      <tableStyleElement type="headerRow" dxfId="130"/>
    </tableStyle>
    <tableStyle name="SlicerStyleDark5 2" pivot="0" table="0" count="10" xr9:uid="{82B9D1AF-F7DA-4D57-B06B-62E5A84CAC7C}">
      <tableStyleElement type="wholeTable" dxfId="129"/>
      <tableStyleElement type="headerRow" dxfId="128"/>
    </tableStyle>
    <tableStyle name="SlicerStyleDark5 3" pivot="0" table="0" count="10" xr9:uid="{FD9FC588-47DE-496D-A26A-F230833AE6DD}">
      <tableStyleElement type="wholeTable" dxfId="127"/>
      <tableStyleElement type="headerRow" dxfId="126"/>
    </tableStyle>
    <tableStyle name="SlicerStyleDark5 4" pivot="0" table="0" count="10" xr9:uid="{D28597AA-D541-4B03-8F30-E9A775E40A40}">
      <tableStyleElement type="wholeTable" dxfId="125"/>
      <tableStyleElement type="headerRow" dxfId="124"/>
    </tableStyle>
    <tableStyle name="SlicerStyleDark5 5" pivot="0" table="0" count="10" xr9:uid="{A0A011D6-0968-400D-8678-7F99CB00603D}">
      <tableStyleElement type="wholeTable" dxfId="123"/>
      <tableStyleElement type="headerRow" dxfId="122"/>
    </tableStyle>
    <tableStyle name="SlicerStyleDark5 6" pivot="0" table="0" count="10" xr9:uid="{CC60E263-1EFA-47F0-BC42-BF9CC59113B1}">
      <tableStyleElement type="wholeTable" dxfId="121"/>
      <tableStyleElement type="headerRow" dxfId="120"/>
    </tableStyle>
    <tableStyle name="SlicerStyleDark5 7" pivot="0" table="0" count="10" xr9:uid="{68D1B3C6-5497-404F-9DD3-3A603E5814FD}">
      <tableStyleElement type="wholeTable" dxfId="119"/>
      <tableStyleElement type="headerRow" dxfId="118"/>
    </tableStyle>
    <tableStyle name="SlicerStyleDark5 8" pivot="0" table="0" count="10" xr9:uid="{58FA910A-6ABE-4E19-9AAA-01A1A2511199}">
      <tableStyleElement type="wholeTable" dxfId="117"/>
      <tableStyleElement type="headerRow" dxfId="116"/>
    </tableStyle>
    <tableStyle name="SlicerStyleDark5 9" pivot="0" table="0" count="10" xr9:uid="{290F68A8-9E96-4B2A-9B9D-BB49E5AC17DD}">
      <tableStyleElement type="wholeTable" dxfId="115"/>
      <tableStyleElement type="headerRow" dxfId="114"/>
    </tableStyle>
    <tableStyle name="SlicerStyleDark6 2" pivot="0" table="0" count="10" xr9:uid="{0B302E05-590A-4017-B864-63E2A0B9DD3C}">
      <tableStyleElement type="wholeTable" dxfId="113"/>
      <tableStyleElement type="headerRow" dxfId="112"/>
    </tableStyle>
  </tableStyle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10">
        <x14:slicerStyle name="Slicer Style 1"/>
        <x14:slicerStyle name="SlicerStyleDark5 10">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5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5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5 4">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5 5">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5 6">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7">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8">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9">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[Laboratory_Performance_Dashboard.xlsx]Pivot_Table!PivotTable6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5095988025901"/>
          <c:y val="0.20344008641987441"/>
          <c:w val="0.80184166856473493"/>
          <c:h val="0.57708988757017377"/>
        </c:manualLayout>
      </c:layout>
      <c:barChart>
        <c:barDir val="col"/>
        <c:grouping val="clustered"/>
        <c:varyColors val="0"/>
        <c:ser>
          <c:idx val="0"/>
          <c:order val="0"/>
          <c:tx>
            <c:strRef>
              <c:f>Pivot_Table!$B$2</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Pivot_Table!$A$3:$A$8</c:f>
              <c:strCache>
                <c:ptCount val="5"/>
                <c:pt idx="0">
                  <c:v>Chemical Pathology</c:v>
                </c:pt>
                <c:pt idx="1">
                  <c:v>Hematology</c:v>
                </c:pt>
                <c:pt idx="2">
                  <c:v>Immunology</c:v>
                </c:pt>
                <c:pt idx="3">
                  <c:v>Microbiology</c:v>
                </c:pt>
                <c:pt idx="4">
                  <c:v>Parasitology</c:v>
                </c:pt>
              </c:strCache>
            </c:strRef>
          </c:cat>
          <c:val>
            <c:numRef>
              <c:f>Pivot_Table!$B$3:$B$8</c:f>
              <c:numCache>
                <c:formatCode>General</c:formatCode>
                <c:ptCount val="5"/>
                <c:pt idx="0">
                  <c:v>224</c:v>
                </c:pt>
                <c:pt idx="1">
                  <c:v>201</c:v>
                </c:pt>
                <c:pt idx="2">
                  <c:v>162</c:v>
                </c:pt>
                <c:pt idx="3">
                  <c:v>254</c:v>
                </c:pt>
                <c:pt idx="4">
                  <c:v>159</c:v>
                </c:pt>
              </c:numCache>
            </c:numRef>
          </c:val>
          <c:extLst>
            <c:ext xmlns:c16="http://schemas.microsoft.com/office/drawing/2014/chart" uri="{C3380CC4-5D6E-409C-BE32-E72D297353CC}">
              <c16:uniqueId val="{00000000-BB0F-47C2-9365-37D91774C29B}"/>
            </c:ext>
          </c:extLst>
        </c:ser>
        <c:dLbls>
          <c:dLblPos val="outEnd"/>
          <c:showLegendKey val="0"/>
          <c:showVal val="1"/>
          <c:showCatName val="0"/>
          <c:showSerName val="0"/>
          <c:showPercent val="0"/>
          <c:showBubbleSize val="0"/>
        </c:dLbls>
        <c:gapWidth val="76"/>
        <c:overlap val="28"/>
        <c:axId val="1736738303"/>
        <c:axId val="1237521775"/>
      </c:barChart>
      <c:catAx>
        <c:axId val="173673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237521775"/>
        <c:crosses val="autoZero"/>
        <c:auto val="1"/>
        <c:lblAlgn val="ctr"/>
        <c:lblOffset val="100"/>
        <c:noMultiLvlLbl val="0"/>
      </c:catAx>
      <c:valAx>
        <c:axId val="1237521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736738303"/>
        <c:crosses val="autoZero"/>
        <c:crossBetween val="between"/>
      </c:valA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[Laboratory_Performance_Dashboard.xlsx]Pivot_Table!PivotTable7</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42109582082862"/>
          <c:y val="0.26268967395774651"/>
          <c:w val="0.86078254830360035"/>
          <c:h val="0.34816266689923614"/>
        </c:manualLayout>
      </c:layout>
      <c:bar3DChart>
        <c:barDir val="col"/>
        <c:grouping val="clustered"/>
        <c:varyColors val="0"/>
        <c:ser>
          <c:idx val="0"/>
          <c:order val="0"/>
          <c:tx>
            <c:strRef>
              <c:f>Pivot_Table!$B$12</c:f>
              <c:strCache>
                <c:ptCount val="1"/>
                <c:pt idx="0">
                  <c:v>Total</c:v>
                </c:pt>
              </c:strCache>
            </c:strRef>
          </c:tx>
          <c:spPr>
            <a:solidFill>
              <a:schemeClr val="accent5">
                <a:lumMod val="50000"/>
              </a:schemeClr>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Pivot_Table!$A$13:$A$19</c:f>
              <c:strCache>
                <c:ptCount val="6"/>
                <c:pt idx="0">
                  <c:v>FBC</c:v>
                </c:pt>
                <c:pt idx="1">
                  <c:v>LFT</c:v>
                </c:pt>
                <c:pt idx="2">
                  <c:v>Malaria</c:v>
                </c:pt>
                <c:pt idx="3">
                  <c:v>PSA</c:v>
                </c:pt>
                <c:pt idx="4">
                  <c:v>U&amp;E</c:v>
                </c:pt>
                <c:pt idx="5">
                  <c:v>Urinalysis</c:v>
                </c:pt>
              </c:strCache>
            </c:strRef>
          </c:cat>
          <c:val>
            <c:numRef>
              <c:f>Pivot_Table!$B$13:$B$19</c:f>
              <c:numCache>
                <c:formatCode>General</c:formatCode>
                <c:ptCount val="6"/>
                <c:pt idx="0">
                  <c:v>149</c:v>
                </c:pt>
                <c:pt idx="1">
                  <c:v>165</c:v>
                </c:pt>
                <c:pt idx="2">
                  <c:v>167</c:v>
                </c:pt>
                <c:pt idx="3">
                  <c:v>197</c:v>
                </c:pt>
                <c:pt idx="4">
                  <c:v>166</c:v>
                </c:pt>
                <c:pt idx="5">
                  <c:v>156</c:v>
                </c:pt>
              </c:numCache>
            </c:numRef>
          </c:val>
          <c:extLst>
            <c:ext xmlns:c16="http://schemas.microsoft.com/office/drawing/2014/chart" uri="{C3380CC4-5D6E-409C-BE32-E72D297353CC}">
              <c16:uniqueId val="{00000000-F136-4583-A6E0-91902C682057}"/>
            </c:ext>
          </c:extLst>
        </c:ser>
        <c:dLbls>
          <c:showLegendKey val="0"/>
          <c:showVal val="1"/>
          <c:showCatName val="0"/>
          <c:showSerName val="0"/>
          <c:showPercent val="0"/>
          <c:showBubbleSize val="0"/>
        </c:dLbls>
        <c:gapWidth val="150"/>
        <c:shape val="box"/>
        <c:axId val="1623291279"/>
        <c:axId val="1474370511"/>
        <c:axId val="0"/>
      </c:bar3DChart>
      <c:catAx>
        <c:axId val="1623291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474370511"/>
        <c:crosses val="autoZero"/>
        <c:auto val="1"/>
        <c:lblAlgn val="ctr"/>
        <c:lblOffset val="100"/>
        <c:noMultiLvlLbl val="0"/>
      </c:catAx>
      <c:valAx>
        <c:axId val="147437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62329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[Laboratory_Performance_Dashboard.xlsx]Pivot_Table!PivotTable8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8167216277452"/>
          <c:y val="0.18043037173544799"/>
          <c:w val="0.65975727393050232"/>
          <c:h val="0.66911384913614003"/>
        </c:manualLayout>
      </c:layout>
      <c:barChart>
        <c:barDir val="bar"/>
        <c:grouping val="clustered"/>
        <c:varyColors val="0"/>
        <c:ser>
          <c:idx val="0"/>
          <c:order val="0"/>
          <c:tx>
            <c:strRef>
              <c:f>Pivot_Table!$E$12</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Pivot_Table!$D$13:$D$19</c:f>
              <c:strCache>
                <c:ptCount val="6"/>
                <c:pt idx="0">
                  <c:v>FBC</c:v>
                </c:pt>
                <c:pt idx="1">
                  <c:v>LFT</c:v>
                </c:pt>
                <c:pt idx="2">
                  <c:v>Malaria</c:v>
                </c:pt>
                <c:pt idx="3">
                  <c:v>PSA</c:v>
                </c:pt>
                <c:pt idx="4">
                  <c:v>U&amp;E</c:v>
                </c:pt>
                <c:pt idx="5">
                  <c:v>Urinalysis</c:v>
                </c:pt>
              </c:strCache>
            </c:strRef>
          </c:cat>
          <c:val>
            <c:numRef>
              <c:f>Pivot_Table!$E$13:$E$19</c:f>
              <c:numCache>
                <c:formatCode>General</c:formatCode>
                <c:ptCount val="6"/>
                <c:pt idx="0">
                  <c:v>3675</c:v>
                </c:pt>
                <c:pt idx="1">
                  <c:v>6500</c:v>
                </c:pt>
                <c:pt idx="2">
                  <c:v>2470</c:v>
                </c:pt>
                <c:pt idx="3">
                  <c:v>9660</c:v>
                </c:pt>
                <c:pt idx="4">
                  <c:v>5685</c:v>
                </c:pt>
                <c:pt idx="5">
                  <c:v>3100</c:v>
                </c:pt>
              </c:numCache>
            </c:numRef>
          </c:val>
          <c:extLst>
            <c:ext xmlns:c16="http://schemas.microsoft.com/office/drawing/2014/chart" uri="{C3380CC4-5D6E-409C-BE32-E72D297353CC}">
              <c16:uniqueId val="{00000000-9183-49BD-8BED-A4272818FDBF}"/>
            </c:ext>
          </c:extLst>
        </c:ser>
        <c:dLbls>
          <c:dLblPos val="outEnd"/>
          <c:showLegendKey val="0"/>
          <c:showVal val="1"/>
          <c:showCatName val="0"/>
          <c:showSerName val="0"/>
          <c:showPercent val="0"/>
          <c:showBubbleSize val="0"/>
        </c:dLbls>
        <c:gapWidth val="182"/>
        <c:axId val="1736809759"/>
        <c:axId val="1237504015"/>
      </c:barChart>
      <c:catAx>
        <c:axId val="173680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37504015"/>
        <c:crosses val="autoZero"/>
        <c:auto val="1"/>
        <c:lblAlgn val="ctr"/>
        <c:lblOffset val="100"/>
        <c:noMultiLvlLbl val="0"/>
      </c:catAx>
      <c:valAx>
        <c:axId val="1237504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736809759"/>
        <c:crosses val="autoZero"/>
        <c:crossBetween val="between"/>
      </c:valA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[Laboratory_Performance_Dashboard.xlsx]Pivot_Table!PivotTable13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w="3175">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1057367829022"/>
          <c:y val="0.19061674602927597"/>
          <c:w val="0.81066687052467956"/>
          <c:h val="0.50539603498179331"/>
        </c:manualLayout>
      </c:layout>
      <c:barChart>
        <c:barDir val="col"/>
        <c:grouping val="clustered"/>
        <c:varyColors val="0"/>
        <c:ser>
          <c:idx val="0"/>
          <c:order val="0"/>
          <c:tx>
            <c:strRef>
              <c:f>Pivot_Table!$H$12:$H$13</c:f>
              <c:strCache>
                <c:ptCount val="1"/>
                <c:pt idx="0">
                  <c:v>Delayed</c:v>
                </c:pt>
              </c:strCache>
            </c:strRef>
          </c:tx>
          <c:spPr>
            <a:solidFill>
              <a:schemeClr val="accent5">
                <a:lumMod val="50000"/>
              </a:schemeClr>
            </a:solidFill>
            <a:ln w="3175">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Pivot_Table!$G$14:$G$19</c:f>
              <c:strCache>
                <c:ptCount val="5"/>
                <c:pt idx="0">
                  <c:v>Chemical Pathology</c:v>
                </c:pt>
                <c:pt idx="1">
                  <c:v>Hematology</c:v>
                </c:pt>
                <c:pt idx="2">
                  <c:v>Immunology</c:v>
                </c:pt>
                <c:pt idx="3">
                  <c:v>Microbiology</c:v>
                </c:pt>
                <c:pt idx="4">
                  <c:v>Parasitology</c:v>
                </c:pt>
              </c:strCache>
            </c:strRef>
          </c:cat>
          <c:val>
            <c:numRef>
              <c:f>Pivot_Table!$H$14:$H$19</c:f>
              <c:numCache>
                <c:formatCode>General</c:formatCode>
                <c:ptCount val="5"/>
                <c:pt idx="0">
                  <c:v>183</c:v>
                </c:pt>
                <c:pt idx="1">
                  <c:v>157</c:v>
                </c:pt>
                <c:pt idx="2">
                  <c:v>138</c:v>
                </c:pt>
                <c:pt idx="3">
                  <c:v>200</c:v>
                </c:pt>
                <c:pt idx="4">
                  <c:v>131</c:v>
                </c:pt>
              </c:numCache>
            </c:numRef>
          </c:val>
          <c:extLst>
            <c:ext xmlns:c16="http://schemas.microsoft.com/office/drawing/2014/chart" uri="{C3380CC4-5D6E-409C-BE32-E72D297353CC}">
              <c16:uniqueId val="{00000000-17B3-4025-91FE-1528704E5062}"/>
            </c:ext>
          </c:extLst>
        </c:ser>
        <c:ser>
          <c:idx val="1"/>
          <c:order val="1"/>
          <c:tx>
            <c:strRef>
              <c:f>Pivot_Table!$I$12:$I$13</c:f>
              <c:strCache>
                <c:ptCount val="1"/>
                <c:pt idx="0">
                  <c:v>On Time</c:v>
                </c:pt>
              </c:strCache>
            </c:strRef>
          </c:tx>
          <c:spPr>
            <a:solidFill>
              <a:schemeClr val="accent5">
                <a:lumMod val="75000"/>
              </a:schemeClr>
            </a:solidFill>
            <a:ln>
              <a:noFill/>
            </a:ln>
            <a:effectLst/>
          </c:spPr>
          <c:invertIfNegative val="0"/>
          <c:cat>
            <c:strRef>
              <c:f>Pivot_Table!$G$14:$G$19</c:f>
              <c:strCache>
                <c:ptCount val="5"/>
                <c:pt idx="0">
                  <c:v>Chemical Pathology</c:v>
                </c:pt>
                <c:pt idx="1">
                  <c:v>Hematology</c:v>
                </c:pt>
                <c:pt idx="2">
                  <c:v>Immunology</c:v>
                </c:pt>
                <c:pt idx="3">
                  <c:v>Microbiology</c:v>
                </c:pt>
                <c:pt idx="4">
                  <c:v>Parasitology</c:v>
                </c:pt>
              </c:strCache>
            </c:strRef>
          </c:cat>
          <c:val>
            <c:numRef>
              <c:f>Pivot_Table!$I$14:$I$19</c:f>
              <c:numCache>
                <c:formatCode>General</c:formatCode>
                <c:ptCount val="5"/>
                <c:pt idx="0">
                  <c:v>41</c:v>
                </c:pt>
                <c:pt idx="1">
                  <c:v>44</c:v>
                </c:pt>
                <c:pt idx="2">
                  <c:v>24</c:v>
                </c:pt>
                <c:pt idx="3">
                  <c:v>54</c:v>
                </c:pt>
                <c:pt idx="4">
                  <c:v>28</c:v>
                </c:pt>
              </c:numCache>
            </c:numRef>
          </c:val>
          <c:extLst>
            <c:ext xmlns:c16="http://schemas.microsoft.com/office/drawing/2014/chart" uri="{C3380CC4-5D6E-409C-BE32-E72D297353CC}">
              <c16:uniqueId val="{00000001-17B3-4025-91FE-1528704E5062}"/>
            </c:ext>
          </c:extLst>
        </c:ser>
        <c:dLbls>
          <c:showLegendKey val="0"/>
          <c:showVal val="0"/>
          <c:showCatName val="0"/>
          <c:showSerName val="0"/>
          <c:showPercent val="0"/>
          <c:showBubbleSize val="0"/>
        </c:dLbls>
        <c:gapWidth val="292"/>
        <c:overlap val="1"/>
        <c:axId val="1466570511"/>
        <c:axId val="1237485775"/>
      </c:barChart>
      <c:catAx>
        <c:axId val="146657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237485775"/>
        <c:crosses val="autoZero"/>
        <c:auto val="1"/>
        <c:lblAlgn val="ctr"/>
        <c:lblOffset val="100"/>
        <c:noMultiLvlLbl val="0"/>
      </c:catAx>
      <c:valAx>
        <c:axId val="1237485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466570511"/>
        <c:crosses val="autoZero"/>
        <c:crossBetween val="between"/>
      </c:valA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plotArea>
    <c:legend>
      <c:legendPos val="r"/>
      <c:layout>
        <c:manualLayout>
          <c:xMode val="edge"/>
          <c:yMode val="edge"/>
          <c:x val="0.33243279056137404"/>
          <c:y val="0.83661261709875212"/>
          <c:w val="0.34533216114975918"/>
          <c:h val="0.10709036372947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[Laboratory_Performance_Dashboard.xlsx]Pivot_Table!PivotTable14</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83176885545043"/>
          <c:y val="0.16067869175927474"/>
          <c:w val="0.73012046942576725"/>
          <c:h val="0.61184825301092682"/>
        </c:manualLayout>
      </c:layout>
      <c:barChart>
        <c:barDir val="col"/>
        <c:grouping val="clustered"/>
        <c:varyColors val="0"/>
        <c:ser>
          <c:idx val="0"/>
          <c:order val="0"/>
          <c:tx>
            <c:strRef>
              <c:f>Pivot_Table!$B$23</c:f>
              <c:strCache>
                <c:ptCount val="1"/>
                <c:pt idx="0">
                  <c:v>Total</c:v>
                </c:pt>
              </c:strCache>
            </c:strRef>
          </c:tx>
          <c:spPr>
            <a:solidFill>
              <a:schemeClr val="accent5">
                <a:lumMod val="50000"/>
              </a:schemeClr>
            </a:solidFill>
            <a:ln>
              <a:noFill/>
            </a:ln>
            <a:effectLst/>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Pivot_Table!$A$24:$A$28</c:f>
              <c:strCache>
                <c:ptCount val="4"/>
                <c:pt idx="0">
                  <c:v>Clotted Sample</c:v>
                </c:pt>
                <c:pt idx="1">
                  <c:v>Hemolyzed</c:v>
                </c:pt>
                <c:pt idx="2">
                  <c:v>Insufficient Sample</c:v>
                </c:pt>
                <c:pt idx="3">
                  <c:v>Wrong Container</c:v>
                </c:pt>
              </c:strCache>
            </c:strRef>
          </c:cat>
          <c:val>
            <c:numRef>
              <c:f>Pivot_Table!$B$24:$B$28</c:f>
              <c:numCache>
                <c:formatCode>General</c:formatCode>
                <c:ptCount val="4"/>
                <c:pt idx="0">
                  <c:v>13</c:v>
                </c:pt>
                <c:pt idx="1">
                  <c:v>20</c:v>
                </c:pt>
                <c:pt idx="2">
                  <c:v>19</c:v>
                </c:pt>
                <c:pt idx="3">
                  <c:v>19</c:v>
                </c:pt>
              </c:numCache>
            </c:numRef>
          </c:val>
          <c:extLst>
            <c:ext xmlns:c16="http://schemas.microsoft.com/office/drawing/2014/chart" uri="{C3380CC4-5D6E-409C-BE32-E72D297353CC}">
              <c16:uniqueId val="{00000002-B082-4F49-B3DC-2A156401E7E5}"/>
            </c:ext>
          </c:extLst>
        </c:ser>
        <c:dLbls>
          <c:dLblPos val="outEnd"/>
          <c:showLegendKey val="0"/>
          <c:showVal val="1"/>
          <c:showCatName val="0"/>
          <c:showSerName val="0"/>
          <c:showPercent val="0"/>
          <c:showBubbleSize val="0"/>
        </c:dLbls>
        <c:gapWidth val="219"/>
        <c:overlap val="-27"/>
        <c:axId val="1171997055"/>
        <c:axId val="1237535215"/>
      </c:barChart>
      <c:catAx>
        <c:axId val="117199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237535215"/>
        <c:crosses val="autoZero"/>
        <c:auto val="1"/>
        <c:lblAlgn val="ctr"/>
        <c:lblOffset val="100"/>
        <c:noMultiLvlLbl val="0"/>
      </c:catAx>
      <c:valAx>
        <c:axId val="1237535215"/>
        <c:scaling>
          <c:orientation val="minMax"/>
        </c:scaling>
        <c:delete val="0"/>
        <c:axPos val="l"/>
        <c:numFmt formatCode="General" sourceLinked="1"/>
        <c:majorTickMark val="none"/>
        <c:minorTickMark val="none"/>
        <c:tickLblPos val="nextTo"/>
        <c:spPr>
          <a:noFill/>
          <a:ln>
            <a:noFill/>
          </a:ln>
          <a:effectLst/>
        </c:spPr>
        <c:txPr>
          <a:bodyPr rot="-60000000" vert="horz"/>
          <a:lstStyle/>
          <a:p>
            <a:pPr>
              <a:defRPr/>
            </a:pPr>
            <a:endParaRPr lang="en-US"/>
          </a:p>
        </c:txPr>
        <c:crossAx val="1171997055"/>
        <c:crosses val="autoZero"/>
        <c:crossBetween val="between"/>
      </c:valA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[Laboratory_Performance_Dashboard.xlsx]Pivot_Table!PivotTable15</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0">
            <a:noFill/>
          </a:ln>
          <a:effectLst/>
        </c:spPr>
      </c:pivotFmt>
      <c:pivotFmt>
        <c:idx val="7"/>
        <c:spPr>
          <a:solidFill>
            <a:schemeClr val="accent5">
              <a:lumMod val="50000"/>
            </a:schemeClr>
          </a:solidFill>
          <a:ln w="0">
            <a:noFill/>
          </a:ln>
          <a:effectLst/>
        </c:spPr>
      </c:pivotFmt>
      <c:pivotFmt>
        <c:idx val="8"/>
        <c:spPr>
          <a:solidFill>
            <a:schemeClr val="accent5">
              <a:lumMod val="40000"/>
              <a:lumOff val="60000"/>
            </a:schemeClr>
          </a:solidFill>
          <a:ln w="0">
            <a:noFill/>
          </a:ln>
          <a:effectLst/>
        </c:spPr>
      </c:pivotFmt>
      <c:pivotFmt>
        <c:idx val="9"/>
        <c:spPr>
          <a:solidFill>
            <a:schemeClr val="accent1"/>
          </a:solidFill>
          <a:ln w="0">
            <a:noFill/>
          </a:ln>
          <a:effectLst/>
        </c:spPr>
      </c:pivotFmt>
      <c:pivotFmt>
        <c:idx val="10"/>
        <c:spPr>
          <a:solidFill>
            <a:schemeClr val="accent1"/>
          </a:solidFill>
          <a:ln w="0">
            <a:noFill/>
          </a:ln>
          <a:effectLst/>
        </c:spPr>
      </c:pivotFmt>
    </c:pivotFmts>
    <c:plotArea>
      <c:layout>
        <c:manualLayout>
          <c:layoutTarget val="inner"/>
          <c:xMode val="edge"/>
          <c:yMode val="edge"/>
          <c:x val="0.27173235998561407"/>
          <c:y val="0.24999999999999997"/>
          <c:w val="0.423712342079689"/>
          <c:h val="0.69871794871794868"/>
        </c:manualLayout>
      </c:layout>
      <c:pieChart>
        <c:varyColors val="1"/>
        <c:ser>
          <c:idx val="0"/>
          <c:order val="0"/>
          <c:tx>
            <c:strRef>
              <c:f>Pivot_Table!$H$2</c:f>
              <c:strCache>
                <c:ptCount val="1"/>
                <c:pt idx="0">
                  <c:v>Total</c:v>
                </c:pt>
              </c:strCache>
            </c:strRef>
          </c:tx>
          <c:spPr>
            <a:ln w="0">
              <a:noFill/>
            </a:ln>
          </c:spPr>
          <c:explosion val="1"/>
          <c:dPt>
            <c:idx val="0"/>
            <c:bubble3D val="0"/>
            <c:spPr>
              <a:solidFill>
                <a:schemeClr val="accent5">
                  <a:lumMod val="75000"/>
                </a:schemeClr>
              </a:solidFill>
              <a:ln w="0">
                <a:noFill/>
              </a:ln>
              <a:effectLst/>
            </c:spPr>
            <c:extLst>
              <c:ext xmlns:c16="http://schemas.microsoft.com/office/drawing/2014/chart" uri="{C3380CC4-5D6E-409C-BE32-E72D297353CC}">
                <c16:uniqueId val="{00000001-7334-46D6-883B-23F820FFCB75}"/>
              </c:ext>
            </c:extLst>
          </c:dPt>
          <c:dPt>
            <c:idx val="1"/>
            <c:bubble3D val="0"/>
            <c:spPr>
              <a:solidFill>
                <a:schemeClr val="accent5">
                  <a:lumMod val="50000"/>
                </a:schemeClr>
              </a:solidFill>
              <a:ln w="0">
                <a:noFill/>
              </a:ln>
              <a:effectLst/>
            </c:spPr>
            <c:extLst>
              <c:ext xmlns:c16="http://schemas.microsoft.com/office/drawing/2014/chart" uri="{C3380CC4-5D6E-409C-BE32-E72D297353CC}">
                <c16:uniqueId val="{00000003-7334-46D6-883B-23F820FFCB75}"/>
              </c:ext>
            </c:extLst>
          </c:dPt>
          <c:dPt>
            <c:idx val="2"/>
            <c:bubble3D val="0"/>
            <c:spPr>
              <a:solidFill>
                <a:schemeClr val="accent5">
                  <a:lumMod val="40000"/>
                  <a:lumOff val="60000"/>
                </a:schemeClr>
              </a:solidFill>
              <a:ln w="0">
                <a:noFill/>
              </a:ln>
              <a:effectLst/>
            </c:spPr>
            <c:extLst>
              <c:ext xmlns:c16="http://schemas.microsoft.com/office/drawing/2014/chart" uri="{C3380CC4-5D6E-409C-BE32-E72D297353CC}">
                <c16:uniqueId val="{00000005-7334-46D6-883B-23F820FFCB75}"/>
              </c:ext>
            </c:extLst>
          </c:dPt>
          <c:dPt>
            <c:idx val="3"/>
            <c:bubble3D val="0"/>
            <c:spPr>
              <a:solidFill>
                <a:schemeClr val="accent4"/>
              </a:solidFill>
              <a:ln w="0">
                <a:noFill/>
              </a:ln>
              <a:effectLst/>
            </c:spPr>
            <c:extLst>
              <c:ext xmlns:c16="http://schemas.microsoft.com/office/drawing/2014/chart" uri="{C3380CC4-5D6E-409C-BE32-E72D297353CC}">
                <c16:uniqueId val="{00000007-AC50-4782-94BD-830C67DF85E3}"/>
              </c:ext>
            </c:extLst>
          </c:dPt>
          <c:dPt>
            <c:idx val="4"/>
            <c:bubble3D val="0"/>
            <c:spPr>
              <a:solidFill>
                <a:schemeClr val="accent5"/>
              </a:solidFill>
              <a:ln w="0">
                <a:noFill/>
              </a:ln>
              <a:effectLst/>
            </c:spPr>
            <c:extLst>
              <c:ext xmlns:c16="http://schemas.microsoft.com/office/drawing/2014/chart" uri="{C3380CC4-5D6E-409C-BE32-E72D297353CC}">
                <c16:uniqueId val="{00000009-AC50-4782-94BD-830C67DF85E3}"/>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Pivot_Table!$G$3:$G$8</c:f>
              <c:strCache>
                <c:ptCount val="5"/>
                <c:pt idx="0">
                  <c:v>Card</c:v>
                </c:pt>
                <c:pt idx="1">
                  <c:v>Cash</c:v>
                </c:pt>
                <c:pt idx="2">
                  <c:v>Transfer</c:v>
                </c:pt>
                <c:pt idx="3">
                  <c:v>31090</c:v>
                </c:pt>
                <c:pt idx="4">
                  <c:v>31055</c:v>
                </c:pt>
              </c:strCache>
            </c:strRef>
          </c:cat>
          <c:val>
            <c:numRef>
              <c:f>Pivot_Table!$H$3:$H$8</c:f>
              <c:numCache>
                <c:formatCode>General</c:formatCode>
                <c:ptCount val="5"/>
                <c:pt idx="0">
                  <c:v>9855</c:v>
                </c:pt>
                <c:pt idx="1">
                  <c:v>10770</c:v>
                </c:pt>
                <c:pt idx="2">
                  <c:v>10405</c:v>
                </c:pt>
                <c:pt idx="3">
                  <c:v>25</c:v>
                </c:pt>
                <c:pt idx="4">
                  <c:v>35</c:v>
                </c:pt>
              </c:numCache>
            </c:numRef>
          </c:val>
          <c:extLst>
            <c:ext xmlns:c16="http://schemas.microsoft.com/office/drawing/2014/chart" uri="{C3380CC4-5D6E-409C-BE32-E72D297353CC}">
              <c16:uniqueId val="{00000006-7334-46D6-883B-23F820FFCB7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3"/>
        <c:delete val="1"/>
      </c:legendEntry>
      <c:legendEntry>
        <c:idx val="4"/>
        <c:delete val="1"/>
      </c:legendEntry>
      <c:layout>
        <c:manualLayout>
          <c:xMode val="edge"/>
          <c:yMode val="edge"/>
          <c:x val="0.75164441018627171"/>
          <c:y val="0.64542581113531028"/>
          <c:w val="0.22108983573611712"/>
          <c:h val="0.260920980622103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[Laboratory_Performance_Dashboard.xlsx]Pivot_Table!PivotTable11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noFill/>
          </a:ln>
          <a:effectLst/>
        </c:spPr>
      </c:pivotFmt>
      <c:pivotFmt>
        <c:idx val="6"/>
        <c:spPr>
          <a:solidFill>
            <a:schemeClr val="accent5">
              <a:lumMod val="75000"/>
            </a:schemeClr>
          </a:solidFill>
          <a:ln w="19050">
            <a:noFill/>
          </a:ln>
          <a:effectLst/>
        </c:spPr>
      </c:pivotFmt>
    </c:pivotFmts>
    <c:plotArea>
      <c:layout>
        <c:manualLayout>
          <c:layoutTarget val="inner"/>
          <c:xMode val="edge"/>
          <c:yMode val="edge"/>
          <c:x val="0.23688389135494897"/>
          <c:y val="0.13691563858161457"/>
          <c:w val="0.41522170595230257"/>
          <c:h val="0.68740031897926634"/>
        </c:manualLayout>
      </c:layout>
      <c:doughnutChart>
        <c:varyColors val="1"/>
        <c:ser>
          <c:idx val="0"/>
          <c:order val="0"/>
          <c:tx>
            <c:strRef>
              <c:f>Pivot_Table!$E$24</c:f>
              <c:strCache>
                <c:ptCount val="1"/>
                <c:pt idx="0">
                  <c:v>Total</c:v>
                </c:pt>
              </c:strCache>
            </c:strRef>
          </c:tx>
          <c:spPr>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EB32-4384-918D-40236A5ACAF2}"/>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EB32-4384-918D-40236A5ACAF2}"/>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Pivot_Table!$D$25:$D$27</c:f>
              <c:strCache>
                <c:ptCount val="2"/>
                <c:pt idx="0">
                  <c:v>Delayed</c:v>
                </c:pt>
                <c:pt idx="1">
                  <c:v>On Time</c:v>
                </c:pt>
              </c:strCache>
            </c:strRef>
          </c:cat>
          <c:val>
            <c:numRef>
              <c:f>Pivot_Table!$E$25:$E$27</c:f>
              <c:numCache>
                <c:formatCode>General</c:formatCode>
                <c:ptCount val="2"/>
                <c:pt idx="0">
                  <c:v>809</c:v>
                </c:pt>
                <c:pt idx="1">
                  <c:v>191</c:v>
                </c:pt>
              </c:numCache>
            </c:numRef>
          </c:val>
          <c:extLst>
            <c:ext xmlns:c16="http://schemas.microsoft.com/office/drawing/2014/chart" uri="{C3380CC4-5D6E-409C-BE32-E72D297353CC}">
              <c16:uniqueId val="{00000004-EB32-4384-918D-40236A5ACAF2}"/>
            </c:ext>
          </c:extLst>
        </c:ser>
        <c:dLbls>
          <c:showLegendKey val="0"/>
          <c:showVal val="1"/>
          <c:showCatName val="0"/>
          <c:showSerName val="0"/>
          <c:showPercent val="0"/>
          <c:showBubbleSize val="0"/>
          <c:showLeaderLines val="1"/>
        </c:dLbls>
        <c:firstSliceAng val="87"/>
        <c:holeSize val="56"/>
      </c:doughnutChart>
      <c:spPr>
        <a:noFill/>
        <a:ln>
          <a:noFill/>
        </a:ln>
        <a:effectLst/>
      </c:spPr>
    </c:plotArea>
    <c:legend>
      <c:legendPos val="r"/>
      <c:layout>
        <c:manualLayout>
          <c:xMode val="edge"/>
          <c:yMode val="edge"/>
          <c:x val="0.59850440180834397"/>
          <c:y val="0.7813756681224564"/>
          <c:w val="0.29460387268765797"/>
          <c:h val="0.18218750996206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[Laboratory_Performance_Dashboard.xlsx]Pivot_Table!PivotTable18</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51934997487017"/>
          <c:y val="0.12608569332210584"/>
          <c:w val="0.58485369884320015"/>
          <c:h val="0.69679304171485612"/>
        </c:manualLayout>
      </c:layout>
      <c:barChart>
        <c:barDir val="bar"/>
        <c:grouping val="clustered"/>
        <c:varyColors val="0"/>
        <c:ser>
          <c:idx val="0"/>
          <c:order val="0"/>
          <c:tx>
            <c:strRef>
              <c:f>Pivot_Table!$E$2</c:f>
              <c:strCache>
                <c:ptCount val="1"/>
                <c:pt idx="0">
                  <c:v>Total</c:v>
                </c:pt>
              </c:strCache>
            </c:strRef>
          </c:tx>
          <c:spPr>
            <a:solidFill>
              <a:schemeClr val="accent5">
                <a:lumMod val="50000"/>
              </a:schemeClr>
            </a:solidFill>
            <a:ln>
              <a:noFill/>
            </a:ln>
            <a:effectLst/>
          </c:spPr>
          <c:invertIfNegative val="0"/>
          <c:dLbls>
            <c:spPr>
              <a:noFill/>
              <a:ln>
                <a:noFill/>
              </a:ln>
              <a:effectLst/>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Pivot_Table!$D$3:$D$7</c:f>
              <c:strCache>
                <c:ptCount val="4"/>
                <c:pt idx="0">
                  <c:v>Port harcourt</c:v>
                </c:pt>
                <c:pt idx="1">
                  <c:v>Lagos</c:v>
                </c:pt>
                <c:pt idx="2">
                  <c:v>Enugu</c:v>
                </c:pt>
                <c:pt idx="3">
                  <c:v>Abuja</c:v>
                </c:pt>
              </c:strCache>
            </c:strRef>
          </c:cat>
          <c:val>
            <c:numRef>
              <c:f>Pivot_Table!$E$3:$E$7</c:f>
              <c:numCache>
                <c:formatCode>General</c:formatCode>
                <c:ptCount val="4"/>
                <c:pt idx="0">
                  <c:v>7965</c:v>
                </c:pt>
                <c:pt idx="1">
                  <c:v>7490</c:v>
                </c:pt>
                <c:pt idx="2">
                  <c:v>7585</c:v>
                </c:pt>
                <c:pt idx="3">
                  <c:v>8050</c:v>
                </c:pt>
              </c:numCache>
            </c:numRef>
          </c:val>
          <c:extLst>
            <c:ext xmlns:c16="http://schemas.microsoft.com/office/drawing/2014/chart" uri="{C3380CC4-5D6E-409C-BE32-E72D297353CC}">
              <c16:uniqueId val="{00000002-A767-4F8C-9FAD-0AFCA2F3B9EF}"/>
            </c:ext>
          </c:extLst>
        </c:ser>
        <c:dLbls>
          <c:dLblPos val="outEnd"/>
          <c:showLegendKey val="0"/>
          <c:showVal val="1"/>
          <c:showCatName val="0"/>
          <c:showSerName val="0"/>
          <c:showPercent val="0"/>
          <c:showBubbleSize val="0"/>
        </c:dLbls>
        <c:gapWidth val="182"/>
        <c:axId val="1225326991"/>
        <c:axId val="1174124687"/>
      </c:barChart>
      <c:catAx>
        <c:axId val="122532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1174124687"/>
        <c:crosses val="autoZero"/>
        <c:auto val="1"/>
        <c:lblAlgn val="ctr"/>
        <c:lblOffset val="100"/>
        <c:noMultiLvlLbl val="0"/>
      </c:catAx>
      <c:valAx>
        <c:axId val="1174124687"/>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a:pPr>
            <a:endParaRPr lang="en-US"/>
          </a:p>
        </c:txPr>
        <c:crossAx val="1225326991"/>
        <c:crosses val="autoZero"/>
        <c:crossBetween val="between"/>
      </c:valA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chart>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atMod val="105000"/>
        </a:schemeClr>
      </a:solidFill>
      <a:prstDash val="solid"/>
    </a:ln>
    <a:effectLst>
      <a:outerShdw blurRad="40000" dist="20000" dir="5400000" rotWithShape="0">
        <a:srgbClr val="000000">
          <a:alpha val="38000"/>
        </a:srgbClr>
      </a:outerShdw>
    </a:effectLst>
  </c:spPr>
  <c:txPr>
    <a:bodyPr/>
    <a:lstStyle/>
    <a:p>
      <a:pPr>
        <a:defRPr>
          <a:solidFill>
            <a:schemeClr val="dk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22</xdr:col>
      <xdr:colOff>66675</xdr:colOff>
      <xdr:row>48</xdr:row>
      <xdr:rowOff>180975</xdr:rowOff>
    </xdr:to>
    <xdr:sp macro="" textlink="AA3">
      <xdr:nvSpPr>
        <xdr:cNvPr id="3" name="Rectangle 2">
          <a:extLst>
            <a:ext uri="{FF2B5EF4-FFF2-40B4-BE49-F238E27FC236}">
              <a16:creationId xmlns:a16="http://schemas.microsoft.com/office/drawing/2014/main" id="{D8BCF180-3ECE-E587-FFB5-C1E29DD13C30}"/>
            </a:ext>
          </a:extLst>
        </xdr:cNvPr>
        <xdr:cNvSpPr/>
      </xdr:nvSpPr>
      <xdr:spPr>
        <a:xfrm>
          <a:off x="1" y="0"/>
          <a:ext cx="13477874" cy="932497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30D4EAE-08BB-4563-B232-AC8F8E111F94}" type="TxLink">
            <a:rPr lang="en-US" sz="1100" b="0" i="0" u="none" strike="noStrike">
              <a:solidFill>
                <a:srgbClr val="000000"/>
              </a:solidFill>
              <a:latin typeface="Times New Roman"/>
              <a:cs typeface="Times New Roman"/>
            </a:rPr>
            <a:pPr algn="ctr"/>
            <a:t> </a:t>
          </a:fld>
          <a:endParaRPr lang="en-GB" sz="1100"/>
        </a:p>
      </xdr:txBody>
    </xdr:sp>
    <xdr:clientData/>
  </xdr:twoCellAnchor>
  <xdr:twoCellAnchor>
    <xdr:from>
      <xdr:col>0</xdr:col>
      <xdr:colOff>57152</xdr:colOff>
      <xdr:row>0</xdr:row>
      <xdr:rowOff>95250</xdr:rowOff>
    </xdr:from>
    <xdr:to>
      <xdr:col>2</xdr:col>
      <xdr:colOff>323850</xdr:colOff>
      <xdr:row>48</xdr:row>
      <xdr:rowOff>171450</xdr:rowOff>
    </xdr:to>
    <xdr:sp macro="" textlink="">
      <xdr:nvSpPr>
        <xdr:cNvPr id="5" name="Rectangle: Diagonal Corners Rounded 4">
          <a:extLst>
            <a:ext uri="{FF2B5EF4-FFF2-40B4-BE49-F238E27FC236}">
              <a16:creationId xmlns:a16="http://schemas.microsoft.com/office/drawing/2014/main" id="{0F741818-5EF7-CF3F-F555-E3202C4FB049}"/>
            </a:ext>
          </a:extLst>
        </xdr:cNvPr>
        <xdr:cNvSpPr/>
      </xdr:nvSpPr>
      <xdr:spPr>
        <a:xfrm>
          <a:off x="57152" y="95250"/>
          <a:ext cx="1485898" cy="9220200"/>
        </a:xfrm>
        <a:prstGeom prst="round2Diag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342902</xdr:colOff>
      <xdr:row>24</xdr:row>
      <xdr:rowOff>19051</xdr:rowOff>
    </xdr:from>
    <xdr:to>
      <xdr:col>9</xdr:col>
      <xdr:colOff>9526</xdr:colOff>
      <xdr:row>35</xdr:row>
      <xdr:rowOff>161925</xdr:rowOff>
    </xdr:to>
    <xdr:graphicFrame macro="">
      <xdr:nvGraphicFramePr>
        <xdr:cNvPr id="6" name="Chart 5">
          <a:extLst>
            <a:ext uri="{FF2B5EF4-FFF2-40B4-BE49-F238E27FC236}">
              <a16:creationId xmlns:a16="http://schemas.microsoft.com/office/drawing/2014/main" id="{96A525BB-58AD-4B2B-8AE0-EFB3675E9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247650</xdr:colOff>
      <xdr:row>11</xdr:row>
      <xdr:rowOff>19050</xdr:rowOff>
    </xdr:from>
    <xdr:to>
      <xdr:col>21</xdr:col>
      <xdr:colOff>571500</xdr:colOff>
      <xdr:row>23</xdr:row>
      <xdr:rowOff>104775</xdr:rowOff>
    </xdr:to>
    <xdr:graphicFrame macro="">
      <xdr:nvGraphicFramePr>
        <xdr:cNvPr id="7" name="Chart 6">
          <a:extLst>
            <a:ext uri="{FF2B5EF4-FFF2-40B4-BE49-F238E27FC236}">
              <a16:creationId xmlns:a16="http://schemas.microsoft.com/office/drawing/2014/main" id="{6FEA5CCF-DB11-4F89-888C-A400531F2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11</xdr:row>
      <xdr:rowOff>28575</xdr:rowOff>
    </xdr:from>
    <xdr:to>
      <xdr:col>9</xdr:col>
      <xdr:colOff>9525</xdr:colOff>
      <xdr:row>23</xdr:row>
      <xdr:rowOff>133350</xdr:rowOff>
    </xdr:to>
    <xdr:graphicFrame macro="">
      <xdr:nvGraphicFramePr>
        <xdr:cNvPr id="8" name="Chart 7">
          <a:extLst>
            <a:ext uri="{FF2B5EF4-FFF2-40B4-BE49-F238E27FC236}">
              <a16:creationId xmlns:a16="http://schemas.microsoft.com/office/drawing/2014/main" id="{57513470-CFEA-4CAD-89B0-5936AD0E2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342899</xdr:colOff>
      <xdr:row>36</xdr:row>
      <xdr:rowOff>28576</xdr:rowOff>
    </xdr:from>
    <xdr:to>
      <xdr:col>9</xdr:col>
      <xdr:colOff>28574</xdr:colOff>
      <xdr:row>48</xdr:row>
      <xdr:rowOff>85726</xdr:rowOff>
    </xdr:to>
    <xdr:graphicFrame macro="">
      <xdr:nvGraphicFramePr>
        <xdr:cNvPr id="9" name="Chart 8">
          <a:extLst>
            <a:ext uri="{FF2B5EF4-FFF2-40B4-BE49-F238E27FC236}">
              <a16:creationId xmlns:a16="http://schemas.microsoft.com/office/drawing/2014/main" id="{99D8D7F9-A35C-42C0-8611-0E0EA02A7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114300</xdr:colOff>
      <xdr:row>36</xdr:row>
      <xdr:rowOff>28576</xdr:rowOff>
    </xdr:from>
    <xdr:to>
      <xdr:col>15</xdr:col>
      <xdr:colOff>209550</xdr:colOff>
      <xdr:row>48</xdr:row>
      <xdr:rowOff>95252</xdr:rowOff>
    </xdr:to>
    <xdr:graphicFrame macro="">
      <xdr:nvGraphicFramePr>
        <xdr:cNvPr id="10" name="Chart 9">
          <a:extLst>
            <a:ext uri="{FF2B5EF4-FFF2-40B4-BE49-F238E27FC236}">
              <a16:creationId xmlns:a16="http://schemas.microsoft.com/office/drawing/2014/main" id="{8E5A059C-9220-4DA4-8916-64E563588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104775</xdr:colOff>
      <xdr:row>24</xdr:row>
      <xdr:rowOff>28575</xdr:rowOff>
    </xdr:from>
    <xdr:to>
      <xdr:col>15</xdr:col>
      <xdr:colOff>200025</xdr:colOff>
      <xdr:row>35</xdr:row>
      <xdr:rowOff>171450</xdr:rowOff>
    </xdr:to>
    <xdr:graphicFrame macro="">
      <xdr:nvGraphicFramePr>
        <xdr:cNvPr id="11" name="Chart 10">
          <a:extLst>
            <a:ext uri="{FF2B5EF4-FFF2-40B4-BE49-F238E27FC236}">
              <a16:creationId xmlns:a16="http://schemas.microsoft.com/office/drawing/2014/main" id="{F5AE10DA-2362-49EA-B1F7-B30D04704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89648</xdr:colOff>
      <xdr:row>11</xdr:row>
      <xdr:rowOff>38100</xdr:rowOff>
    </xdr:from>
    <xdr:to>
      <xdr:col>15</xdr:col>
      <xdr:colOff>190500</xdr:colOff>
      <xdr:row>23</xdr:row>
      <xdr:rowOff>134471</xdr:rowOff>
    </xdr:to>
    <xdr:graphicFrame macro="">
      <xdr:nvGraphicFramePr>
        <xdr:cNvPr id="12" name="Chart 11">
          <a:extLst>
            <a:ext uri="{FF2B5EF4-FFF2-40B4-BE49-F238E27FC236}">
              <a16:creationId xmlns:a16="http://schemas.microsoft.com/office/drawing/2014/main" id="{B249D359-F296-4B37-8C71-814D8A9D9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276223</xdr:colOff>
      <xdr:row>23</xdr:row>
      <xdr:rowOff>190499</xdr:rowOff>
    </xdr:from>
    <xdr:to>
      <xdr:col>21</xdr:col>
      <xdr:colOff>581024</xdr:colOff>
      <xdr:row>48</xdr:row>
      <xdr:rowOff>85724</xdr:rowOff>
    </xdr:to>
    <xdr:graphicFrame macro="">
      <xdr:nvGraphicFramePr>
        <xdr:cNvPr id="13" name="Chart 12">
          <a:extLst>
            <a:ext uri="{FF2B5EF4-FFF2-40B4-BE49-F238E27FC236}">
              <a16:creationId xmlns:a16="http://schemas.microsoft.com/office/drawing/2014/main" id="{DFEBB08C-327B-4D32-A063-AA917E36B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152400</xdr:colOff>
      <xdr:row>11</xdr:row>
      <xdr:rowOff>47625</xdr:rowOff>
    </xdr:from>
    <xdr:ext cx="3638549" cy="269304"/>
    <xdr:sp macro="" textlink="">
      <xdr:nvSpPr>
        <xdr:cNvPr id="14" name="TextBox 13">
          <a:extLst>
            <a:ext uri="{FF2B5EF4-FFF2-40B4-BE49-F238E27FC236}">
              <a16:creationId xmlns:a16="http://schemas.microsoft.com/office/drawing/2014/main" id="{039D190F-1F46-4639-9BDE-36AFBDC7E769}"/>
            </a:ext>
          </a:extLst>
        </xdr:cNvPr>
        <xdr:cNvSpPr txBox="1"/>
      </xdr:nvSpPr>
      <xdr:spPr>
        <a:xfrm flipH="1">
          <a:off x="5598459" y="2143125"/>
          <a:ext cx="3638549" cy="269304"/>
        </a:xfrm>
        <a:prstGeom prst="rect">
          <a:avLst/>
        </a:prstGeom>
        <a:solidFill>
          <a:schemeClr val="accent5">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1200" b="1">
              <a:solidFill>
                <a:schemeClr val="bg1"/>
              </a:solidFill>
              <a:latin typeface="Times New Roman" panose="02020603050405020304" pitchFamily="18" charset="0"/>
              <a:cs typeface="Times New Roman" panose="02020603050405020304" pitchFamily="18" charset="0"/>
            </a:rPr>
            <a:t> Sample TAT</a:t>
          </a:r>
          <a:r>
            <a:rPr lang="en-GB" sz="1200" b="1" baseline="0">
              <a:solidFill>
                <a:schemeClr val="bg1"/>
              </a:solidFill>
              <a:latin typeface="Times New Roman" panose="02020603050405020304" pitchFamily="18" charset="0"/>
              <a:cs typeface="Times New Roman" panose="02020603050405020304" pitchFamily="18" charset="0"/>
            </a:rPr>
            <a:t> Status</a:t>
          </a:r>
        </a:p>
      </xdr:txBody>
    </xdr:sp>
    <xdr:clientData/>
  </xdr:oneCellAnchor>
  <xdr:twoCellAnchor editAs="oneCell">
    <xdr:from>
      <xdr:col>0</xdr:col>
      <xdr:colOff>288550</xdr:colOff>
      <xdr:row>41</xdr:row>
      <xdr:rowOff>139512</xdr:rowOff>
    </xdr:from>
    <xdr:to>
      <xdr:col>1</xdr:col>
      <xdr:colOff>469525</xdr:colOff>
      <xdr:row>46</xdr:row>
      <xdr:rowOff>100853</xdr:rowOff>
    </xdr:to>
    <mc:AlternateContent xmlns:mc="http://schemas.openxmlformats.org/markup-compatibility/2006">
      <mc:Choice xmlns:a14="http://schemas.microsoft.com/office/drawing/2010/main" Requires="a14">
        <xdr:graphicFrame macro="">
          <xdr:nvGraphicFramePr>
            <xdr:cNvPr id="19" name="Payment_Status">
              <a:extLst>
                <a:ext uri="{FF2B5EF4-FFF2-40B4-BE49-F238E27FC236}">
                  <a16:creationId xmlns:a16="http://schemas.microsoft.com/office/drawing/2014/main" id="{6FCA14D9-334B-4806-B48A-2A8744DE3294}"/>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288550" y="7950012"/>
              <a:ext cx="786093" cy="9138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373155</xdr:colOff>
      <xdr:row>17</xdr:row>
      <xdr:rowOff>57709</xdr:rowOff>
    </xdr:from>
    <xdr:to>
      <xdr:col>2</xdr:col>
      <xdr:colOff>6163</xdr:colOff>
      <xdr:row>26</xdr:row>
      <xdr:rowOff>181534</xdr:rowOff>
    </xdr:to>
    <mc:AlternateContent xmlns:mc="http://schemas.openxmlformats.org/markup-compatibility/2006">
      <mc:Choice xmlns:a14="http://schemas.microsoft.com/office/drawing/2010/main" Requires="a14">
        <xdr:graphicFrame macro="">
          <xdr:nvGraphicFramePr>
            <xdr:cNvPr id="20" name="Test_Type">
              <a:extLst>
                <a:ext uri="{FF2B5EF4-FFF2-40B4-BE49-F238E27FC236}">
                  <a16:creationId xmlns:a16="http://schemas.microsoft.com/office/drawing/2014/main" id="{7B2513BC-E104-46AA-862E-48CF227D09E2}"/>
                </a:ext>
              </a:extLst>
            </xdr:cNvPr>
            <xdr:cNvGraphicFramePr/>
          </xdr:nvGraphicFramePr>
          <xdr:xfrm>
            <a:off x="0" y="0"/>
            <a:ext cx="0" cy="0"/>
          </xdr:xfrm>
          <a:graphic>
            <a:graphicData uri="http://schemas.microsoft.com/office/drawing/2010/slicer">
              <sle:slicer xmlns:sle="http://schemas.microsoft.com/office/drawing/2010/slicer" name="Test_Type"/>
            </a:graphicData>
          </a:graphic>
        </xdr:graphicFrame>
      </mc:Choice>
      <mc:Fallback>
        <xdr:sp macro="" textlink="">
          <xdr:nvSpPr>
            <xdr:cNvPr id="0" name=""/>
            <xdr:cNvSpPr>
              <a:spLocks noTextEdit="1"/>
            </xdr:cNvSpPr>
          </xdr:nvSpPr>
          <xdr:spPr>
            <a:xfrm>
              <a:off x="373155" y="3296209"/>
              <a:ext cx="843243" cy="1838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330013</xdr:colOff>
      <xdr:row>29</xdr:row>
      <xdr:rowOff>80122</xdr:rowOff>
    </xdr:from>
    <xdr:to>
      <xdr:col>1</xdr:col>
      <xdr:colOff>568138</xdr:colOff>
      <xdr:row>39</xdr:row>
      <xdr:rowOff>44823</xdr:rowOff>
    </xdr:to>
    <mc:AlternateContent xmlns:mc="http://schemas.openxmlformats.org/markup-compatibility/2006">
      <mc:Choice xmlns:a14="http://schemas.microsoft.com/office/drawing/2010/main" Requires="a14">
        <xdr:graphicFrame macro="">
          <xdr:nvGraphicFramePr>
            <xdr:cNvPr id="21" name="Month">
              <a:extLst>
                <a:ext uri="{FF2B5EF4-FFF2-40B4-BE49-F238E27FC236}">
                  <a16:creationId xmlns:a16="http://schemas.microsoft.com/office/drawing/2014/main" id="{8F1E92F7-C5B1-4493-8502-1D18597EADB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30013" y="5604622"/>
              <a:ext cx="843243" cy="1869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6</xdr:row>
      <xdr:rowOff>159684</xdr:rowOff>
    </xdr:from>
    <xdr:to>
      <xdr:col>1</xdr:col>
      <xdr:colOff>600075</xdr:colOff>
      <xdr:row>15</xdr:row>
      <xdr:rowOff>16808</xdr:rowOff>
    </xdr:to>
    <mc:AlternateContent xmlns:mc="http://schemas.openxmlformats.org/markup-compatibility/2006">
      <mc:Choice xmlns:a14="http://schemas.microsoft.com/office/drawing/2010/main" Requires="a14">
        <xdr:graphicFrame macro="">
          <xdr:nvGraphicFramePr>
            <xdr:cNvPr id="22" name="Department">
              <a:extLst>
                <a:ext uri="{FF2B5EF4-FFF2-40B4-BE49-F238E27FC236}">
                  <a16:creationId xmlns:a16="http://schemas.microsoft.com/office/drawing/2014/main" id="{9BADE55D-4666-472B-83DD-397C54CE5B0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1000" y="1302684"/>
              <a:ext cx="824193" cy="15716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290793</xdr:colOff>
      <xdr:row>0</xdr:row>
      <xdr:rowOff>174811</xdr:rowOff>
    </xdr:from>
    <xdr:to>
      <xdr:col>2</xdr:col>
      <xdr:colOff>100293</xdr:colOff>
      <xdr:row>3</xdr:row>
      <xdr:rowOff>155761</xdr:rowOff>
    </xdr:to>
    <xdr:sp macro="" textlink="">
      <xdr:nvSpPr>
        <xdr:cNvPr id="28" name="Rectangle: Rounded Corners 27">
          <a:extLst>
            <a:ext uri="{FF2B5EF4-FFF2-40B4-BE49-F238E27FC236}">
              <a16:creationId xmlns:a16="http://schemas.microsoft.com/office/drawing/2014/main" id="{AAF1A714-6E3D-E9A9-465B-DF78F0ADAA5D}"/>
            </a:ext>
          </a:extLst>
        </xdr:cNvPr>
        <xdr:cNvSpPr/>
      </xdr:nvSpPr>
      <xdr:spPr>
        <a:xfrm>
          <a:off x="290793" y="174811"/>
          <a:ext cx="1019735" cy="55245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GB" sz="1100">
              <a:latin typeface="Times New Roman" panose="02020603050405020304" pitchFamily="18" charset="0"/>
              <a:cs typeface="Times New Roman" panose="02020603050405020304" pitchFamily="18" charset="0"/>
            </a:rPr>
            <a:t>FILTER PANEL</a:t>
          </a:r>
        </a:p>
      </xdr:txBody>
    </xdr:sp>
    <xdr:clientData/>
  </xdr:twoCellAnchor>
  <xdr:twoCellAnchor>
    <xdr:from>
      <xdr:col>0</xdr:col>
      <xdr:colOff>336736</xdr:colOff>
      <xdr:row>5</xdr:row>
      <xdr:rowOff>34178</xdr:rowOff>
    </xdr:from>
    <xdr:to>
      <xdr:col>2</xdr:col>
      <xdr:colOff>41462</xdr:colOff>
      <xdr:row>6</xdr:row>
      <xdr:rowOff>119903</xdr:rowOff>
    </xdr:to>
    <xdr:sp macro="" textlink="">
      <xdr:nvSpPr>
        <xdr:cNvPr id="2" name="Rectangle: Rounded Corners 1">
          <a:extLst>
            <a:ext uri="{FF2B5EF4-FFF2-40B4-BE49-F238E27FC236}">
              <a16:creationId xmlns:a16="http://schemas.microsoft.com/office/drawing/2014/main" id="{BE2219EA-2715-3B2B-1D19-9792BB44D885}"/>
            </a:ext>
          </a:extLst>
        </xdr:cNvPr>
        <xdr:cNvSpPr/>
      </xdr:nvSpPr>
      <xdr:spPr>
        <a:xfrm>
          <a:off x="336736" y="986678"/>
          <a:ext cx="914961" cy="276225"/>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GB" sz="1100">
              <a:latin typeface="Times New Roman" panose="02020603050405020304" pitchFamily="18" charset="0"/>
              <a:cs typeface="Times New Roman" panose="02020603050405020304" pitchFamily="18" charset="0"/>
            </a:rPr>
            <a:t>Department </a:t>
          </a:r>
        </a:p>
      </xdr:txBody>
    </xdr:sp>
    <xdr:clientData/>
  </xdr:twoCellAnchor>
  <xdr:twoCellAnchor>
    <xdr:from>
      <xdr:col>0</xdr:col>
      <xdr:colOff>226919</xdr:colOff>
      <xdr:row>27</xdr:row>
      <xdr:rowOff>132230</xdr:rowOff>
    </xdr:from>
    <xdr:to>
      <xdr:col>2</xdr:col>
      <xdr:colOff>45944</xdr:colOff>
      <xdr:row>29</xdr:row>
      <xdr:rowOff>27455</xdr:rowOff>
    </xdr:to>
    <xdr:sp macro="" textlink="">
      <xdr:nvSpPr>
        <xdr:cNvPr id="15" name="Rectangle: Rounded Corners 14">
          <a:extLst>
            <a:ext uri="{FF2B5EF4-FFF2-40B4-BE49-F238E27FC236}">
              <a16:creationId xmlns:a16="http://schemas.microsoft.com/office/drawing/2014/main" id="{4ABEB7BA-44FC-4862-BD38-C2A626CD17D4}"/>
            </a:ext>
          </a:extLst>
        </xdr:cNvPr>
        <xdr:cNvSpPr/>
      </xdr:nvSpPr>
      <xdr:spPr>
        <a:xfrm>
          <a:off x="226919" y="5275730"/>
          <a:ext cx="1029260" cy="276225"/>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GB" sz="1100">
              <a:latin typeface="Times New Roman" panose="02020603050405020304" pitchFamily="18" charset="0"/>
              <a:cs typeface="Times New Roman" panose="02020603050405020304" pitchFamily="18" charset="0"/>
            </a:rPr>
            <a:t>Month</a:t>
          </a:r>
        </a:p>
      </xdr:txBody>
    </xdr:sp>
    <xdr:clientData/>
  </xdr:twoCellAnchor>
  <xdr:twoCellAnchor>
    <xdr:from>
      <xdr:col>0</xdr:col>
      <xdr:colOff>233642</xdr:colOff>
      <xdr:row>15</xdr:row>
      <xdr:rowOff>79561</xdr:rowOff>
    </xdr:from>
    <xdr:to>
      <xdr:col>2</xdr:col>
      <xdr:colOff>62193</xdr:colOff>
      <xdr:row>16</xdr:row>
      <xdr:rowOff>165286</xdr:rowOff>
    </xdr:to>
    <xdr:sp macro="" textlink="">
      <xdr:nvSpPr>
        <xdr:cNvPr id="16" name="Rectangle: Rounded Corners 15">
          <a:extLst>
            <a:ext uri="{FF2B5EF4-FFF2-40B4-BE49-F238E27FC236}">
              <a16:creationId xmlns:a16="http://schemas.microsoft.com/office/drawing/2014/main" id="{068672F3-B62C-4B33-9C13-B01D4DAF309C}"/>
            </a:ext>
          </a:extLst>
        </xdr:cNvPr>
        <xdr:cNvSpPr/>
      </xdr:nvSpPr>
      <xdr:spPr>
        <a:xfrm>
          <a:off x="233642" y="2937061"/>
          <a:ext cx="1038786" cy="276225"/>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GB" sz="1100">
              <a:latin typeface="Times New Roman" panose="02020603050405020304" pitchFamily="18" charset="0"/>
              <a:cs typeface="Times New Roman" panose="02020603050405020304" pitchFamily="18" charset="0"/>
            </a:rPr>
            <a:t>Test type</a:t>
          </a:r>
        </a:p>
        <a:p>
          <a:pPr algn="ctr"/>
          <a:endParaRPr lang="en-GB" sz="1100">
            <a:latin typeface="Times New Roman" panose="02020603050405020304" pitchFamily="18" charset="0"/>
            <a:cs typeface="Times New Roman" panose="02020603050405020304" pitchFamily="18" charset="0"/>
          </a:endParaRPr>
        </a:p>
      </xdr:txBody>
    </xdr:sp>
    <xdr:clientData/>
  </xdr:twoCellAnchor>
  <xdr:twoCellAnchor>
    <xdr:from>
      <xdr:col>0</xdr:col>
      <xdr:colOff>131669</xdr:colOff>
      <xdr:row>39</xdr:row>
      <xdr:rowOff>134471</xdr:rowOff>
    </xdr:from>
    <xdr:to>
      <xdr:col>2</xdr:col>
      <xdr:colOff>131669</xdr:colOff>
      <xdr:row>41</xdr:row>
      <xdr:rowOff>48746</xdr:rowOff>
    </xdr:to>
    <xdr:sp macro="" textlink="">
      <xdr:nvSpPr>
        <xdr:cNvPr id="17" name="Rectangle: Rounded Corners 16">
          <a:extLst>
            <a:ext uri="{FF2B5EF4-FFF2-40B4-BE49-F238E27FC236}">
              <a16:creationId xmlns:a16="http://schemas.microsoft.com/office/drawing/2014/main" id="{8E9B3C7D-17DA-4A7A-8574-7AA121E6EFA7}"/>
            </a:ext>
          </a:extLst>
        </xdr:cNvPr>
        <xdr:cNvSpPr/>
      </xdr:nvSpPr>
      <xdr:spPr>
        <a:xfrm>
          <a:off x="131669" y="7563971"/>
          <a:ext cx="1210235" cy="295275"/>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GB" sz="1100">
              <a:latin typeface="Times New Roman" panose="02020603050405020304" pitchFamily="18" charset="0"/>
              <a:cs typeface="Times New Roman" panose="02020603050405020304" pitchFamily="18" charset="0"/>
            </a:rPr>
            <a:t>Payment Method</a:t>
          </a:r>
        </a:p>
      </xdr:txBody>
    </xdr:sp>
    <xdr:clientData/>
  </xdr:twoCellAnchor>
  <xdr:twoCellAnchor>
    <xdr:from>
      <xdr:col>11</xdr:col>
      <xdr:colOff>66676</xdr:colOff>
      <xdr:row>4</xdr:row>
      <xdr:rowOff>161925</xdr:rowOff>
    </xdr:from>
    <xdr:to>
      <xdr:col>13</xdr:col>
      <xdr:colOff>485775</xdr:colOff>
      <xdr:row>10</xdr:row>
      <xdr:rowOff>57151</xdr:rowOff>
    </xdr:to>
    <xdr:sp macro="" textlink="">
      <xdr:nvSpPr>
        <xdr:cNvPr id="25" name="Rectangle 24">
          <a:extLst>
            <a:ext uri="{FF2B5EF4-FFF2-40B4-BE49-F238E27FC236}">
              <a16:creationId xmlns:a16="http://schemas.microsoft.com/office/drawing/2014/main" id="{72A6D86A-BEB2-483A-801C-94E43009D8EE}"/>
            </a:ext>
          </a:extLst>
        </xdr:cNvPr>
        <xdr:cNvSpPr/>
      </xdr:nvSpPr>
      <xdr:spPr>
        <a:xfrm>
          <a:off x="6772276" y="923925"/>
          <a:ext cx="1638299" cy="1038226"/>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GB" sz="1600" b="1">
            <a:latin typeface="Times New Roman" panose="02020603050405020304" pitchFamily="18" charset="0"/>
            <a:cs typeface="Times New Roman" panose="02020603050405020304" pitchFamily="18" charset="0"/>
          </a:endParaRPr>
        </a:p>
      </xdr:txBody>
    </xdr:sp>
    <xdr:clientData/>
  </xdr:twoCellAnchor>
  <xdr:twoCellAnchor>
    <xdr:from>
      <xdr:col>8</xdr:col>
      <xdr:colOff>190500</xdr:colOff>
      <xdr:row>4</xdr:row>
      <xdr:rowOff>161925</xdr:rowOff>
    </xdr:from>
    <xdr:to>
      <xdr:col>10</xdr:col>
      <xdr:colOff>590550</xdr:colOff>
      <xdr:row>10</xdr:row>
      <xdr:rowOff>57150</xdr:rowOff>
    </xdr:to>
    <xdr:sp macro="" textlink="">
      <xdr:nvSpPr>
        <xdr:cNvPr id="26" name="Rectangle 25">
          <a:extLst>
            <a:ext uri="{FF2B5EF4-FFF2-40B4-BE49-F238E27FC236}">
              <a16:creationId xmlns:a16="http://schemas.microsoft.com/office/drawing/2014/main" id="{CF98E4FC-AF99-4C34-9BC2-7BCF34F32C09}"/>
            </a:ext>
          </a:extLst>
        </xdr:cNvPr>
        <xdr:cNvSpPr/>
      </xdr:nvSpPr>
      <xdr:spPr>
        <a:xfrm>
          <a:off x="5067300" y="923925"/>
          <a:ext cx="1619250" cy="103822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GB" sz="1600" b="1">
            <a:latin typeface="Times New Roman" panose="02020603050405020304" pitchFamily="18" charset="0"/>
            <a:cs typeface="Times New Roman" panose="02020603050405020304" pitchFamily="18" charset="0"/>
          </a:endParaRPr>
        </a:p>
      </xdr:txBody>
    </xdr:sp>
    <xdr:clientData/>
  </xdr:twoCellAnchor>
  <xdr:twoCellAnchor>
    <xdr:from>
      <xdr:col>13</xdr:col>
      <xdr:colOff>561975</xdr:colOff>
      <xdr:row>4</xdr:row>
      <xdr:rowOff>171451</xdr:rowOff>
    </xdr:from>
    <xdr:to>
      <xdr:col>16</xdr:col>
      <xdr:colOff>266700</xdr:colOff>
      <xdr:row>10</xdr:row>
      <xdr:rowOff>57151</xdr:rowOff>
    </xdr:to>
    <xdr:sp macro="" textlink="">
      <xdr:nvSpPr>
        <xdr:cNvPr id="27" name="Rectangle 26">
          <a:extLst>
            <a:ext uri="{FF2B5EF4-FFF2-40B4-BE49-F238E27FC236}">
              <a16:creationId xmlns:a16="http://schemas.microsoft.com/office/drawing/2014/main" id="{24EA1B92-095A-4BD2-879E-18D683A91617}"/>
            </a:ext>
          </a:extLst>
        </xdr:cNvPr>
        <xdr:cNvSpPr/>
      </xdr:nvSpPr>
      <xdr:spPr>
        <a:xfrm>
          <a:off x="8486775" y="933451"/>
          <a:ext cx="1533525" cy="102870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GB" sz="1600" b="1">
            <a:latin typeface="Times New Roman" panose="02020603050405020304" pitchFamily="18" charset="0"/>
            <a:cs typeface="Times New Roman" panose="02020603050405020304" pitchFamily="18" charset="0"/>
          </a:endParaRPr>
        </a:p>
      </xdr:txBody>
    </xdr:sp>
    <xdr:clientData/>
  </xdr:twoCellAnchor>
  <xdr:twoCellAnchor>
    <xdr:from>
      <xdr:col>16</xdr:col>
      <xdr:colOff>342901</xdr:colOff>
      <xdr:row>4</xdr:row>
      <xdr:rowOff>161926</xdr:rowOff>
    </xdr:from>
    <xdr:to>
      <xdr:col>19</xdr:col>
      <xdr:colOff>133351</xdr:colOff>
      <xdr:row>10</xdr:row>
      <xdr:rowOff>47626</xdr:rowOff>
    </xdr:to>
    <xdr:sp macro="" textlink="">
      <xdr:nvSpPr>
        <xdr:cNvPr id="29" name="Rectangle 28">
          <a:extLst>
            <a:ext uri="{FF2B5EF4-FFF2-40B4-BE49-F238E27FC236}">
              <a16:creationId xmlns:a16="http://schemas.microsoft.com/office/drawing/2014/main" id="{B75CA496-A58A-40EA-9903-A062E9365887}"/>
            </a:ext>
          </a:extLst>
        </xdr:cNvPr>
        <xdr:cNvSpPr/>
      </xdr:nvSpPr>
      <xdr:spPr>
        <a:xfrm>
          <a:off x="10096501" y="923926"/>
          <a:ext cx="1619250" cy="102870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GB" sz="1100">
            <a:latin typeface="Times New Roman" panose="02020603050405020304" pitchFamily="18" charset="0"/>
            <a:cs typeface="Times New Roman" panose="02020603050405020304" pitchFamily="18" charset="0"/>
          </a:endParaRPr>
        </a:p>
        <a:p>
          <a:pPr algn="l"/>
          <a:endParaRPr lang="en-GB" sz="1100"/>
        </a:p>
      </xdr:txBody>
    </xdr:sp>
    <xdr:clientData/>
  </xdr:twoCellAnchor>
  <xdr:twoCellAnchor>
    <xdr:from>
      <xdr:col>19</xdr:col>
      <xdr:colOff>200026</xdr:colOff>
      <xdr:row>4</xdr:row>
      <xdr:rowOff>133351</xdr:rowOff>
    </xdr:from>
    <xdr:to>
      <xdr:col>21</xdr:col>
      <xdr:colOff>571500</xdr:colOff>
      <xdr:row>10</xdr:row>
      <xdr:rowOff>57150</xdr:rowOff>
    </xdr:to>
    <xdr:sp macro="" textlink="">
      <xdr:nvSpPr>
        <xdr:cNvPr id="30" name="Rectangle 29">
          <a:extLst>
            <a:ext uri="{FF2B5EF4-FFF2-40B4-BE49-F238E27FC236}">
              <a16:creationId xmlns:a16="http://schemas.microsoft.com/office/drawing/2014/main" id="{2BFDA0F0-816B-4DDB-BCC6-47E7001B5947}"/>
            </a:ext>
          </a:extLst>
        </xdr:cNvPr>
        <xdr:cNvSpPr/>
      </xdr:nvSpPr>
      <xdr:spPr>
        <a:xfrm>
          <a:off x="11782426" y="895351"/>
          <a:ext cx="1590674" cy="1066799"/>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GB" sz="1100" b="1">
            <a:latin typeface="Times New Roman" panose="02020603050405020304" pitchFamily="18" charset="0"/>
            <a:cs typeface="Times New Roman" panose="02020603050405020304" pitchFamily="18" charset="0"/>
          </a:endParaRPr>
        </a:p>
      </xdr:txBody>
    </xdr:sp>
    <xdr:clientData/>
  </xdr:twoCellAnchor>
  <xdr:oneCellAnchor>
    <xdr:from>
      <xdr:col>14</xdr:col>
      <xdr:colOff>66675</xdr:colOff>
      <xdr:row>5</xdr:row>
      <xdr:rowOff>121452</xdr:rowOff>
    </xdr:from>
    <xdr:ext cx="1295401" cy="316697"/>
    <xdr:sp macro="" textlink="">
      <xdr:nvSpPr>
        <xdr:cNvPr id="34" name="TextBox 33">
          <a:extLst>
            <a:ext uri="{FF2B5EF4-FFF2-40B4-BE49-F238E27FC236}">
              <a16:creationId xmlns:a16="http://schemas.microsoft.com/office/drawing/2014/main" id="{46E24952-917C-E968-3926-357D5132F1C4}"/>
            </a:ext>
          </a:extLst>
        </xdr:cNvPr>
        <xdr:cNvSpPr txBox="1"/>
      </xdr:nvSpPr>
      <xdr:spPr>
        <a:xfrm>
          <a:off x="8601075" y="1073952"/>
          <a:ext cx="1295401" cy="316697"/>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GB" sz="1200" b="1">
              <a:latin typeface="Times New Roman" panose="02020603050405020304" pitchFamily="18" charset="0"/>
              <a:cs typeface="Times New Roman" panose="02020603050405020304" pitchFamily="18" charset="0"/>
            </a:rPr>
            <a:t>On-Time </a:t>
          </a:r>
          <a:r>
            <a:rPr lang="en-GB" sz="1200" b="1" baseline="0">
              <a:latin typeface="Times New Roman" panose="02020603050405020304" pitchFamily="18" charset="0"/>
              <a:cs typeface="Times New Roman" panose="02020603050405020304" pitchFamily="18" charset="0"/>
            </a:rPr>
            <a:t>Rate</a:t>
          </a:r>
          <a:r>
            <a:rPr lang="en-GB" sz="1200" baseline="0">
              <a:latin typeface="Times New Roman" panose="02020603050405020304" pitchFamily="18" charset="0"/>
              <a:cs typeface="Times New Roman" panose="02020603050405020304" pitchFamily="18" charset="0"/>
            </a:rPr>
            <a:t>%</a:t>
          </a:r>
          <a:endParaRPr lang="en-GB" sz="1200">
            <a:latin typeface="Times New Roman" panose="02020603050405020304" pitchFamily="18" charset="0"/>
            <a:cs typeface="Times New Roman" panose="02020603050405020304" pitchFamily="18" charset="0"/>
          </a:endParaRPr>
        </a:p>
      </xdr:txBody>
    </xdr:sp>
    <xdr:clientData/>
  </xdr:oneCellAnchor>
  <xdr:oneCellAnchor>
    <xdr:from>
      <xdr:col>25</xdr:col>
      <xdr:colOff>85725</xdr:colOff>
      <xdr:row>4</xdr:row>
      <xdr:rowOff>0</xdr:rowOff>
    </xdr:from>
    <xdr:ext cx="184731" cy="264560"/>
    <xdr:sp macro="" textlink="">
      <xdr:nvSpPr>
        <xdr:cNvPr id="40" name="TextBox 39">
          <a:extLst>
            <a:ext uri="{FF2B5EF4-FFF2-40B4-BE49-F238E27FC236}">
              <a16:creationId xmlns:a16="http://schemas.microsoft.com/office/drawing/2014/main" id="{20CF9A53-EB7D-E60F-E79B-5A3A68E15AFB}"/>
            </a:ext>
          </a:extLst>
        </xdr:cNvPr>
        <xdr:cNvSpPr txBox="1"/>
      </xdr:nvSpPr>
      <xdr:spPr>
        <a:xfrm>
          <a:off x="15325725"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347383</xdr:colOff>
      <xdr:row>4</xdr:row>
      <xdr:rowOff>171450</xdr:rowOff>
    </xdr:from>
    <xdr:to>
      <xdr:col>5</xdr:col>
      <xdr:colOff>190499</xdr:colOff>
      <xdr:row>10</xdr:row>
      <xdr:rowOff>38100</xdr:rowOff>
    </xdr:to>
    <xdr:sp macro="" textlink="">
      <xdr:nvSpPr>
        <xdr:cNvPr id="41" name="Rectangle 40">
          <a:extLst>
            <a:ext uri="{FF2B5EF4-FFF2-40B4-BE49-F238E27FC236}">
              <a16:creationId xmlns:a16="http://schemas.microsoft.com/office/drawing/2014/main" id="{892B5F74-72D4-807B-18C3-0821A5429221}"/>
            </a:ext>
          </a:extLst>
        </xdr:cNvPr>
        <xdr:cNvSpPr/>
      </xdr:nvSpPr>
      <xdr:spPr>
        <a:xfrm>
          <a:off x="1557618" y="933450"/>
          <a:ext cx="1658469" cy="100965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561976</xdr:colOff>
      <xdr:row>5</xdr:row>
      <xdr:rowOff>95249</xdr:rowOff>
    </xdr:from>
    <xdr:to>
      <xdr:col>4</xdr:col>
      <xdr:colOff>571500</xdr:colOff>
      <xdr:row>7</xdr:row>
      <xdr:rowOff>19050</xdr:rowOff>
    </xdr:to>
    <xdr:sp macro="" textlink="">
      <xdr:nvSpPr>
        <xdr:cNvPr id="42" name="TextBox 41">
          <a:extLst>
            <a:ext uri="{FF2B5EF4-FFF2-40B4-BE49-F238E27FC236}">
              <a16:creationId xmlns:a16="http://schemas.microsoft.com/office/drawing/2014/main" id="{8BC72377-BF09-D6C7-DF64-41E1B4F64053}"/>
            </a:ext>
          </a:extLst>
        </xdr:cNvPr>
        <xdr:cNvSpPr txBox="1"/>
      </xdr:nvSpPr>
      <xdr:spPr>
        <a:xfrm>
          <a:off x="1781176" y="1047749"/>
          <a:ext cx="1228724" cy="304801"/>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r>
            <a:rPr lang="en-GB" sz="1200" b="1">
              <a:solidFill>
                <a:schemeClr val="bg1"/>
              </a:solidFill>
              <a:latin typeface="Times New Roman" panose="02020603050405020304" pitchFamily="18" charset="0"/>
              <a:cs typeface="Times New Roman" panose="02020603050405020304" pitchFamily="18" charset="0"/>
            </a:rPr>
            <a:t>Total Samples</a:t>
          </a:r>
        </a:p>
      </xdr:txBody>
    </xdr:sp>
    <xdr:clientData/>
  </xdr:twoCellAnchor>
  <xdr:twoCellAnchor>
    <xdr:from>
      <xdr:col>3</xdr:col>
      <xdr:colOff>66675</xdr:colOff>
      <xdr:row>7</xdr:row>
      <xdr:rowOff>190499</xdr:rowOff>
    </xdr:from>
    <xdr:to>
      <xdr:col>4</xdr:col>
      <xdr:colOff>476250</xdr:colOff>
      <xdr:row>9</xdr:row>
      <xdr:rowOff>142875</xdr:rowOff>
    </xdr:to>
    <xdr:sp macro="" textlink="Pivot_Table!G26">
      <xdr:nvSpPr>
        <xdr:cNvPr id="43" name="TextBox 42">
          <a:extLst>
            <a:ext uri="{FF2B5EF4-FFF2-40B4-BE49-F238E27FC236}">
              <a16:creationId xmlns:a16="http://schemas.microsoft.com/office/drawing/2014/main" id="{3063CCE4-1203-0C86-0747-5B749686FEF5}"/>
            </a:ext>
          </a:extLst>
        </xdr:cNvPr>
        <xdr:cNvSpPr txBox="1"/>
      </xdr:nvSpPr>
      <xdr:spPr>
        <a:xfrm>
          <a:off x="1895475" y="1523999"/>
          <a:ext cx="1019175" cy="333376"/>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ctr"/>
          <a:fld id="{D67A074E-6EBA-4122-9BF1-08307D72CC77}"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1000</a:t>
          </a:fld>
          <a:endParaRPr 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285750</xdr:colOff>
      <xdr:row>4</xdr:row>
      <xdr:rowOff>171450</xdr:rowOff>
    </xdr:from>
    <xdr:to>
      <xdr:col>8</xdr:col>
      <xdr:colOff>85725</xdr:colOff>
      <xdr:row>10</xdr:row>
      <xdr:rowOff>47625</xdr:rowOff>
    </xdr:to>
    <xdr:sp macro="" textlink="">
      <xdr:nvSpPr>
        <xdr:cNvPr id="4" name="Rectangle 3">
          <a:extLst>
            <a:ext uri="{FF2B5EF4-FFF2-40B4-BE49-F238E27FC236}">
              <a16:creationId xmlns:a16="http://schemas.microsoft.com/office/drawing/2014/main" id="{CB90DA20-9140-074E-772A-40583826D94C}"/>
            </a:ext>
          </a:extLst>
        </xdr:cNvPr>
        <xdr:cNvSpPr/>
      </xdr:nvSpPr>
      <xdr:spPr>
        <a:xfrm>
          <a:off x="3333750" y="933450"/>
          <a:ext cx="1628775" cy="101917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GB" sz="1100"/>
        </a:p>
      </xdr:txBody>
    </xdr:sp>
    <xdr:clientData/>
  </xdr:twoCellAnchor>
  <xdr:oneCellAnchor>
    <xdr:from>
      <xdr:col>5</xdr:col>
      <xdr:colOff>542925</xdr:colOff>
      <xdr:row>5</xdr:row>
      <xdr:rowOff>104775</xdr:rowOff>
    </xdr:from>
    <xdr:ext cx="1152525" cy="314325"/>
    <xdr:sp macro="" textlink="">
      <xdr:nvSpPr>
        <xdr:cNvPr id="18" name="TextBox 17">
          <a:extLst>
            <a:ext uri="{FF2B5EF4-FFF2-40B4-BE49-F238E27FC236}">
              <a16:creationId xmlns:a16="http://schemas.microsoft.com/office/drawing/2014/main" id="{DF4AAC2D-D288-FEFF-2BE5-B81188C38E3A}"/>
            </a:ext>
          </a:extLst>
        </xdr:cNvPr>
        <xdr:cNvSpPr txBox="1"/>
      </xdr:nvSpPr>
      <xdr:spPr>
        <a:xfrm>
          <a:off x="3590925" y="1057275"/>
          <a:ext cx="1152525" cy="31432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GB" sz="1200" b="1">
              <a:solidFill>
                <a:schemeClr val="bg1">
                  <a:lumMod val="95000"/>
                </a:schemeClr>
              </a:solidFill>
              <a:latin typeface="Times New Roman" panose="02020603050405020304" pitchFamily="18" charset="0"/>
              <a:cs typeface="Times New Roman" panose="02020603050405020304" pitchFamily="18" charset="0"/>
            </a:rPr>
            <a:t>Total</a:t>
          </a:r>
          <a:r>
            <a:rPr lang="en-GB" sz="1100" b="1">
              <a:solidFill>
                <a:schemeClr val="bg1">
                  <a:lumMod val="95000"/>
                </a:schemeClr>
              </a:solidFill>
              <a:latin typeface="Times New Roman" panose="02020603050405020304" pitchFamily="18" charset="0"/>
              <a:cs typeface="Times New Roman" panose="02020603050405020304" pitchFamily="18" charset="0"/>
            </a:rPr>
            <a:t> Revenue</a:t>
          </a:r>
        </a:p>
      </xdr:txBody>
    </xdr:sp>
    <xdr:clientData/>
  </xdr:oneCellAnchor>
  <xdr:oneCellAnchor>
    <xdr:from>
      <xdr:col>5</xdr:col>
      <xdr:colOff>590550</xdr:colOff>
      <xdr:row>8</xdr:row>
      <xdr:rowOff>25283</xdr:rowOff>
    </xdr:from>
    <xdr:ext cx="962025" cy="327142"/>
    <xdr:sp macro="" textlink="Pivot_Table!E19">
      <xdr:nvSpPr>
        <xdr:cNvPr id="23" name="TextBox 22">
          <a:extLst>
            <a:ext uri="{FF2B5EF4-FFF2-40B4-BE49-F238E27FC236}">
              <a16:creationId xmlns:a16="http://schemas.microsoft.com/office/drawing/2014/main" id="{A8010007-867C-8C81-2B33-457C8C80E70C}"/>
            </a:ext>
          </a:extLst>
        </xdr:cNvPr>
        <xdr:cNvSpPr txBox="1"/>
      </xdr:nvSpPr>
      <xdr:spPr>
        <a:xfrm>
          <a:off x="3638550" y="1549283"/>
          <a:ext cx="962025" cy="327142"/>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US" sz="1600" b="1" i="0" u="none" strike="noStrike">
              <a:solidFill>
                <a:schemeClr val="bg1">
                  <a:lumMod val="95000"/>
                </a:schemeClr>
              </a:solidFill>
              <a:latin typeface="Times New Roman" panose="02020603050405020304" pitchFamily="18" charset="0"/>
              <a:ea typeface="Calibri"/>
              <a:cs typeface="Times New Roman" panose="02020603050405020304" pitchFamily="18" charset="0"/>
            </a:rPr>
            <a:t>$</a:t>
          </a:r>
          <a:fld id="{44C4909A-54C0-495D-8C3B-2301ECB88C6D}" type="TxLink">
            <a:rPr lang="en-US" sz="1600" b="1" i="0" u="none" strike="noStrike">
              <a:solidFill>
                <a:schemeClr val="bg1">
                  <a:lumMod val="95000"/>
                </a:schemeClr>
              </a:solidFill>
              <a:latin typeface="Times New Roman" panose="02020603050405020304" pitchFamily="18" charset="0"/>
              <a:ea typeface="Calibri"/>
              <a:cs typeface="Times New Roman" panose="02020603050405020304" pitchFamily="18" charset="0"/>
            </a:rPr>
            <a:pPr algn="ctr"/>
            <a:t> 31,090 </a:t>
          </a:fld>
          <a:endParaRPr lang="en-GB" sz="1600" b="1">
            <a:solidFill>
              <a:schemeClr val="bg1">
                <a:lumMod val="95000"/>
              </a:schemeClr>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285750</xdr:colOff>
      <xdr:row>7</xdr:row>
      <xdr:rowOff>19050</xdr:rowOff>
    </xdr:from>
    <xdr:ext cx="184731" cy="264560"/>
    <xdr:sp macro="" textlink="">
      <xdr:nvSpPr>
        <xdr:cNvPr id="32" name="TextBox 31">
          <a:extLst>
            <a:ext uri="{FF2B5EF4-FFF2-40B4-BE49-F238E27FC236}">
              <a16:creationId xmlns:a16="http://schemas.microsoft.com/office/drawing/2014/main" id="{194DCE14-E9AE-6E16-1162-8B976A4C41FC}"/>
            </a:ext>
          </a:extLst>
        </xdr:cNvPr>
        <xdr:cNvSpPr txBox="1"/>
      </xdr:nvSpPr>
      <xdr:spPr>
        <a:xfrm>
          <a:off x="10039350" y="1352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11</xdr:col>
      <xdr:colOff>200025</xdr:colOff>
      <xdr:row>5</xdr:row>
      <xdr:rowOff>104775</xdr:rowOff>
    </xdr:from>
    <xdr:ext cx="1381125" cy="304800"/>
    <xdr:sp macro="" textlink="">
      <xdr:nvSpPr>
        <xdr:cNvPr id="33" name="TextBox 32">
          <a:extLst>
            <a:ext uri="{FF2B5EF4-FFF2-40B4-BE49-F238E27FC236}">
              <a16:creationId xmlns:a16="http://schemas.microsoft.com/office/drawing/2014/main" id="{6E9E4C22-21D8-E33F-64C7-E0A9EF25EC84}"/>
            </a:ext>
          </a:extLst>
        </xdr:cNvPr>
        <xdr:cNvSpPr txBox="1"/>
      </xdr:nvSpPr>
      <xdr:spPr>
        <a:xfrm>
          <a:off x="6905625" y="1057275"/>
          <a:ext cx="1381125" cy="30480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GB" sz="1200" b="1">
              <a:solidFill>
                <a:schemeClr val="bg1"/>
              </a:solidFill>
              <a:latin typeface="Times New Roman" panose="02020603050405020304" pitchFamily="18" charset="0"/>
              <a:cs typeface="Times New Roman" panose="02020603050405020304" pitchFamily="18" charset="0"/>
            </a:rPr>
            <a:t>Delayed</a:t>
          </a:r>
          <a:r>
            <a:rPr lang="en-GB" sz="1200" b="1" baseline="0">
              <a:solidFill>
                <a:schemeClr val="bg1"/>
              </a:solidFill>
              <a:latin typeface="Times New Roman" panose="02020603050405020304" pitchFamily="18" charset="0"/>
              <a:cs typeface="Times New Roman" panose="02020603050405020304" pitchFamily="18" charset="0"/>
            </a:rPr>
            <a:t> Samples</a:t>
          </a:r>
        </a:p>
        <a:p>
          <a:pPr algn="ctr"/>
          <a:endParaRPr lang="en-GB" sz="1100"/>
        </a:p>
      </xdr:txBody>
    </xdr:sp>
    <xdr:clientData/>
  </xdr:oneCellAnchor>
  <xdr:oneCellAnchor>
    <xdr:from>
      <xdr:col>11</xdr:col>
      <xdr:colOff>400050</xdr:colOff>
      <xdr:row>8</xdr:row>
      <xdr:rowOff>19050</xdr:rowOff>
    </xdr:from>
    <xdr:ext cx="942975" cy="314326"/>
    <xdr:sp macro="" textlink="Pivot_Table!D37">
      <xdr:nvSpPr>
        <xdr:cNvPr id="35" name="TextBox 34">
          <a:extLst>
            <a:ext uri="{FF2B5EF4-FFF2-40B4-BE49-F238E27FC236}">
              <a16:creationId xmlns:a16="http://schemas.microsoft.com/office/drawing/2014/main" id="{40914944-8C03-5E6D-4D9F-93CC22088E08}"/>
            </a:ext>
          </a:extLst>
        </xdr:cNvPr>
        <xdr:cNvSpPr txBox="1"/>
      </xdr:nvSpPr>
      <xdr:spPr>
        <a:xfrm>
          <a:off x="7105650" y="1543050"/>
          <a:ext cx="942975" cy="314326"/>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fld id="{E5D70C52-7E0E-4788-9C2E-F1B0A784209E}"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809</a:t>
          </a:fld>
          <a:endParaRPr lang="en-US" sz="16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oneCellAnchor>
  <xdr:oneCellAnchor>
    <xdr:from>
      <xdr:col>14</xdr:col>
      <xdr:colOff>238125</xdr:colOff>
      <xdr:row>7</xdr:row>
      <xdr:rowOff>190499</xdr:rowOff>
    </xdr:from>
    <xdr:ext cx="933449" cy="333375"/>
    <xdr:sp macro="" textlink="Pivot_Table!L18">
      <xdr:nvSpPr>
        <xdr:cNvPr id="36" name="TextBox 35">
          <a:extLst>
            <a:ext uri="{FF2B5EF4-FFF2-40B4-BE49-F238E27FC236}">
              <a16:creationId xmlns:a16="http://schemas.microsoft.com/office/drawing/2014/main" id="{6D471F93-BCE6-E0EE-D883-97A3384F2C05}"/>
            </a:ext>
          </a:extLst>
        </xdr:cNvPr>
        <xdr:cNvSpPr txBox="1"/>
      </xdr:nvSpPr>
      <xdr:spPr>
        <a:xfrm>
          <a:off x="8772525" y="1523999"/>
          <a:ext cx="933449" cy="33337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fld id="{4A16D83D-B180-408B-B4C0-44F98C599D23}"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19.1</a:t>
          </a:fld>
          <a:r>
            <a:rPr lang="en-US" sz="1600" b="1" i="0" u="none" strike="noStrike">
              <a:solidFill>
                <a:schemeClr val="bg1"/>
              </a:solidFill>
              <a:latin typeface="Times New Roman" panose="02020603050405020304" pitchFamily="18" charset="0"/>
              <a:ea typeface="Calibri"/>
              <a:cs typeface="Times New Roman" panose="02020603050405020304" pitchFamily="18" charset="0"/>
            </a:rPr>
            <a:t>%</a:t>
          </a:r>
          <a:endParaRPr lang="en-GB" sz="16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16</xdr:col>
      <xdr:colOff>438151</xdr:colOff>
      <xdr:row>5</xdr:row>
      <xdr:rowOff>133350</xdr:rowOff>
    </xdr:from>
    <xdr:ext cx="1371600" cy="295275"/>
    <xdr:sp macro="" textlink="">
      <xdr:nvSpPr>
        <xdr:cNvPr id="37" name="TextBox 36">
          <a:extLst>
            <a:ext uri="{FF2B5EF4-FFF2-40B4-BE49-F238E27FC236}">
              <a16:creationId xmlns:a16="http://schemas.microsoft.com/office/drawing/2014/main" id="{24773829-B781-C041-B550-341BDB0720E3}"/>
            </a:ext>
          </a:extLst>
        </xdr:cNvPr>
        <xdr:cNvSpPr txBox="1"/>
      </xdr:nvSpPr>
      <xdr:spPr>
        <a:xfrm>
          <a:off x="10191751" y="1085850"/>
          <a:ext cx="1371600" cy="29527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GB" sz="1200" b="1">
              <a:latin typeface="Times New Roman" panose="02020603050405020304" pitchFamily="18" charset="0"/>
              <a:cs typeface="Times New Roman" panose="02020603050405020304" pitchFamily="18" charset="0"/>
            </a:rPr>
            <a:t>Rejection Rate%</a:t>
          </a:r>
        </a:p>
        <a:p>
          <a:endParaRPr lang="en-GB" sz="1200" b="1">
            <a:latin typeface="Times New Roman" panose="02020603050405020304" pitchFamily="18" charset="0"/>
            <a:cs typeface="Times New Roman" panose="02020603050405020304" pitchFamily="18" charset="0"/>
          </a:endParaRPr>
        </a:p>
      </xdr:txBody>
    </xdr:sp>
    <xdr:clientData/>
  </xdr:oneCellAnchor>
  <xdr:oneCellAnchor>
    <xdr:from>
      <xdr:col>17</xdr:col>
      <xdr:colOff>38100</xdr:colOff>
      <xdr:row>7</xdr:row>
      <xdr:rowOff>187208</xdr:rowOff>
    </xdr:from>
    <xdr:ext cx="914400" cy="328295"/>
    <xdr:sp macro="" textlink="Pivot_Table!B29">
      <xdr:nvSpPr>
        <xdr:cNvPr id="38" name="TextBox 37">
          <a:extLst>
            <a:ext uri="{FF2B5EF4-FFF2-40B4-BE49-F238E27FC236}">
              <a16:creationId xmlns:a16="http://schemas.microsoft.com/office/drawing/2014/main" id="{9D43AE85-BA20-AE06-E609-B207EC60F106}"/>
            </a:ext>
          </a:extLst>
        </xdr:cNvPr>
        <xdr:cNvSpPr txBox="1"/>
      </xdr:nvSpPr>
      <xdr:spPr>
        <a:xfrm>
          <a:off x="10401300" y="1520708"/>
          <a:ext cx="914400" cy="32829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spAutoFit/>
        </a:bodyPr>
        <a:lstStyle/>
        <a:p>
          <a:pPr algn="ctr"/>
          <a:fld id="{6CD83B34-8474-4B0F-80FB-B87093547EC5}"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7.1</a:t>
          </a:fld>
          <a:r>
            <a:rPr lang="en-US" sz="1600" b="1" i="0" u="none" strike="noStrike">
              <a:solidFill>
                <a:schemeClr val="bg1"/>
              </a:solidFill>
              <a:latin typeface="Times New Roman" panose="02020603050405020304" pitchFamily="18" charset="0"/>
              <a:ea typeface="Calibri"/>
              <a:cs typeface="Times New Roman" panose="02020603050405020304" pitchFamily="18" charset="0"/>
            </a:rPr>
            <a:t>%</a:t>
          </a:r>
          <a:endParaRPr lang="en-GB" sz="1600" b="1">
            <a:solidFill>
              <a:schemeClr val="bg1"/>
            </a:solidFill>
            <a:latin typeface="Times New Roman" panose="02020603050405020304" pitchFamily="18" charset="0"/>
            <a:cs typeface="Times New Roman" panose="02020603050405020304" pitchFamily="18" charset="0"/>
          </a:endParaRPr>
        </a:p>
      </xdr:txBody>
    </xdr:sp>
    <xdr:clientData/>
  </xdr:oneCellAnchor>
  <xdr:oneCellAnchor>
    <xdr:from>
      <xdr:col>8</xdr:col>
      <xdr:colOff>352425</xdr:colOff>
      <xdr:row>5</xdr:row>
      <xdr:rowOff>104774</xdr:rowOff>
    </xdr:from>
    <xdr:ext cx="1228725" cy="314325"/>
    <xdr:sp macro="" textlink="">
      <xdr:nvSpPr>
        <xdr:cNvPr id="39" name="TextBox 38">
          <a:extLst>
            <a:ext uri="{FF2B5EF4-FFF2-40B4-BE49-F238E27FC236}">
              <a16:creationId xmlns:a16="http://schemas.microsoft.com/office/drawing/2014/main" id="{9B64C9B2-D63B-630D-188B-25471FC926EE}"/>
            </a:ext>
          </a:extLst>
        </xdr:cNvPr>
        <xdr:cNvSpPr txBox="1"/>
      </xdr:nvSpPr>
      <xdr:spPr>
        <a:xfrm>
          <a:off x="5229225" y="1057274"/>
          <a:ext cx="1228725" cy="31432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GB" sz="1200" b="1">
              <a:latin typeface="Times New Roman" panose="02020603050405020304" pitchFamily="18" charset="0"/>
              <a:cs typeface="Times New Roman" panose="02020603050405020304" pitchFamily="18" charset="0"/>
            </a:rPr>
            <a:t>Average</a:t>
          </a:r>
          <a:r>
            <a:rPr lang="en-GB" sz="1200" b="1" baseline="0">
              <a:latin typeface="Times New Roman" panose="02020603050405020304" pitchFamily="18" charset="0"/>
              <a:cs typeface="Times New Roman" panose="02020603050405020304" pitchFamily="18" charset="0"/>
            </a:rPr>
            <a:t> TAT</a:t>
          </a:r>
          <a:endParaRPr lang="en-GB" sz="1200" b="1">
            <a:latin typeface="Times New Roman" panose="02020603050405020304" pitchFamily="18" charset="0"/>
            <a:cs typeface="Times New Roman" panose="02020603050405020304" pitchFamily="18" charset="0"/>
          </a:endParaRPr>
        </a:p>
      </xdr:txBody>
    </xdr:sp>
    <xdr:clientData/>
  </xdr:oneCellAnchor>
  <xdr:oneCellAnchor>
    <xdr:from>
      <xdr:col>8</xdr:col>
      <xdr:colOff>485775</xdr:colOff>
      <xdr:row>8</xdr:row>
      <xdr:rowOff>6233</xdr:rowOff>
    </xdr:from>
    <xdr:ext cx="952500" cy="328295"/>
    <xdr:sp macro="" textlink="">
      <xdr:nvSpPr>
        <xdr:cNvPr id="44" name="TextBox 43">
          <a:extLst>
            <a:ext uri="{FF2B5EF4-FFF2-40B4-BE49-F238E27FC236}">
              <a16:creationId xmlns:a16="http://schemas.microsoft.com/office/drawing/2014/main" id="{381DB9A4-983A-4F17-8C2D-D584A664F050}"/>
            </a:ext>
          </a:extLst>
        </xdr:cNvPr>
        <xdr:cNvSpPr txBox="1"/>
      </xdr:nvSpPr>
      <xdr:spPr>
        <a:xfrm>
          <a:off x="5362575" y="1530233"/>
          <a:ext cx="952500" cy="32829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spAutoFit/>
        </a:bodyPr>
        <a:lstStyle/>
        <a:p>
          <a:pPr algn="ctr"/>
          <a:r>
            <a:rPr lang="en-GB" sz="1600" b="1">
              <a:latin typeface="Times New Roman" panose="02020603050405020304" pitchFamily="18" charset="0"/>
              <a:cs typeface="Times New Roman" panose="02020603050405020304" pitchFamily="18" charset="0"/>
            </a:rPr>
            <a:t>12.5 hrs</a:t>
          </a:r>
        </a:p>
      </xdr:txBody>
    </xdr:sp>
    <xdr:clientData/>
  </xdr:oneCellAnchor>
  <xdr:oneCellAnchor>
    <xdr:from>
      <xdr:col>19</xdr:col>
      <xdr:colOff>266700</xdr:colOff>
      <xdr:row>5</xdr:row>
      <xdr:rowOff>38101</xdr:rowOff>
    </xdr:from>
    <xdr:ext cx="1438275" cy="447674"/>
    <xdr:sp macro="" textlink="">
      <xdr:nvSpPr>
        <xdr:cNvPr id="45" name="TextBox 44">
          <a:extLst>
            <a:ext uri="{FF2B5EF4-FFF2-40B4-BE49-F238E27FC236}">
              <a16:creationId xmlns:a16="http://schemas.microsoft.com/office/drawing/2014/main" id="{EC55465F-A52E-801B-6B4A-3BFEC895697A}"/>
            </a:ext>
          </a:extLst>
        </xdr:cNvPr>
        <xdr:cNvSpPr txBox="1"/>
      </xdr:nvSpPr>
      <xdr:spPr>
        <a:xfrm>
          <a:off x="11849100" y="990601"/>
          <a:ext cx="1438275" cy="447674"/>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GB" sz="1200" b="1">
              <a:latin typeface="Times New Roman" panose="02020603050405020304" pitchFamily="18" charset="0"/>
              <a:cs typeface="Times New Roman" panose="02020603050405020304" pitchFamily="18" charset="0"/>
            </a:rPr>
            <a:t>Average Satisfaction Rating</a:t>
          </a:r>
        </a:p>
      </xdr:txBody>
    </xdr:sp>
    <xdr:clientData/>
  </xdr:oneCellAnchor>
  <xdr:oneCellAnchor>
    <xdr:from>
      <xdr:col>19</xdr:col>
      <xdr:colOff>485775</xdr:colOff>
      <xdr:row>8</xdr:row>
      <xdr:rowOff>25283</xdr:rowOff>
    </xdr:from>
    <xdr:ext cx="742950" cy="328295"/>
    <xdr:sp macro="" textlink="Pivot_Table!B39">
      <xdr:nvSpPr>
        <xdr:cNvPr id="46" name="TextBox 45">
          <a:extLst>
            <a:ext uri="{FF2B5EF4-FFF2-40B4-BE49-F238E27FC236}">
              <a16:creationId xmlns:a16="http://schemas.microsoft.com/office/drawing/2014/main" id="{CB4D7770-3685-1211-13A3-FAF07BB09FAD}"/>
            </a:ext>
          </a:extLst>
        </xdr:cNvPr>
        <xdr:cNvSpPr txBox="1"/>
      </xdr:nvSpPr>
      <xdr:spPr>
        <a:xfrm>
          <a:off x="12068175" y="1549283"/>
          <a:ext cx="742950" cy="328295"/>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spAutoFit/>
        </a:bodyPr>
        <a:lstStyle/>
        <a:p>
          <a:pPr algn="ctr"/>
          <a:fld id="{DBF26B5A-0EB4-482B-8F20-A189A7479B7D}"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2.9</a:t>
          </a:fld>
          <a:r>
            <a:rPr lang="en-US" sz="1600" b="1" i="0" u="none" strike="noStrike" baseline="0">
              <a:solidFill>
                <a:schemeClr val="bg1"/>
              </a:solidFill>
              <a:latin typeface="Times New Roman" panose="02020603050405020304" pitchFamily="18" charset="0"/>
              <a:ea typeface="Calibri"/>
              <a:cs typeface="Times New Roman" panose="02020603050405020304" pitchFamily="18" charset="0"/>
            </a:rPr>
            <a:t> / 5</a:t>
          </a:r>
          <a:endParaRPr lang="en-GB" sz="16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2</xdr:col>
      <xdr:colOff>342900</xdr:colOff>
      <xdr:row>0</xdr:row>
      <xdr:rowOff>95250</xdr:rowOff>
    </xdr:from>
    <xdr:to>
      <xdr:col>21</xdr:col>
      <xdr:colOff>581025</xdr:colOff>
      <xdr:row>4</xdr:row>
      <xdr:rowOff>47625</xdr:rowOff>
    </xdr:to>
    <xdr:sp macro="" textlink="">
      <xdr:nvSpPr>
        <xdr:cNvPr id="47" name="Rectangle: Rounded Corners 46">
          <a:extLst>
            <a:ext uri="{FF2B5EF4-FFF2-40B4-BE49-F238E27FC236}">
              <a16:creationId xmlns:a16="http://schemas.microsoft.com/office/drawing/2014/main" id="{2A4334F2-D3E1-1C0D-4225-D2E85042BDD3}"/>
            </a:ext>
          </a:extLst>
        </xdr:cNvPr>
        <xdr:cNvSpPr/>
      </xdr:nvSpPr>
      <xdr:spPr>
        <a:xfrm>
          <a:off x="1562100" y="95250"/>
          <a:ext cx="11820525" cy="714375"/>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b="1">
              <a:solidFill>
                <a:schemeClr val="bg1"/>
              </a:solidFill>
              <a:latin typeface="Times New Roman" panose="02020603050405020304" pitchFamily="18" charset="0"/>
              <a:cs typeface="Times New Roman" panose="02020603050405020304" pitchFamily="18" charset="0"/>
            </a:rPr>
            <a:t>LABORATORY</a:t>
          </a:r>
          <a:r>
            <a:rPr lang="en-GB" sz="3200" b="1" baseline="0">
              <a:solidFill>
                <a:schemeClr val="bg1"/>
              </a:solidFill>
              <a:latin typeface="Times New Roman" panose="02020603050405020304" pitchFamily="18" charset="0"/>
              <a:cs typeface="Times New Roman" panose="02020603050405020304" pitchFamily="18" charset="0"/>
            </a:rPr>
            <a:t> PERFORMANCE DASHBOARD</a:t>
          </a:r>
          <a:endParaRPr lang="en-GB" sz="3200" b="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5.07183E-7</cdr:y>
    </cdr:from>
    <cdr:to>
      <cdr:x>1</cdr:x>
      <cdr:y>0.14493</cdr:y>
    </cdr:to>
    <cdr:sp macro="" textlink="">
      <cdr:nvSpPr>
        <cdr:cNvPr id="2" name="TextBox 1">
          <a:extLst xmlns:a="http://schemas.openxmlformats.org/drawingml/2006/main">
            <a:ext uri="{FF2B5EF4-FFF2-40B4-BE49-F238E27FC236}">
              <a16:creationId xmlns:a16="http://schemas.microsoft.com/office/drawing/2014/main" id="{272CF465-CF0A-1AFF-67A5-AA063D0B5A32}"/>
            </a:ext>
          </a:extLst>
        </cdr:cNvPr>
        <cdr:cNvSpPr txBox="1"/>
      </cdr:nvSpPr>
      <cdr:spPr>
        <a:xfrm xmlns:a="http://schemas.openxmlformats.org/drawingml/2006/main">
          <a:off x="0" y="1"/>
          <a:ext cx="3324225"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cdr:x>
      <cdr:y>0.01277</cdr:y>
    </cdr:from>
    <cdr:to>
      <cdr:x>1</cdr:x>
      <cdr:y>0.12716</cdr:y>
    </cdr:to>
    <cdr:sp macro="" textlink="">
      <cdr:nvSpPr>
        <cdr:cNvPr id="3" name="TextBox 2">
          <a:extLst xmlns:a="http://schemas.openxmlformats.org/drawingml/2006/main">
            <a:ext uri="{FF2B5EF4-FFF2-40B4-BE49-F238E27FC236}">
              <a16:creationId xmlns:a16="http://schemas.microsoft.com/office/drawing/2014/main" id="{614D4E00-DF9D-93EE-18EC-D44E11C96BDF}"/>
            </a:ext>
          </a:extLst>
        </cdr:cNvPr>
        <cdr:cNvSpPr txBox="1"/>
      </cdr:nvSpPr>
      <cdr:spPr>
        <a:xfrm xmlns:a="http://schemas.openxmlformats.org/drawingml/2006/main">
          <a:off x="0" y="28576"/>
          <a:ext cx="3933824" cy="256047"/>
        </a:xfrm>
        <a:prstGeom xmlns:a="http://schemas.openxmlformats.org/drawingml/2006/main" prst="rect">
          <a:avLst/>
        </a:prstGeom>
        <a:solidFill xmlns:a="http://schemas.openxmlformats.org/drawingml/2006/main">
          <a:schemeClr val="accent5">
            <a:lumMod val="50000"/>
          </a:schemeClr>
        </a:solidFill>
      </cdr:spPr>
      <cdr:txBody>
        <a:bodyPr xmlns:a="http://schemas.openxmlformats.org/drawingml/2006/main" vertOverflow="clip" wrap="none" rtlCol="0"/>
        <a:lstStyle xmlns:a="http://schemas.openxmlformats.org/drawingml/2006/main"/>
        <a:p xmlns:a="http://schemas.openxmlformats.org/drawingml/2006/main">
          <a:pPr algn="ctr"/>
          <a:r>
            <a:rPr lang="en-GB" sz="1100" b="1">
              <a:solidFill>
                <a:schemeClr val="bg1"/>
              </a:solidFill>
              <a:effectLst/>
              <a:latin typeface="Times New Roman" panose="02020603050405020304" pitchFamily="18" charset="0"/>
              <a:ea typeface="+mn-ea"/>
              <a:cs typeface="Times New Roman" panose="02020603050405020304" pitchFamily="18" charset="0"/>
            </a:rPr>
            <a:t>Sample</a:t>
          </a:r>
          <a:r>
            <a:rPr lang="en-GB" sz="1100" b="1" baseline="0">
              <a:solidFill>
                <a:schemeClr val="bg1"/>
              </a:solidFill>
              <a:effectLst/>
              <a:latin typeface="Times New Roman" panose="02020603050405020304" pitchFamily="18" charset="0"/>
              <a:ea typeface="+mn-ea"/>
              <a:cs typeface="Times New Roman" panose="02020603050405020304" pitchFamily="18" charset="0"/>
            </a:rPr>
            <a:t> By Department</a:t>
          </a:r>
          <a:endParaRPr lang="en-GB" sz="1100" b="1" kern="120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0.00287</cdr:x>
      <cdr:y>0.00803</cdr:y>
    </cdr:from>
    <cdr:to>
      <cdr:x>1</cdr:x>
      <cdr:y>0.12423</cdr:y>
    </cdr:to>
    <cdr:sp macro="" textlink="">
      <cdr:nvSpPr>
        <cdr:cNvPr id="2" name="TextBox 1">
          <a:extLst xmlns:a="http://schemas.openxmlformats.org/drawingml/2006/main">
            <a:ext uri="{FF2B5EF4-FFF2-40B4-BE49-F238E27FC236}">
              <a16:creationId xmlns:a16="http://schemas.microsoft.com/office/drawing/2014/main" id="{9CD8B2CD-DC45-4E10-6D61-879926C354C8}"/>
            </a:ext>
          </a:extLst>
        </cdr:cNvPr>
        <cdr:cNvSpPr txBox="1"/>
      </cdr:nvSpPr>
      <cdr:spPr>
        <a:xfrm xmlns:a="http://schemas.openxmlformats.org/drawingml/2006/main">
          <a:off x="10553" y="19050"/>
          <a:ext cx="3666097" cy="275594"/>
        </a:xfrm>
        <a:prstGeom xmlns:a="http://schemas.openxmlformats.org/drawingml/2006/main" prst="rect">
          <a:avLst/>
        </a:prstGeom>
        <a:solidFill xmlns:a="http://schemas.openxmlformats.org/drawingml/2006/main">
          <a:schemeClr val="accent5">
            <a:lumMod val="50000"/>
          </a:schemeClr>
        </a:solidFill>
      </cdr:spPr>
      <cdr:txBody>
        <a:bodyPr xmlns:a="http://schemas.openxmlformats.org/drawingml/2006/main" vertOverflow="clip" wrap="none" rtlCol="0"/>
        <a:lstStyle xmlns:a="http://schemas.openxmlformats.org/drawingml/2006/main"/>
        <a:p xmlns:a="http://schemas.openxmlformats.org/drawingml/2006/main">
          <a:pPr algn="ctr"/>
          <a:r>
            <a:rPr lang="en-GB" sz="1200" b="1" kern="1200">
              <a:solidFill>
                <a:schemeClr val="bg1"/>
              </a:solidFill>
              <a:latin typeface="Times New Roman" panose="02020603050405020304" pitchFamily="18" charset="0"/>
              <a:cs typeface="Times New Roman" panose="02020603050405020304" pitchFamily="18" charset="0"/>
            </a:rPr>
            <a:t>Sample By Test Type</a:t>
          </a:r>
        </a:p>
      </cdr:txBody>
    </cdr:sp>
  </cdr:relSizeAnchor>
</c:userShapes>
</file>

<file path=xl/drawings/drawing4.xml><?xml version="1.0" encoding="utf-8"?>
<c:userShapes xmlns:c="http://schemas.openxmlformats.org/drawingml/2006/chart">
  <cdr:relSizeAnchor xmlns:cdr="http://schemas.openxmlformats.org/drawingml/2006/chartDrawing">
    <cdr:from>
      <cdr:x>0.36479</cdr:x>
      <cdr:y>0.33448</cdr:y>
    </cdr:from>
    <cdr:to>
      <cdr:x>0.63521</cdr:x>
      <cdr:y>0.66552</cdr:y>
    </cdr:to>
    <cdr:sp macro="" textlink="">
      <cdr:nvSpPr>
        <cdr:cNvPr id="2" name="TextBox 1">
          <a:extLst xmlns:a="http://schemas.openxmlformats.org/drawingml/2006/main">
            <a:ext uri="{FF2B5EF4-FFF2-40B4-BE49-F238E27FC236}">
              <a16:creationId xmlns:a16="http://schemas.microsoft.com/office/drawing/2014/main" id="{6D8B1B08-B987-AAF9-A49A-F8B2EFF60642}"/>
            </a:ext>
          </a:extLst>
        </cdr:cNvPr>
        <cdr:cNvSpPr txBox="1"/>
      </cdr:nvSpPr>
      <cdr:spPr>
        <a:xfrm xmlns:a="http://schemas.openxmlformats.org/drawingml/2006/main">
          <a:off x="1233487" y="92392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0.51831</cdr:x>
      <cdr:y>0.07931</cdr:y>
    </cdr:from>
    <cdr:to>
      <cdr:x>0.78873</cdr:x>
      <cdr:y>0.41035</cdr:y>
    </cdr:to>
    <cdr:sp macro="" textlink="">
      <cdr:nvSpPr>
        <cdr:cNvPr id="3" name="TextBox 2">
          <a:extLst xmlns:a="http://schemas.openxmlformats.org/drawingml/2006/main">
            <a:ext uri="{FF2B5EF4-FFF2-40B4-BE49-F238E27FC236}">
              <a16:creationId xmlns:a16="http://schemas.microsoft.com/office/drawing/2014/main" id="{BD92CDAE-CB34-545A-59F0-2A6C4CCA6F05}"/>
            </a:ext>
          </a:extLst>
        </cdr:cNvPr>
        <cdr:cNvSpPr txBox="1"/>
      </cdr:nvSpPr>
      <cdr:spPr>
        <a:xfrm xmlns:a="http://schemas.openxmlformats.org/drawingml/2006/main">
          <a:off x="1752600" y="219077"/>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2.99108E-7</cdr:x>
      <cdr:y>0.01266</cdr:y>
    </cdr:from>
    <cdr:to>
      <cdr:x>1</cdr:x>
      <cdr:y>0.10971</cdr:y>
    </cdr:to>
    <cdr:sp macro="" textlink="">
      <cdr:nvSpPr>
        <cdr:cNvPr id="4" name="TextBox 3">
          <a:extLst xmlns:a="http://schemas.openxmlformats.org/drawingml/2006/main">
            <a:ext uri="{FF2B5EF4-FFF2-40B4-BE49-F238E27FC236}">
              <a16:creationId xmlns:a16="http://schemas.microsoft.com/office/drawing/2014/main" id="{B5C3B9E2-1BFE-28B2-39CE-DA9DEF2B54EA}"/>
            </a:ext>
          </a:extLst>
        </cdr:cNvPr>
        <cdr:cNvSpPr txBox="1"/>
      </cdr:nvSpPr>
      <cdr:spPr>
        <a:xfrm xmlns:a="http://schemas.openxmlformats.org/drawingml/2006/main">
          <a:off x="1" y="28576"/>
          <a:ext cx="3343274"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cdr:x>
      <cdr:y>0.01681</cdr:y>
    </cdr:from>
    <cdr:to>
      <cdr:x>1</cdr:x>
      <cdr:y>0.10084</cdr:y>
    </cdr:to>
    <cdr:sp macro="" textlink="">
      <cdr:nvSpPr>
        <cdr:cNvPr id="5" name="TextBox 4">
          <a:extLst xmlns:a="http://schemas.openxmlformats.org/drawingml/2006/main">
            <a:ext uri="{FF2B5EF4-FFF2-40B4-BE49-F238E27FC236}">
              <a16:creationId xmlns:a16="http://schemas.microsoft.com/office/drawing/2014/main" id="{DAC816FC-0B01-8F42-63E5-1F1CB6DDBD85}"/>
            </a:ext>
          </a:extLst>
        </cdr:cNvPr>
        <cdr:cNvSpPr txBox="1"/>
      </cdr:nvSpPr>
      <cdr:spPr>
        <a:xfrm xmlns:a="http://schemas.openxmlformats.org/drawingml/2006/main">
          <a:off x="0" y="38100"/>
          <a:ext cx="3343275"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cdr:x>
      <cdr:y>0</cdr:y>
    </cdr:from>
    <cdr:to>
      <cdr:x>1</cdr:x>
      <cdr:y>0.13025</cdr:y>
    </cdr:to>
    <cdr:sp macro="" textlink="">
      <cdr:nvSpPr>
        <cdr:cNvPr id="6" name="TextBox 5">
          <a:extLst xmlns:a="http://schemas.openxmlformats.org/drawingml/2006/main">
            <a:ext uri="{FF2B5EF4-FFF2-40B4-BE49-F238E27FC236}">
              <a16:creationId xmlns:a16="http://schemas.microsoft.com/office/drawing/2014/main" id="{FFC3931A-5455-3253-4654-BE9EBA9787E3}"/>
            </a:ext>
          </a:extLst>
        </cdr:cNvPr>
        <cdr:cNvSpPr txBox="1"/>
      </cdr:nvSpPr>
      <cdr:spPr>
        <a:xfrm xmlns:a="http://schemas.openxmlformats.org/drawingml/2006/main">
          <a:off x="0" y="0"/>
          <a:ext cx="3343275" cy="2952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cdr:x>
      <cdr:y>0.0084</cdr:y>
    </cdr:from>
    <cdr:to>
      <cdr:x>1</cdr:x>
      <cdr:y>0.11268</cdr:y>
    </cdr:to>
    <cdr:sp macro="" textlink="">
      <cdr:nvSpPr>
        <cdr:cNvPr id="7" name="TextBox 6">
          <a:extLst xmlns:a="http://schemas.openxmlformats.org/drawingml/2006/main">
            <a:ext uri="{FF2B5EF4-FFF2-40B4-BE49-F238E27FC236}">
              <a16:creationId xmlns:a16="http://schemas.microsoft.com/office/drawing/2014/main" id="{F7FF7C16-559C-3CB5-CE21-EDF38D58388F}"/>
            </a:ext>
          </a:extLst>
        </cdr:cNvPr>
        <cdr:cNvSpPr txBox="1"/>
      </cdr:nvSpPr>
      <cdr:spPr>
        <a:xfrm xmlns:a="http://schemas.openxmlformats.org/drawingml/2006/main">
          <a:off x="0" y="22723"/>
          <a:ext cx="4714876" cy="282077"/>
        </a:xfrm>
        <a:prstGeom xmlns:a="http://schemas.openxmlformats.org/drawingml/2006/main" prst="rect">
          <a:avLst/>
        </a:prstGeom>
        <a:solidFill xmlns:a="http://schemas.openxmlformats.org/drawingml/2006/main">
          <a:schemeClr val="accent5">
            <a:lumMod val="50000"/>
          </a:schemeClr>
        </a:solidFill>
      </cdr:spPr>
      <cdr:txBody>
        <a:bodyPr xmlns:a="http://schemas.openxmlformats.org/drawingml/2006/main" vertOverflow="clip" wrap="none" rtlCol="0"/>
        <a:lstStyle xmlns:a="http://schemas.openxmlformats.org/drawingml/2006/main"/>
        <a:p xmlns:a="http://schemas.openxmlformats.org/drawingml/2006/main">
          <a:pPr algn="ctr"/>
          <a:r>
            <a:rPr lang="en-GB" sz="1100" b="1" kern="1200">
              <a:solidFill>
                <a:schemeClr val="bg1"/>
              </a:solidFill>
              <a:latin typeface="Times New Roman" panose="02020603050405020304" pitchFamily="18" charset="0"/>
              <a:cs typeface="Times New Roman" panose="02020603050405020304" pitchFamily="18" charset="0"/>
            </a:rPr>
            <a:t>Revenue</a:t>
          </a:r>
          <a:r>
            <a:rPr lang="en-GB" sz="1100" b="1" kern="1200" baseline="0">
              <a:solidFill>
                <a:schemeClr val="bg1"/>
              </a:solidFill>
              <a:latin typeface="Times New Roman" panose="02020603050405020304" pitchFamily="18" charset="0"/>
              <a:cs typeface="Times New Roman" panose="02020603050405020304" pitchFamily="18" charset="0"/>
            </a:rPr>
            <a:t> By Test Type</a:t>
          </a:r>
          <a:endParaRPr lang="en-GB" sz="1100" b="1" kern="120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0.26174</cdr:x>
      <cdr:y>0.0362</cdr:y>
    </cdr:from>
    <cdr:to>
      <cdr:x>0.7596</cdr:x>
      <cdr:y>0.14027</cdr:y>
    </cdr:to>
    <cdr:sp macro="" textlink="">
      <cdr:nvSpPr>
        <cdr:cNvPr id="2" name="TextBox 1">
          <a:extLst xmlns:a="http://schemas.openxmlformats.org/drawingml/2006/main">
            <a:ext uri="{FF2B5EF4-FFF2-40B4-BE49-F238E27FC236}">
              <a16:creationId xmlns:a16="http://schemas.microsoft.com/office/drawing/2014/main" id="{B0CDFAE4-ABFE-07EE-9FCA-FE35B0DEEF81}"/>
            </a:ext>
          </a:extLst>
        </cdr:cNvPr>
        <cdr:cNvSpPr txBox="1"/>
      </cdr:nvSpPr>
      <cdr:spPr>
        <a:xfrm xmlns:a="http://schemas.openxmlformats.org/drawingml/2006/main">
          <a:off x="1752600" y="76201"/>
          <a:ext cx="333375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cdr:x>
      <cdr:y>0.01224</cdr:y>
    </cdr:from>
    <cdr:to>
      <cdr:x>1</cdr:x>
      <cdr:y>0.1102</cdr:y>
    </cdr:to>
    <cdr:sp macro="" textlink="">
      <cdr:nvSpPr>
        <cdr:cNvPr id="3" name="TextBox 2">
          <a:extLst xmlns:a="http://schemas.openxmlformats.org/drawingml/2006/main">
            <a:ext uri="{FF2B5EF4-FFF2-40B4-BE49-F238E27FC236}">
              <a16:creationId xmlns:a16="http://schemas.microsoft.com/office/drawing/2014/main" id="{1D2E838F-A198-A3AF-A7A3-94B193045D9D}"/>
            </a:ext>
          </a:extLst>
        </cdr:cNvPr>
        <cdr:cNvSpPr txBox="1"/>
      </cdr:nvSpPr>
      <cdr:spPr>
        <a:xfrm xmlns:a="http://schemas.openxmlformats.org/drawingml/2006/main">
          <a:off x="0" y="28575"/>
          <a:ext cx="3943348" cy="228579"/>
        </a:xfrm>
        <a:prstGeom xmlns:a="http://schemas.openxmlformats.org/drawingml/2006/main" prst="rect">
          <a:avLst/>
        </a:prstGeom>
        <a:solidFill xmlns:a="http://schemas.openxmlformats.org/drawingml/2006/main">
          <a:schemeClr val="accent5">
            <a:lumMod val="50000"/>
          </a:schemeClr>
        </a:solidFill>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Times New Roman" panose="02020603050405020304" pitchFamily="18" charset="0"/>
              <a:ea typeface="+mn-ea"/>
              <a:cs typeface="Times New Roman" panose="02020603050405020304" pitchFamily="18" charset="0"/>
            </a:rPr>
            <a:t>TAT Status</a:t>
          </a:r>
          <a:r>
            <a:rPr lang="en-GB" sz="1200" b="1" baseline="0">
              <a:solidFill>
                <a:schemeClr val="bg1"/>
              </a:solidFill>
              <a:effectLst/>
              <a:latin typeface="Times New Roman" panose="02020603050405020304" pitchFamily="18" charset="0"/>
              <a:ea typeface="+mn-ea"/>
              <a:cs typeface="Times New Roman" panose="02020603050405020304" pitchFamily="18" charset="0"/>
            </a:rPr>
            <a:t> Distribution By Department</a:t>
          </a:r>
          <a:endParaRPr lang="en-GB" sz="1200" b="1" kern="120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0.01164</cdr:y>
    </cdr:from>
    <cdr:to>
      <cdr:x>1</cdr:x>
      <cdr:y>0.11473</cdr:y>
    </cdr:to>
    <cdr:sp macro="" textlink="">
      <cdr:nvSpPr>
        <cdr:cNvPr id="2" name="TextBox 1">
          <a:extLst xmlns:a="http://schemas.openxmlformats.org/drawingml/2006/main">
            <a:ext uri="{FF2B5EF4-FFF2-40B4-BE49-F238E27FC236}">
              <a16:creationId xmlns:a16="http://schemas.microsoft.com/office/drawing/2014/main" id="{56A42897-32A6-1E7A-3FA6-F7DCDA3CA24C}"/>
            </a:ext>
          </a:extLst>
        </cdr:cNvPr>
        <cdr:cNvSpPr txBox="1"/>
      </cdr:nvSpPr>
      <cdr:spPr>
        <a:xfrm xmlns:a="http://schemas.openxmlformats.org/drawingml/2006/main">
          <a:off x="0" y="27045"/>
          <a:ext cx="3657599" cy="239591"/>
        </a:xfrm>
        <a:prstGeom xmlns:a="http://schemas.openxmlformats.org/drawingml/2006/main" prst="rect">
          <a:avLst/>
        </a:prstGeom>
        <a:solidFill xmlns:a="http://schemas.openxmlformats.org/drawingml/2006/main">
          <a:schemeClr val="accent5">
            <a:lumMod val="50000"/>
          </a:schemeClr>
        </a:solidFill>
      </cdr:spPr>
      <cdr:txBody>
        <a:bodyPr xmlns:a="http://schemas.openxmlformats.org/drawingml/2006/main" vertOverflow="clip" wrap="none" rtlCol="0"/>
        <a:lstStyle xmlns:a="http://schemas.openxmlformats.org/drawingml/2006/main"/>
        <a:p xmlns:a="http://schemas.openxmlformats.org/drawingml/2006/main">
          <a:pPr algn="ctr"/>
          <a:r>
            <a:rPr lang="en-GB" sz="1200" b="1" kern="1200">
              <a:solidFill>
                <a:schemeClr val="bg1"/>
              </a:solidFill>
              <a:latin typeface="Times New Roman" panose="02020603050405020304" pitchFamily="18" charset="0"/>
              <a:cs typeface="Times New Roman" panose="02020603050405020304" pitchFamily="18" charset="0"/>
            </a:rPr>
            <a:t>Rejection</a:t>
          </a:r>
          <a:r>
            <a:rPr lang="en-GB" sz="1200" b="1" kern="1200" baseline="0">
              <a:solidFill>
                <a:schemeClr val="bg1"/>
              </a:solidFill>
              <a:latin typeface="Times New Roman" panose="02020603050405020304" pitchFamily="18" charset="0"/>
              <a:cs typeface="Times New Roman" panose="02020603050405020304" pitchFamily="18" charset="0"/>
            </a:rPr>
            <a:t> Reasons</a:t>
          </a:r>
          <a:endParaRPr lang="en-GB" sz="1200" b="1" kern="120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0.19242</cdr:x>
      <cdr:y>0.06731</cdr:y>
    </cdr:from>
    <cdr:to>
      <cdr:x>0.4723</cdr:x>
      <cdr:y>0.52885</cdr:y>
    </cdr:to>
    <cdr:sp macro="" textlink="">
      <cdr:nvSpPr>
        <cdr:cNvPr id="2" name="TextBox 1">
          <a:extLst xmlns:a="http://schemas.openxmlformats.org/drawingml/2006/main">
            <a:ext uri="{FF2B5EF4-FFF2-40B4-BE49-F238E27FC236}">
              <a16:creationId xmlns:a16="http://schemas.microsoft.com/office/drawing/2014/main" id="{80B2E19D-B2E8-44C4-314C-B78E162DD5D6}"/>
            </a:ext>
          </a:extLst>
        </cdr:cNvPr>
        <cdr:cNvSpPr txBox="1"/>
      </cdr:nvSpPr>
      <cdr:spPr>
        <a:xfrm xmlns:a="http://schemas.openxmlformats.org/drawingml/2006/main">
          <a:off x="628650" y="13334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cdr:x>
      <cdr:y>0.0125</cdr:y>
    </cdr:from>
    <cdr:to>
      <cdr:x>1</cdr:x>
      <cdr:y>0.125</cdr:y>
    </cdr:to>
    <cdr:sp macro="" textlink="">
      <cdr:nvSpPr>
        <cdr:cNvPr id="3" name="TextBox 2">
          <a:extLst xmlns:a="http://schemas.openxmlformats.org/drawingml/2006/main">
            <a:ext uri="{FF2B5EF4-FFF2-40B4-BE49-F238E27FC236}">
              <a16:creationId xmlns:a16="http://schemas.microsoft.com/office/drawing/2014/main" id="{7777A8E0-D192-A61E-40BC-17B66CAFD06A}"/>
            </a:ext>
          </a:extLst>
        </cdr:cNvPr>
        <cdr:cNvSpPr txBox="1"/>
      </cdr:nvSpPr>
      <cdr:spPr>
        <a:xfrm xmlns:a="http://schemas.openxmlformats.org/drawingml/2006/main">
          <a:off x="0" y="28575"/>
          <a:ext cx="3676650" cy="257175"/>
        </a:xfrm>
        <a:prstGeom xmlns:a="http://schemas.openxmlformats.org/drawingml/2006/main" prst="rect">
          <a:avLst/>
        </a:prstGeom>
        <a:solidFill xmlns:a="http://schemas.openxmlformats.org/drawingml/2006/main">
          <a:schemeClr val="accent5">
            <a:lumMod val="50000"/>
          </a:schemeClr>
        </a:solidFill>
      </cdr:spPr>
      <cdr:txBody>
        <a:bodyPr xmlns:a="http://schemas.openxmlformats.org/drawingml/2006/main" vertOverflow="clip" wrap="none" rtlCol="0"/>
        <a:lstStyle xmlns:a="http://schemas.openxmlformats.org/drawingml/2006/main"/>
        <a:p xmlns:a="http://schemas.openxmlformats.org/drawingml/2006/main">
          <a:pPr algn="ctr"/>
          <a:r>
            <a:rPr lang="en-GB" sz="1200" b="1" kern="1200">
              <a:solidFill>
                <a:schemeClr val="bg1"/>
              </a:solidFill>
              <a:latin typeface="Times New Roman" panose="02020603050405020304" pitchFamily="18" charset="0"/>
              <a:cs typeface="Times New Roman" panose="02020603050405020304" pitchFamily="18" charset="0"/>
            </a:rPr>
            <a:t>Payment Method</a:t>
          </a:r>
          <a:r>
            <a:rPr lang="en-GB" sz="1200" b="1" kern="1200" baseline="0">
              <a:solidFill>
                <a:schemeClr val="bg1"/>
              </a:solidFill>
              <a:latin typeface="Times New Roman" panose="02020603050405020304" pitchFamily="18" charset="0"/>
              <a:cs typeface="Times New Roman" panose="02020603050405020304" pitchFamily="18" charset="0"/>
            </a:rPr>
            <a:t>  Distribution</a:t>
          </a:r>
          <a:endParaRPr lang="en-GB" sz="1200" b="1" kern="1200">
            <a:solidFill>
              <a:schemeClr val="bg1"/>
            </a:solidFill>
            <a:latin typeface="Times New Roman" panose="02020603050405020304" pitchFamily="18" charset="0"/>
            <a:cs typeface="Times New Roman" panose="02020603050405020304" pitchFamily="18"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0.00309</cdr:x>
      <cdr:y>6.35001E-7</cdr:y>
    </cdr:from>
    <cdr:to>
      <cdr:x>0.99691</cdr:x>
      <cdr:y>0.08468</cdr:y>
    </cdr:to>
    <cdr:sp macro="" textlink="">
      <cdr:nvSpPr>
        <cdr:cNvPr id="2" name="TextBox 1">
          <a:extLst xmlns:a="http://schemas.openxmlformats.org/drawingml/2006/main">
            <a:ext uri="{FF2B5EF4-FFF2-40B4-BE49-F238E27FC236}">
              <a16:creationId xmlns:a16="http://schemas.microsoft.com/office/drawing/2014/main" id="{73B0A4F5-B797-7757-DA59-2CBC904E305E}"/>
            </a:ext>
          </a:extLst>
        </cdr:cNvPr>
        <cdr:cNvSpPr txBox="1"/>
      </cdr:nvSpPr>
      <cdr:spPr>
        <a:xfrm xmlns:a="http://schemas.openxmlformats.org/drawingml/2006/main">
          <a:off x="9525" y="3"/>
          <a:ext cx="3067050" cy="4000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0.00309</cdr:x>
      <cdr:y>0.00403</cdr:y>
    </cdr:from>
    <cdr:to>
      <cdr:x>1</cdr:x>
      <cdr:y>0.06452</cdr:y>
    </cdr:to>
    <cdr:sp macro="" textlink="">
      <cdr:nvSpPr>
        <cdr:cNvPr id="3" name="TextBox 2">
          <a:extLst xmlns:a="http://schemas.openxmlformats.org/drawingml/2006/main">
            <a:ext uri="{FF2B5EF4-FFF2-40B4-BE49-F238E27FC236}">
              <a16:creationId xmlns:a16="http://schemas.microsoft.com/office/drawing/2014/main" id="{23B87E5B-6166-AF94-1EA2-614CED11DB9D}"/>
            </a:ext>
          </a:extLst>
        </cdr:cNvPr>
        <cdr:cNvSpPr txBox="1"/>
      </cdr:nvSpPr>
      <cdr:spPr>
        <a:xfrm xmlns:a="http://schemas.openxmlformats.org/drawingml/2006/main">
          <a:off x="9525" y="19054"/>
          <a:ext cx="3076575"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cdr:x>
      <cdr:y>0.00602</cdr:y>
    </cdr:from>
    <cdr:to>
      <cdr:x>1</cdr:x>
      <cdr:y>0.06839</cdr:y>
    </cdr:to>
    <cdr:sp macro="" textlink="">
      <cdr:nvSpPr>
        <cdr:cNvPr id="4" name="TextBox 3">
          <a:extLst xmlns:a="http://schemas.openxmlformats.org/drawingml/2006/main">
            <a:ext uri="{FF2B5EF4-FFF2-40B4-BE49-F238E27FC236}">
              <a16:creationId xmlns:a16="http://schemas.microsoft.com/office/drawing/2014/main" id="{07E9CB5E-6DC1-619B-D107-25E68326D648}"/>
            </a:ext>
          </a:extLst>
        </cdr:cNvPr>
        <cdr:cNvSpPr txBox="1"/>
      </cdr:nvSpPr>
      <cdr:spPr>
        <a:xfrm xmlns:a="http://schemas.openxmlformats.org/drawingml/2006/main">
          <a:off x="0" y="28575"/>
          <a:ext cx="3467100" cy="295849"/>
        </a:xfrm>
        <a:prstGeom xmlns:a="http://schemas.openxmlformats.org/drawingml/2006/main" prst="rect">
          <a:avLst/>
        </a:prstGeom>
        <a:solidFill xmlns:a="http://schemas.openxmlformats.org/drawingml/2006/main">
          <a:schemeClr val="accent5">
            <a:lumMod val="50000"/>
          </a:schemeClr>
        </a:solidFill>
      </cdr:spPr>
      <cdr:txBody>
        <a:bodyPr xmlns:a="http://schemas.openxmlformats.org/drawingml/2006/main" vertOverflow="clip" wrap="none" rtlCol="0"/>
        <a:lstStyle xmlns:a="http://schemas.openxmlformats.org/drawingml/2006/main"/>
        <a:p xmlns:a="http://schemas.openxmlformats.org/drawingml/2006/main">
          <a:pPr algn="ctr"/>
          <a:r>
            <a:rPr lang="en-GB" sz="1200" b="1" kern="1200">
              <a:solidFill>
                <a:schemeClr val="bg1"/>
              </a:solidFill>
              <a:latin typeface="Times New Roman" panose="02020603050405020304" pitchFamily="18" charset="0"/>
              <a:cs typeface="Times New Roman" panose="02020603050405020304" pitchFamily="18" charset="0"/>
            </a:rPr>
            <a:t>Revenue By Branch</a:t>
          </a:r>
          <a:endParaRPr lang="en-GB" sz="1200" b="1" kern="1200" baseline="0">
            <a:solidFill>
              <a:schemeClr val="bg1"/>
            </a:solidFill>
            <a:latin typeface="Times New Roman" panose="02020603050405020304" pitchFamily="18" charset="0"/>
            <a:cs typeface="Times New Roman" panose="02020603050405020304" pitchFamily="18" charset="0"/>
          </a:endParaRPr>
        </a:p>
        <a:p xmlns:a="http://schemas.openxmlformats.org/drawingml/2006/main">
          <a:pPr algn="ctr"/>
          <a:endParaRPr lang="en-GB" sz="11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9.611294675924" createdVersion="8" refreshedVersion="8" minRefreshableVersion="3" recordCount="1000" xr:uid="{D7A4A5D9-7CC6-436A-9331-ECF867C98E80}">
  <cacheSource type="worksheet">
    <worksheetSource ref="A1:AA1001" sheet="Cleaned Data"/>
  </cacheSource>
  <cacheFields count="27">
    <cacheField name="Sample_ID" numFmtId="0">
      <sharedItems/>
    </cacheField>
    <cacheField name="Patient_ID" numFmtId="0">
      <sharedItems/>
    </cacheField>
    <cacheField name="Gender" numFmtId="0">
      <sharedItems/>
    </cacheField>
    <cacheField name="Age" numFmtId="1">
      <sharedItems containsSemiMixedTypes="0" containsString="0" containsNumber="1" containsInteger="1" minValue="1" maxValue="150"/>
    </cacheField>
    <cacheField name="Test_Type" numFmtId="0">
      <sharedItems count="6">
        <s v="U&amp;E"/>
        <s v="Malaria"/>
        <s v="Urinalysis"/>
        <s v="PSA"/>
        <s v="LFT"/>
        <s v="FBC"/>
      </sharedItems>
    </cacheField>
    <cacheField name="Specimen" numFmtId="0">
      <sharedItems/>
    </cacheField>
    <cacheField name="Department" numFmtId="0">
      <sharedItems count="5">
        <s v="Chemical Pathology"/>
        <s v="Hematology"/>
        <s v="Parasitology"/>
        <s v="Microbiology"/>
        <s v="Immunology"/>
      </sharedItems>
    </cacheField>
    <cacheField name="Collection_Date" numFmtId="14">
      <sharedItems containsSemiMixedTypes="0" containsNonDate="0" containsDate="1" containsString="0" minDate="2026-01-01T00:00:00" maxDate="2026-07-01T00:00:00"/>
    </cacheField>
    <cacheField name="Month" numFmtId="14">
      <sharedItems count="6">
        <s v="April"/>
        <s v="March"/>
        <s v="June"/>
        <s v="January"/>
        <s v="May"/>
        <s v="February"/>
      </sharedItems>
    </cacheField>
    <cacheField name="Collection_Time" numFmtId="165">
      <sharedItems containsSemiMixedTypes="0" containsNonDate="0" containsDate="1" containsString="0" minDate="1899-12-30T07:00:00" maxDate="1899-12-30T16:58:00"/>
    </cacheField>
    <cacheField name="Expected_TAT_hrs" numFmtId="1">
      <sharedItems containsSemiMixedTypes="0" containsString="0" containsNumber="1" containsInteger="1" minValue="3" maxValue="24"/>
    </cacheField>
    <cacheField name="Result_Release_Date" numFmtId="14">
      <sharedItems containsSemiMixedTypes="0" containsNonDate="0" containsDate="1" containsString="0" minDate="2026-01-01T00:00:00" maxDate="2026-07-01T00:00:00"/>
    </cacheField>
    <cacheField name="Result_Release_Time" numFmtId="165">
      <sharedItems containsSemiMixedTypes="0" containsNonDate="0" containsDate="1" containsString="0" minDate="1899-12-30T00:00:00" maxDate="1899-12-30T23:59:00"/>
    </cacheField>
    <cacheField name="Actual_TAT_hrs" numFmtId="0">
      <sharedItems containsSemiMixedTypes="0" containsString="0" containsNumber="1" containsInteger="1" minValue="2" maxValue="32"/>
    </cacheField>
    <cacheField name="TAT_Status" numFmtId="0">
      <sharedItems count="2">
        <s v="Delayed"/>
        <s v="On Time"/>
      </sharedItems>
    </cacheField>
    <cacheField name="Sample_Status" numFmtId="0">
      <sharedItems/>
    </cacheField>
    <cacheField name="Rejection_Reason" numFmtId="0">
      <sharedItems containsBlank="1" count="5">
        <m/>
        <s v="Hemolyzed"/>
        <s v="Insufficient Sample"/>
        <s v="Wrong Container"/>
        <s v="Clotted Sample"/>
      </sharedItems>
    </cacheField>
    <cacheField name="Test_Status" numFmtId="0">
      <sharedItems/>
    </cacheField>
    <cacheField name="Price" numFmtId="1">
      <sharedItems containsString="0" containsBlank="1" containsNumber="1" containsInteger="1" minValue="-20" maxValue="50"/>
    </cacheField>
    <cacheField name="Payment_Status" numFmtId="0">
      <sharedItems count="2">
        <s v="Unpaid"/>
        <s v="Paid"/>
      </sharedItems>
    </cacheField>
    <cacheField name="Payment_Method" numFmtId="0">
      <sharedItems containsMixedTypes="1" containsNumber="1" containsInteger="1" minValue="31055" maxValue="31090" count="5">
        <s v="Cash"/>
        <s v="Transfer"/>
        <s v="Card"/>
        <n v="31090"/>
        <n v="31055"/>
      </sharedItems>
    </cacheField>
    <cacheField name="Satisfaction_Rating" numFmtId="0">
      <sharedItems containsSemiMixedTypes="0" containsString="0" containsNumber="1" containsInteger="1" minValue="1" maxValue="5"/>
    </cacheField>
    <cacheField name="Referring_Doctor" numFmtId="0">
      <sharedItems/>
    </cacheField>
    <cacheField name="Branch" numFmtId="0">
      <sharedItems count="9">
        <s v="Lagos"/>
        <s v="Abuja"/>
        <s v="Port harcourt"/>
        <s v="Enugu"/>
        <s v="Portharcourt" u="1"/>
        <s v="Lekki" u="1"/>
        <s v="Ikeja" u="1"/>
        <s v="Port harcourtland" u="1"/>
        <s v="Main" u="1"/>
      </sharedItems>
    </cacheField>
    <cacheField name="Technician" numFmtId="0">
      <sharedItems/>
    </cacheField>
    <cacheField name="Insurance_Type" numFmtId="0">
      <sharedItems/>
    </cacheField>
    <cacheField name="Data_Quality Flag" numFmtId="0">
      <sharedItems containsBlank="1"/>
    </cacheField>
  </cacheFields>
  <extLst>
    <ext xmlns:x14="http://schemas.microsoft.com/office/spreadsheetml/2009/9/main" uri="{725AE2AE-9491-48be-B2B4-4EB974FC3084}">
      <x14:pivotCacheDefinition pivotCacheId="2056477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2"/>
    <s v="P89024"/>
    <s v="Male"/>
    <n v="67"/>
    <x v="0"/>
    <s v="Blood"/>
    <x v="0"/>
    <d v="2026-04-20T00:00:00"/>
    <x v="0"/>
    <d v="1899-12-30T09:02:00"/>
    <n v="5"/>
    <d v="2026-04-20T00:00:00"/>
    <d v="1899-12-30T18:02:00"/>
    <n v="9"/>
    <x v="0"/>
    <s v="Accepted"/>
    <x v="0"/>
    <s v="Completed"/>
    <n v="35"/>
    <x v="0"/>
    <x v="0"/>
    <n v="1"/>
    <s v="Dr Okafor"/>
    <x v="0"/>
    <s v="Tech C"/>
    <s v="NHIA"/>
    <s v="Test-department mismatch"/>
  </r>
  <r>
    <s v="S1003"/>
    <s v="P52988"/>
    <s v="Male"/>
    <n v="66"/>
    <x v="0"/>
    <s v="Blood"/>
    <x v="1"/>
    <d v="2026-04-28T00:00:00"/>
    <x v="0"/>
    <d v="1899-12-30T09:30:00"/>
    <n v="5"/>
    <d v="2026-04-28T00:00:00"/>
    <d v="1899-12-30T22:30:00"/>
    <n v="13"/>
    <x v="0"/>
    <s v="Accepted"/>
    <x v="0"/>
    <s v="Completed"/>
    <n v="35"/>
    <x v="1"/>
    <x v="1"/>
    <n v="4"/>
    <s v="Dr Okafor"/>
    <x v="1"/>
    <s v="Tech A"/>
    <s v="Private"/>
    <s v="Test-department mismatch"/>
  </r>
  <r>
    <s v="S1004"/>
    <s v="P22335"/>
    <s v="Female"/>
    <n v="80"/>
    <x v="1"/>
    <s v="Blood"/>
    <x v="2"/>
    <d v="2026-03-15T00:00:00"/>
    <x v="1"/>
    <d v="1899-12-30T11:08:00"/>
    <n v="3"/>
    <d v="2026-03-15T00:00:00"/>
    <d v="1899-12-30T21:08:00"/>
    <n v="10"/>
    <x v="0"/>
    <s v="Accepted"/>
    <x v="0"/>
    <s v="Completed"/>
    <n v="15"/>
    <x v="1"/>
    <x v="1"/>
    <n v="1"/>
    <s v="Dr Adebayo"/>
    <x v="1"/>
    <s v="Tech C"/>
    <s v="NHIA"/>
    <m/>
  </r>
  <r>
    <s v="S1005"/>
    <s v="P48572"/>
    <s v="Female"/>
    <n v="21"/>
    <x v="0"/>
    <s v="Blood"/>
    <x v="0"/>
    <d v="2026-06-21T00:00:00"/>
    <x v="2"/>
    <d v="1899-12-30T11:20:00"/>
    <n v="5"/>
    <d v="2026-06-21T00:00:00"/>
    <d v="1899-12-30T16:20:00"/>
    <n v="5"/>
    <x v="1"/>
    <s v="Accepted"/>
    <x v="0"/>
    <s v="Completed"/>
    <n v="35"/>
    <x v="1"/>
    <x v="2"/>
    <n v="4"/>
    <s v="Dr Ahmed"/>
    <x v="1"/>
    <s v="Tech C"/>
    <s v="HMO"/>
    <s v="Duplicate Sample ID"/>
  </r>
  <r>
    <s v="S1006"/>
    <s v="P60596"/>
    <s v="Male"/>
    <n v="72"/>
    <x v="1"/>
    <s v="Blood"/>
    <x v="2"/>
    <d v="2026-06-15T00:00:00"/>
    <x v="2"/>
    <d v="1899-12-30T14:17:00"/>
    <n v="3"/>
    <d v="2026-06-15T00:00:00"/>
    <d v="1899-12-30T21:17:00"/>
    <n v="7"/>
    <x v="0"/>
    <s v="Accepted"/>
    <x v="0"/>
    <s v="Completed"/>
    <n v="15"/>
    <x v="1"/>
    <x v="0"/>
    <n v="5"/>
    <s v="Dr Adebayo"/>
    <x v="1"/>
    <s v="Tech A"/>
    <s v="NHIA"/>
    <m/>
  </r>
  <r>
    <s v="S1007"/>
    <s v="P29322"/>
    <s v="Male"/>
    <n v="63"/>
    <x v="2"/>
    <s v="Urine"/>
    <x v="3"/>
    <d v="2026-01-24T00:00:00"/>
    <x v="3"/>
    <d v="1899-12-30T13:13:00"/>
    <n v="8"/>
    <d v="2026-01-25T00:00:00"/>
    <d v="1899-12-30T03:13:00"/>
    <n v="14"/>
    <x v="0"/>
    <s v="Accepted"/>
    <x v="0"/>
    <s v="Completed"/>
    <n v="20"/>
    <x v="0"/>
    <x v="0"/>
    <n v="1"/>
    <s v="Dr James"/>
    <x v="1"/>
    <s v="Tech A"/>
    <s v="Private"/>
    <s v=" "/>
  </r>
  <r>
    <s v="S1008"/>
    <s v="P82830"/>
    <s v="Female"/>
    <n v="1"/>
    <x v="3"/>
    <s v="Blood"/>
    <x v="4"/>
    <d v="2026-03-15T00:00:00"/>
    <x v="1"/>
    <d v="1899-12-30T16:50:00"/>
    <n v="24"/>
    <d v="2026-03-16T00:00:00"/>
    <d v="1899-12-30T16:50:00"/>
    <n v="24"/>
    <x v="1"/>
    <s v="Accepted"/>
    <x v="0"/>
    <s v="Completed"/>
    <n v="50"/>
    <x v="0"/>
    <x v="1"/>
    <n v="5"/>
    <s v="Dr James"/>
    <x v="1"/>
    <s v="Tech A"/>
    <s v="HMO"/>
    <s v="Female patient with PSA test; Suspicious Test-Age Combination"/>
  </r>
  <r>
    <s v="S1009"/>
    <s v="P12415"/>
    <s v="Male"/>
    <n v="62"/>
    <x v="2"/>
    <s v="Urine"/>
    <x v="3"/>
    <d v="2026-05-01T00:00:00"/>
    <x v="4"/>
    <d v="1899-12-30T14:18:00"/>
    <n v="8"/>
    <d v="2026-05-02T00:00:00"/>
    <d v="1899-12-30T03:18:00"/>
    <n v="13"/>
    <x v="0"/>
    <s v="Accepted"/>
    <x v="0"/>
    <s v="Completed"/>
    <n v="20"/>
    <x v="0"/>
    <x v="2"/>
    <n v="3"/>
    <s v="Dr James"/>
    <x v="2"/>
    <s v="Tech A"/>
    <s v="HMO"/>
    <s v=" "/>
  </r>
  <r>
    <s v="S1010"/>
    <s v="P98262"/>
    <s v="Female"/>
    <n v="71"/>
    <x v="1"/>
    <s v="Blood"/>
    <x v="2"/>
    <d v="2026-03-31T00:00:00"/>
    <x v="1"/>
    <d v="1899-12-30T14:37:00"/>
    <n v="3"/>
    <d v="2026-03-31T00:00:00"/>
    <d v="1899-12-30T18:37:00"/>
    <n v="4"/>
    <x v="0"/>
    <s v="Accepted"/>
    <x v="0"/>
    <s v="Completed"/>
    <n v="15"/>
    <x v="0"/>
    <x v="0"/>
    <n v="2"/>
    <s v="Dr Ahmed"/>
    <x v="0"/>
    <s v="Tech B"/>
    <s v="Private"/>
    <m/>
  </r>
  <r>
    <s v="S1011"/>
    <s v="P10531"/>
    <s v="Female"/>
    <n v="87"/>
    <x v="3"/>
    <s v="Blood"/>
    <x v="1"/>
    <d v="2026-05-10T00:00:00"/>
    <x v="4"/>
    <d v="1899-12-30T15:51:00"/>
    <n v="24"/>
    <d v="2026-05-11T00:00:00"/>
    <d v="1899-12-30T23:51:00"/>
    <n v="32"/>
    <x v="0"/>
    <s v="Accepted"/>
    <x v="0"/>
    <s v="Completed"/>
    <n v="50"/>
    <x v="1"/>
    <x v="2"/>
    <n v="3"/>
    <s v="Dr Adebayo"/>
    <x v="2"/>
    <s v="Tech A"/>
    <s v="Private"/>
    <s v="Female patient with PSA test; Test-department mismatch"/>
  </r>
  <r>
    <s v="S1012"/>
    <s v="P65040"/>
    <s v="Male"/>
    <n v="3"/>
    <x v="0"/>
    <s v="Blood"/>
    <x v="0"/>
    <d v="2026-01-10T00:00:00"/>
    <x v="3"/>
    <d v="1899-12-30T10:40:00"/>
    <n v="5"/>
    <d v="2026-01-10T00:00:00"/>
    <d v="1899-12-30T21:40:00"/>
    <n v="11"/>
    <x v="0"/>
    <s v="Accepted"/>
    <x v="0"/>
    <s v="Completed"/>
    <n v="35"/>
    <x v="0"/>
    <x v="0"/>
    <n v="3"/>
    <s v="Dr Ahmed"/>
    <x v="1"/>
    <s v="Tech A"/>
    <s v="NHIA"/>
    <s v=" "/>
  </r>
  <r>
    <s v="S1013"/>
    <s v="P58877"/>
    <s v="Male"/>
    <n v="46"/>
    <x v="2"/>
    <s v="Urine"/>
    <x v="3"/>
    <d v="2026-02-07T00:00:00"/>
    <x v="5"/>
    <d v="1899-12-30T08:32:00"/>
    <n v="8"/>
    <d v="2026-02-07T00:00:00"/>
    <d v="1899-12-30T15:32:00"/>
    <n v="7"/>
    <x v="1"/>
    <s v="Accepted"/>
    <x v="0"/>
    <s v="Completed"/>
    <n v="20"/>
    <x v="1"/>
    <x v="0"/>
    <n v="1"/>
    <s v="Dr Okafor"/>
    <x v="2"/>
    <s v="Tech B"/>
    <s v="Private"/>
    <s v=" "/>
  </r>
  <r>
    <s v="S1014"/>
    <s v="P61630"/>
    <s v="Female"/>
    <n v="39"/>
    <x v="3"/>
    <s v="Blood"/>
    <x v="3"/>
    <d v="2026-04-16T00:00:00"/>
    <x v="0"/>
    <d v="1899-12-30T14:14:00"/>
    <n v="24"/>
    <d v="2026-04-17T00:00:00"/>
    <d v="1899-12-30T21:14:00"/>
    <n v="31"/>
    <x v="0"/>
    <s v="Accepted"/>
    <x v="0"/>
    <s v="Pending"/>
    <n v="50"/>
    <x v="1"/>
    <x v="0"/>
    <n v="1"/>
    <s v="Dr James"/>
    <x v="0"/>
    <s v="Tech C"/>
    <s v="Private"/>
    <s v="Female patient with PSA test; Pending test with released result; Test-department mismatch"/>
  </r>
  <r>
    <s v="S1015"/>
    <s v="P52587"/>
    <s v="Male"/>
    <n v="20"/>
    <x v="1"/>
    <s v="Blood"/>
    <x v="2"/>
    <d v="2026-03-05T00:00:00"/>
    <x v="1"/>
    <d v="1899-12-30T14:25:00"/>
    <n v="3"/>
    <d v="2026-03-05T00:00:00"/>
    <d v="1899-12-30T21:25:00"/>
    <n v="7"/>
    <x v="0"/>
    <s v="Accepted"/>
    <x v="0"/>
    <s v="Completed"/>
    <n v="15"/>
    <x v="0"/>
    <x v="1"/>
    <n v="4"/>
    <s v="Dr James"/>
    <x v="2"/>
    <s v="Tech A"/>
    <s v="NHIA"/>
    <m/>
  </r>
  <r>
    <s v="S1016"/>
    <s v="P59283"/>
    <s v="Male"/>
    <n v="66"/>
    <x v="3"/>
    <s v="Blood"/>
    <x v="4"/>
    <d v="2026-02-07T00:00:00"/>
    <x v="5"/>
    <d v="1899-12-30T15:03:00"/>
    <n v="24"/>
    <d v="2026-02-08T00:00:00"/>
    <d v="1899-12-30T20:03:00"/>
    <n v="29"/>
    <x v="0"/>
    <s v="Accepted"/>
    <x v="0"/>
    <s v="Completed"/>
    <n v="50"/>
    <x v="1"/>
    <x v="1"/>
    <n v="1"/>
    <s v="Dr Adebayo"/>
    <x v="0"/>
    <s v="Tech A"/>
    <s v="HMO"/>
    <s v=" "/>
  </r>
  <r>
    <s v="S1017"/>
    <s v="P75866"/>
    <s v="Male"/>
    <n v="87"/>
    <x v="2"/>
    <s v="Urine"/>
    <x v="4"/>
    <d v="2026-03-31T00:00:00"/>
    <x v="1"/>
    <d v="1899-12-30T09:56:00"/>
    <n v="8"/>
    <d v="2026-03-31T00:00:00"/>
    <d v="1899-12-30T23:56:00"/>
    <n v="14"/>
    <x v="0"/>
    <s v="Accepted"/>
    <x v="0"/>
    <s v="Completed"/>
    <n v="20"/>
    <x v="1"/>
    <x v="1"/>
    <n v="3"/>
    <s v="Dr Okafor"/>
    <x v="1"/>
    <s v="Tech C"/>
    <s v="HMO"/>
    <s v="Test-department mismatch"/>
  </r>
  <r>
    <s v="S1018"/>
    <s v="P31544"/>
    <s v="Female"/>
    <n v="77"/>
    <x v="4"/>
    <s v="Blood"/>
    <x v="3"/>
    <d v="2026-04-22T00:00:00"/>
    <x v="0"/>
    <d v="1899-12-30T15:31:00"/>
    <n v="6"/>
    <d v="2026-04-23T00:00:00"/>
    <d v="1899-12-30T00:31:00"/>
    <n v="9"/>
    <x v="0"/>
    <s v="Accepted"/>
    <x v="0"/>
    <s v="Completed"/>
    <n v="40"/>
    <x v="1"/>
    <x v="2"/>
    <n v="3"/>
    <s v="Dr James"/>
    <x v="1"/>
    <s v="Tech A"/>
    <s v="NHIA"/>
    <s v="Test-department mismatch"/>
  </r>
  <r>
    <s v="S1019"/>
    <s v="P20575"/>
    <s v="Female"/>
    <n v="5"/>
    <x v="2"/>
    <s v="Urine"/>
    <x v="1"/>
    <d v="2026-04-22T00:00:00"/>
    <x v="0"/>
    <d v="1899-12-30T12:49:00"/>
    <n v="8"/>
    <d v="2026-04-23T00:00:00"/>
    <d v="1899-12-30T01:49:00"/>
    <n v="13"/>
    <x v="0"/>
    <s v="Accepted"/>
    <x v="0"/>
    <s v="Completed"/>
    <n v="20"/>
    <x v="1"/>
    <x v="0"/>
    <n v="2"/>
    <s v="Dr Ahmed"/>
    <x v="2"/>
    <s v="Tech A"/>
    <s v="HMO"/>
    <s v="Test-department mismatch"/>
  </r>
  <r>
    <s v="S1020"/>
    <s v="P40596"/>
    <s v="Male"/>
    <n v="59"/>
    <x v="2"/>
    <s v="Urine"/>
    <x v="0"/>
    <d v="2026-02-24T00:00:00"/>
    <x v="5"/>
    <d v="1899-12-30T09:12:00"/>
    <n v="8"/>
    <d v="2026-02-24T00:00:00"/>
    <d v="1899-12-30T17:12:00"/>
    <n v="8"/>
    <x v="1"/>
    <s v="Accepted"/>
    <x v="0"/>
    <s v="Completed"/>
    <n v="20"/>
    <x v="0"/>
    <x v="2"/>
    <n v="2"/>
    <s v="Dr Okafor"/>
    <x v="3"/>
    <s v="Tech C"/>
    <s v="NHIA"/>
    <s v="Test-department mismatch"/>
  </r>
  <r>
    <s v="S1021"/>
    <s v="P30518"/>
    <s v="Male"/>
    <n v="14"/>
    <x v="4"/>
    <s v="Blood"/>
    <x v="1"/>
    <d v="2026-05-10T00:00:00"/>
    <x v="4"/>
    <d v="1899-12-30T07:51:00"/>
    <n v="6"/>
    <d v="2026-05-10T00:00:00"/>
    <d v="1899-12-30T17:51:00"/>
    <n v="10"/>
    <x v="0"/>
    <s v="Accepted"/>
    <x v="0"/>
    <s v="Completed"/>
    <n v="40"/>
    <x v="0"/>
    <x v="2"/>
    <n v="2"/>
    <s v="Dr Okafor"/>
    <x v="1"/>
    <s v="Tech A"/>
    <s v="NHIA"/>
    <s v="Test-department mismatch"/>
  </r>
  <r>
    <s v="S1022"/>
    <s v="P63281"/>
    <s v="Female"/>
    <n v="89"/>
    <x v="5"/>
    <s v="Blood"/>
    <x v="1"/>
    <d v="2026-04-05T00:00:00"/>
    <x v="0"/>
    <d v="1899-12-30T07:46:00"/>
    <n v="4"/>
    <d v="2026-04-05T00:00:00"/>
    <d v="1899-12-30T16:46:00"/>
    <n v="9"/>
    <x v="0"/>
    <s v="Accepted"/>
    <x v="0"/>
    <s v="Completed"/>
    <n v="25"/>
    <x v="0"/>
    <x v="2"/>
    <n v="1"/>
    <s v="Dr James"/>
    <x v="0"/>
    <s v="Tech C"/>
    <s v="NHIA"/>
    <s v="Test-department mismatch"/>
  </r>
  <r>
    <s v="S1023"/>
    <s v="P23516"/>
    <s v="Female"/>
    <n v="86"/>
    <x v="5"/>
    <s v="Blood"/>
    <x v="1"/>
    <d v="2026-06-07T00:00:00"/>
    <x v="2"/>
    <d v="1899-12-30T07:22:00"/>
    <n v="4"/>
    <d v="2026-06-07T00:00:00"/>
    <d v="1899-12-30T19:22:00"/>
    <n v="12"/>
    <x v="0"/>
    <s v="Accepted"/>
    <x v="0"/>
    <s v="Completed"/>
    <n v="25"/>
    <x v="1"/>
    <x v="1"/>
    <n v="4"/>
    <s v="Dr Adebayo"/>
    <x v="3"/>
    <s v="Tech A"/>
    <s v="NHIA"/>
    <s v="Test-department mismatch"/>
  </r>
  <r>
    <s v="S1024"/>
    <s v="P94670"/>
    <s v="Male"/>
    <n v="25"/>
    <x v="5"/>
    <s v="Blood"/>
    <x v="2"/>
    <d v="2026-01-14T00:00:00"/>
    <x v="3"/>
    <d v="1899-12-30T07:19:00"/>
    <n v="4"/>
    <d v="2026-01-14T00:00:00"/>
    <d v="1899-12-30T19:19:00"/>
    <n v="12"/>
    <x v="0"/>
    <s v="Accepted"/>
    <x v="0"/>
    <s v="Completed"/>
    <n v="25"/>
    <x v="0"/>
    <x v="2"/>
    <n v="1"/>
    <s v="Dr Ahmed"/>
    <x v="2"/>
    <s v="Tech B"/>
    <s v="Private"/>
    <s v="Test-department mismatch"/>
  </r>
  <r>
    <s v="S1025"/>
    <s v="P97044"/>
    <s v="Male"/>
    <n v="20"/>
    <x v="1"/>
    <s v="Blood"/>
    <x v="4"/>
    <d v="2026-03-20T00:00:00"/>
    <x v="1"/>
    <d v="1899-12-30T11:18:00"/>
    <n v="3"/>
    <d v="2026-03-20T00:00:00"/>
    <d v="1899-12-30T20:18:00"/>
    <n v="9"/>
    <x v="0"/>
    <s v="Accepted"/>
    <x v="0"/>
    <s v="Completed"/>
    <n v="15"/>
    <x v="1"/>
    <x v="0"/>
    <n v="3"/>
    <s v="Dr Adebayo"/>
    <x v="3"/>
    <s v="Tech B"/>
    <s v="NHIA"/>
    <s v="Test-department mismatch"/>
  </r>
  <r>
    <s v="S1026"/>
    <s v="P52958"/>
    <s v="Male"/>
    <n v="43"/>
    <x v="1"/>
    <s v="Blood"/>
    <x v="1"/>
    <d v="2026-05-09T00:00:00"/>
    <x v="4"/>
    <d v="1899-12-30T10:39:00"/>
    <n v="3"/>
    <d v="2026-05-09T00:00:00"/>
    <d v="1899-12-30T14:39:00"/>
    <n v="4"/>
    <x v="0"/>
    <s v="Accepted"/>
    <x v="0"/>
    <s v="Completed"/>
    <n v="15"/>
    <x v="1"/>
    <x v="0"/>
    <n v="3"/>
    <s v="Dr Adebayo"/>
    <x v="2"/>
    <s v="Tech A"/>
    <s v="NHIA"/>
    <s v="Test-department mismatch"/>
  </r>
  <r>
    <s v="S1027"/>
    <s v="P13278"/>
    <s v="Female"/>
    <n v="53"/>
    <x v="5"/>
    <s v="Blood"/>
    <x v="1"/>
    <d v="2026-05-08T00:00:00"/>
    <x v="4"/>
    <d v="1899-12-30T14:35:00"/>
    <n v="4"/>
    <d v="2026-05-09T00:00:00"/>
    <d v="1899-12-30T02:35:00"/>
    <n v="12"/>
    <x v="0"/>
    <s v="Accepted"/>
    <x v="0"/>
    <s v="Completed"/>
    <n v="25"/>
    <x v="1"/>
    <x v="1"/>
    <n v="5"/>
    <s v="Dr Ahmed"/>
    <x v="1"/>
    <s v="Tech A"/>
    <s v="HMO"/>
    <s v="Patient ID with Conflicting Age; Test-department mismatch"/>
  </r>
  <r>
    <s v="S1028"/>
    <s v="P57405"/>
    <s v="Female"/>
    <n v="50"/>
    <x v="4"/>
    <s v="Blood"/>
    <x v="0"/>
    <d v="2026-05-06T00:00:00"/>
    <x v="4"/>
    <d v="1899-12-30T11:13:00"/>
    <n v="6"/>
    <d v="2026-05-07T00:00:00"/>
    <d v="1899-12-30T00:13:00"/>
    <n v="13"/>
    <x v="0"/>
    <s v="Accepted"/>
    <x v="0"/>
    <s v="Completed"/>
    <n v="40"/>
    <x v="1"/>
    <x v="0"/>
    <n v="3"/>
    <s v="Dr Okafor"/>
    <x v="0"/>
    <s v="Tech A"/>
    <s v="HMO"/>
    <s v=" "/>
  </r>
  <r>
    <s v="S1029"/>
    <s v="P58857"/>
    <s v="Female"/>
    <n v="53"/>
    <x v="3"/>
    <s v="Blood"/>
    <x v="4"/>
    <d v="2026-02-19T00:00:00"/>
    <x v="5"/>
    <d v="1899-12-30T13:58:00"/>
    <n v="24"/>
    <d v="2026-02-20T00:00:00"/>
    <d v="1899-12-30T17:58:00"/>
    <n v="28"/>
    <x v="0"/>
    <s v="Accepted"/>
    <x v="0"/>
    <s v="Completed"/>
    <n v="50"/>
    <x v="0"/>
    <x v="1"/>
    <n v="1"/>
    <s v="Dr Ahmed"/>
    <x v="0"/>
    <s v="Tech B"/>
    <s v="Private"/>
    <s v="Female patient with PSA test"/>
  </r>
  <r>
    <s v="S1030"/>
    <s v="P80276"/>
    <s v="Female"/>
    <n v="90"/>
    <x v="4"/>
    <s v="Blood"/>
    <x v="0"/>
    <d v="2026-01-31T00:00:00"/>
    <x v="3"/>
    <d v="1899-12-30T07:47:00"/>
    <n v="6"/>
    <d v="2026-01-31T00:00:00"/>
    <d v="1899-12-30T16:47:00"/>
    <n v="9"/>
    <x v="0"/>
    <s v="Accepted"/>
    <x v="0"/>
    <s v="Completed"/>
    <n v="40"/>
    <x v="1"/>
    <x v="2"/>
    <n v="3"/>
    <s v="Dr James"/>
    <x v="0"/>
    <s v="Tech B"/>
    <s v="Private"/>
    <s v=" "/>
  </r>
  <r>
    <s v="S1031"/>
    <s v="P41510"/>
    <s v="Female"/>
    <n v="67"/>
    <x v="3"/>
    <s v="Blood"/>
    <x v="4"/>
    <d v="2026-04-26T00:00:00"/>
    <x v="0"/>
    <d v="1899-12-30T16:31:00"/>
    <n v="24"/>
    <d v="2026-04-27T00:00:00"/>
    <d v="1899-12-30T19:31:00"/>
    <n v="27"/>
    <x v="0"/>
    <s v="Accepted"/>
    <x v="0"/>
    <s v="Pending"/>
    <n v="50"/>
    <x v="0"/>
    <x v="2"/>
    <n v="3"/>
    <s v="Dr Ahmed"/>
    <x v="3"/>
    <s v="Tech C"/>
    <s v="Private"/>
    <s v="Female patient with PSA test; Pending test with released result"/>
  </r>
  <r>
    <s v="S1032"/>
    <s v="P60292"/>
    <s v="Female"/>
    <n v="67"/>
    <x v="0"/>
    <s v="Blood"/>
    <x v="3"/>
    <d v="2026-02-24T00:00:00"/>
    <x v="5"/>
    <d v="1899-12-30T07:30:00"/>
    <n v="5"/>
    <d v="2026-02-24T00:00:00"/>
    <d v="1899-12-30T12:30:00"/>
    <n v="5"/>
    <x v="1"/>
    <s v="Accepted"/>
    <x v="0"/>
    <s v="Completed"/>
    <n v="35"/>
    <x v="1"/>
    <x v="1"/>
    <n v="1"/>
    <s v="Dr James"/>
    <x v="3"/>
    <s v="Tech C"/>
    <s v="HMO"/>
    <s v="Test-department mismatch"/>
  </r>
  <r>
    <s v="S1033"/>
    <s v="P79910"/>
    <s v="Female"/>
    <n v="26"/>
    <x v="5"/>
    <s v="Blood"/>
    <x v="1"/>
    <d v="2026-05-19T00:00:00"/>
    <x v="4"/>
    <d v="1899-12-30T08:03:00"/>
    <n v="4"/>
    <d v="2026-05-19T00:00:00"/>
    <d v="1899-12-30T20:03:00"/>
    <n v="12"/>
    <x v="0"/>
    <s v="Accepted"/>
    <x v="0"/>
    <s v="Completed"/>
    <n v="25"/>
    <x v="0"/>
    <x v="2"/>
    <n v="4"/>
    <s v="Dr Ahmed"/>
    <x v="1"/>
    <s v="Tech B"/>
    <s v="NHIA"/>
    <s v="Test-department mismatch"/>
  </r>
  <r>
    <s v="S1034"/>
    <s v="P87899"/>
    <s v="Male"/>
    <n v="85"/>
    <x v="5"/>
    <s v="Blood"/>
    <x v="3"/>
    <d v="2026-03-12T00:00:00"/>
    <x v="1"/>
    <d v="1899-12-30T11:46:00"/>
    <n v="4"/>
    <d v="2026-03-12T00:00:00"/>
    <d v="1899-12-30T23:46:00"/>
    <n v="12"/>
    <x v="0"/>
    <s v="Accepted"/>
    <x v="0"/>
    <s v="Completed"/>
    <n v="25"/>
    <x v="1"/>
    <x v="3"/>
    <n v="4"/>
    <s v="Dr James"/>
    <x v="2"/>
    <s v="Tech C"/>
    <s v="HMO"/>
    <s v="Test-department mismatch"/>
  </r>
  <r>
    <s v="S1035"/>
    <s v="P43757"/>
    <s v="Female"/>
    <n v="24"/>
    <x v="0"/>
    <s v="Blood"/>
    <x v="3"/>
    <d v="2026-05-08T00:00:00"/>
    <x v="4"/>
    <d v="1899-12-30T10:51:00"/>
    <n v="5"/>
    <d v="2026-05-08T00:00:00"/>
    <d v="1899-12-30T16:51:00"/>
    <n v="6"/>
    <x v="0"/>
    <s v="Accepted"/>
    <x v="0"/>
    <s v="Completed"/>
    <n v="35"/>
    <x v="0"/>
    <x v="4"/>
    <n v="3"/>
    <s v="Dr James"/>
    <x v="3"/>
    <s v="Tech C"/>
    <s v="Private"/>
    <s v="Test-department mismatch"/>
  </r>
  <r>
    <s v="S1036"/>
    <s v="P98698"/>
    <s v="Male"/>
    <n v="14"/>
    <x v="0"/>
    <s v="Blood"/>
    <x v="0"/>
    <d v="2026-02-28T00:00:00"/>
    <x v="5"/>
    <d v="1899-12-30T15:13:00"/>
    <n v="5"/>
    <d v="2026-03-01T00:00:00"/>
    <d v="1899-12-30T01:13:00"/>
    <n v="10"/>
    <x v="0"/>
    <s v="Accepted"/>
    <x v="0"/>
    <s v="Completed"/>
    <n v="35"/>
    <x v="1"/>
    <x v="2"/>
    <n v="4"/>
    <s v="Dr Adebayo"/>
    <x v="2"/>
    <s v="Tech A"/>
    <s v="Private"/>
    <s v=" "/>
  </r>
  <r>
    <s v="S1037"/>
    <s v="P41968"/>
    <s v="Male"/>
    <n v="63"/>
    <x v="1"/>
    <s v="Blood"/>
    <x v="2"/>
    <d v="2026-03-23T00:00:00"/>
    <x v="1"/>
    <d v="1899-12-30T16:25:00"/>
    <n v="3"/>
    <d v="2026-03-24T00:00:00"/>
    <d v="1899-12-30T02:25:00"/>
    <n v="10"/>
    <x v="0"/>
    <s v="Accepted"/>
    <x v="0"/>
    <s v="Completed"/>
    <n v="15"/>
    <x v="0"/>
    <x v="2"/>
    <n v="3"/>
    <s v="Dr Ahmed"/>
    <x v="0"/>
    <s v="Tech C"/>
    <s v="Private"/>
    <m/>
  </r>
  <r>
    <s v="S1038"/>
    <s v="P44010"/>
    <s v="Female"/>
    <n v="73"/>
    <x v="4"/>
    <s v="Blood"/>
    <x v="3"/>
    <d v="2026-05-11T00:00:00"/>
    <x v="4"/>
    <d v="1899-12-30T15:50:00"/>
    <n v="6"/>
    <d v="2026-05-12T00:00:00"/>
    <d v="1899-12-30T04:50:00"/>
    <n v="13"/>
    <x v="0"/>
    <s v="Accepted"/>
    <x v="0"/>
    <s v="Completed"/>
    <n v="40"/>
    <x v="1"/>
    <x v="1"/>
    <n v="5"/>
    <s v="Dr Okafor"/>
    <x v="3"/>
    <s v="Tech B"/>
    <s v="HMO"/>
    <s v="Test-department mismatch"/>
  </r>
  <r>
    <s v="S1039"/>
    <s v="P72768"/>
    <s v="Female"/>
    <n v="13"/>
    <x v="0"/>
    <s v="Blood"/>
    <x v="1"/>
    <d v="2026-04-09T00:00:00"/>
    <x v="0"/>
    <d v="1899-12-30T12:38:00"/>
    <n v="5"/>
    <d v="2026-04-09T00:00:00"/>
    <d v="1899-12-30T21:38:00"/>
    <n v="9"/>
    <x v="0"/>
    <s v="Accepted"/>
    <x v="0"/>
    <s v="Completed"/>
    <n v="35"/>
    <x v="0"/>
    <x v="0"/>
    <n v="1"/>
    <s v="Dr Ahmed"/>
    <x v="1"/>
    <s v="Tech B"/>
    <s v="NHIA"/>
    <s v="Test-department mismatch"/>
  </r>
  <r>
    <s v="S1040"/>
    <s v="P75863"/>
    <s v="Female"/>
    <n v="60"/>
    <x v="4"/>
    <s v="Blood"/>
    <x v="0"/>
    <d v="2026-04-14T00:00:00"/>
    <x v="0"/>
    <d v="1899-12-30T15:47:00"/>
    <n v="6"/>
    <d v="2026-04-14T00:00:00"/>
    <d v="1899-12-30T22:47:00"/>
    <n v="7"/>
    <x v="0"/>
    <s v="Rejected"/>
    <x v="1"/>
    <s v="Completed"/>
    <n v="40"/>
    <x v="0"/>
    <x v="1"/>
    <n v="4"/>
    <s v="Dr Adebayo"/>
    <x v="2"/>
    <s v="Tech C"/>
    <s v="Private"/>
    <s v="Sample-test status mismatch; Rejected sample with released result"/>
  </r>
  <r>
    <s v="S1041"/>
    <s v="P77918"/>
    <s v="Female"/>
    <n v="57"/>
    <x v="3"/>
    <s v="Blood"/>
    <x v="0"/>
    <d v="2026-06-06T00:00:00"/>
    <x v="2"/>
    <d v="1899-12-30T07:47:00"/>
    <n v="24"/>
    <d v="2026-06-07T00:00:00"/>
    <d v="1899-12-30T14:47:00"/>
    <n v="31"/>
    <x v="0"/>
    <s v="Accepted"/>
    <x v="0"/>
    <s v="Completed"/>
    <n v="50"/>
    <x v="0"/>
    <x v="2"/>
    <n v="4"/>
    <s v="Dr Adebayo"/>
    <x v="1"/>
    <s v="Tech C"/>
    <s v="Private"/>
    <s v="Female patient with PSA test"/>
  </r>
  <r>
    <s v="S1042"/>
    <s v="P60461"/>
    <s v="Male"/>
    <n v="73"/>
    <x v="5"/>
    <s v="Blood"/>
    <x v="0"/>
    <d v="2026-02-09T00:00:00"/>
    <x v="5"/>
    <d v="1899-12-30T10:17:00"/>
    <n v="4"/>
    <d v="2026-02-09T00:00:00"/>
    <d v="1899-12-30T22:17:00"/>
    <n v="12"/>
    <x v="0"/>
    <s v="Accepted"/>
    <x v="0"/>
    <s v="Completed"/>
    <n v="25"/>
    <x v="1"/>
    <x v="0"/>
    <n v="5"/>
    <s v="Dr Okafor"/>
    <x v="0"/>
    <s v="Tech A"/>
    <s v="HMO"/>
    <s v="Test-department mismatch"/>
  </r>
  <r>
    <s v="S1043"/>
    <s v="P89960"/>
    <s v="Male"/>
    <n v="59"/>
    <x v="4"/>
    <s v="Blood"/>
    <x v="4"/>
    <d v="2026-04-17T00:00:00"/>
    <x v="0"/>
    <d v="1899-12-30T15:35:00"/>
    <n v="6"/>
    <d v="2026-04-17T00:00:00"/>
    <d v="1899-12-30T23:35:00"/>
    <n v="8"/>
    <x v="0"/>
    <s v="Accepted"/>
    <x v="0"/>
    <s v="Completed"/>
    <n v="40"/>
    <x v="1"/>
    <x v="0"/>
    <n v="3"/>
    <s v="Dr Okafor"/>
    <x v="3"/>
    <s v="Tech A"/>
    <s v="Private"/>
    <s v="Test-department mismatch"/>
  </r>
  <r>
    <s v="S1044"/>
    <s v="P62357"/>
    <s v="Female"/>
    <n v="73"/>
    <x v="1"/>
    <s v="Blood"/>
    <x v="2"/>
    <d v="2026-01-26T00:00:00"/>
    <x v="3"/>
    <d v="1899-12-30T09:11:00"/>
    <n v="3"/>
    <d v="2026-01-26T00:00:00"/>
    <d v="1899-12-30T18:11:00"/>
    <n v="9"/>
    <x v="0"/>
    <s v="Accepted"/>
    <x v="0"/>
    <s v="Completed"/>
    <n v="15"/>
    <x v="1"/>
    <x v="2"/>
    <n v="5"/>
    <s v="Dr Okafor"/>
    <x v="2"/>
    <s v="Tech B"/>
    <s v="Private"/>
    <m/>
  </r>
  <r>
    <s v="S1045"/>
    <s v="P13278"/>
    <s v="Female"/>
    <n v="84"/>
    <x v="2"/>
    <s v="Urine"/>
    <x v="3"/>
    <d v="2026-04-15T00:00:00"/>
    <x v="0"/>
    <d v="1899-12-30T08:47:00"/>
    <n v="8"/>
    <d v="2026-04-15T00:00:00"/>
    <d v="1899-12-30T20:47:00"/>
    <n v="12"/>
    <x v="0"/>
    <s v="Accepted"/>
    <x v="0"/>
    <s v="Completed"/>
    <n v="20"/>
    <x v="1"/>
    <x v="2"/>
    <n v="3"/>
    <s v="Dr James"/>
    <x v="0"/>
    <s v="Tech C"/>
    <s v="NHIA"/>
    <s v="Patient ID with Conflicting Age"/>
  </r>
  <r>
    <s v="S1046"/>
    <s v="P13666"/>
    <s v="Female"/>
    <n v="46"/>
    <x v="2"/>
    <s v="Urine"/>
    <x v="3"/>
    <d v="2026-01-26T00:00:00"/>
    <x v="3"/>
    <d v="1899-12-30T08:41:00"/>
    <n v="8"/>
    <d v="2026-01-26T00:00:00"/>
    <d v="1899-12-30T21:41:00"/>
    <n v="13"/>
    <x v="0"/>
    <s v="Accepted"/>
    <x v="0"/>
    <s v="Completed"/>
    <n v="20"/>
    <x v="1"/>
    <x v="0"/>
    <n v="1"/>
    <s v="Dr Okafor"/>
    <x v="2"/>
    <s v="Tech B"/>
    <s v="Private"/>
    <s v=" "/>
  </r>
  <r>
    <s v="S1047"/>
    <s v="P17405"/>
    <s v="Female"/>
    <n v="7"/>
    <x v="5"/>
    <s v="Blood"/>
    <x v="1"/>
    <d v="2026-06-17T00:00:00"/>
    <x v="2"/>
    <d v="1899-12-30T13:30:00"/>
    <n v="4"/>
    <d v="2026-06-17T00:00:00"/>
    <d v="1899-12-30T16:30:00"/>
    <n v="3"/>
    <x v="1"/>
    <s v="Accepted"/>
    <x v="0"/>
    <s v="Completed"/>
    <n v="25"/>
    <x v="1"/>
    <x v="1"/>
    <n v="1"/>
    <s v="Dr Adebayo"/>
    <x v="0"/>
    <s v="Tech A"/>
    <s v="NHIA"/>
    <s v="Test-department mismatch"/>
  </r>
  <r>
    <s v="S1048"/>
    <s v="P68644"/>
    <s v="Male"/>
    <n v="44"/>
    <x v="4"/>
    <s v="Blood"/>
    <x v="0"/>
    <d v="2026-06-27T00:00:00"/>
    <x v="2"/>
    <d v="1899-12-30T13:12:00"/>
    <n v="6"/>
    <d v="2026-06-27T00:00:00"/>
    <d v="1899-12-30T21:12:00"/>
    <n v="8"/>
    <x v="0"/>
    <s v="Accepted"/>
    <x v="0"/>
    <s v="Pending"/>
    <n v="40"/>
    <x v="1"/>
    <x v="2"/>
    <n v="4"/>
    <s v="Dr Okafor"/>
    <x v="1"/>
    <s v="Tech C"/>
    <s v="Private"/>
    <s v="Pending test with released result"/>
  </r>
  <r>
    <s v="S1049"/>
    <s v="P58825"/>
    <s v="Male"/>
    <n v="64"/>
    <x v="5"/>
    <s v="Blood"/>
    <x v="3"/>
    <d v="2026-05-10T00:00:00"/>
    <x v="4"/>
    <d v="1899-12-30T10:11:00"/>
    <n v="4"/>
    <d v="2026-05-10T00:00:00"/>
    <d v="1899-12-30T15:11:00"/>
    <n v="5"/>
    <x v="0"/>
    <s v="Accepted"/>
    <x v="0"/>
    <s v="Completed"/>
    <n v="25"/>
    <x v="1"/>
    <x v="0"/>
    <n v="4"/>
    <s v="Dr Ahmed"/>
    <x v="3"/>
    <s v="Tech C"/>
    <s v="Private"/>
    <s v="Test-department mismatch"/>
  </r>
  <r>
    <s v="S1050"/>
    <s v="P14845"/>
    <s v="Male"/>
    <n v="90"/>
    <x v="1"/>
    <s v="Blood"/>
    <x v="2"/>
    <d v="2026-06-03T00:00:00"/>
    <x v="2"/>
    <d v="1899-12-30T10:49:00"/>
    <n v="3"/>
    <d v="2026-06-03T00:00:00"/>
    <d v="1899-12-30T16:49:00"/>
    <n v="6"/>
    <x v="0"/>
    <s v="Accepted"/>
    <x v="0"/>
    <s v="Completed"/>
    <n v="15"/>
    <x v="0"/>
    <x v="1"/>
    <n v="5"/>
    <s v="Dr Okafor"/>
    <x v="2"/>
    <s v="Tech C"/>
    <s v="Private"/>
    <m/>
  </r>
  <r>
    <s v="S1051"/>
    <s v="P55238"/>
    <s v="Female"/>
    <n v="14"/>
    <x v="0"/>
    <s v="Blood"/>
    <x v="0"/>
    <d v="2026-04-02T00:00:00"/>
    <x v="0"/>
    <d v="1899-12-30T08:11:00"/>
    <n v="5"/>
    <d v="2026-04-02T00:00:00"/>
    <d v="1899-12-30T15:11:00"/>
    <n v="7"/>
    <x v="0"/>
    <s v="Accepted"/>
    <x v="0"/>
    <s v="Completed"/>
    <n v="35"/>
    <x v="1"/>
    <x v="2"/>
    <n v="4"/>
    <s v="Dr James"/>
    <x v="0"/>
    <s v="Tech C"/>
    <s v="Private"/>
    <s v=" "/>
  </r>
  <r>
    <s v="S1052"/>
    <s v="P48776"/>
    <s v="Male"/>
    <n v="22"/>
    <x v="5"/>
    <s v="Blood"/>
    <x v="1"/>
    <d v="2026-06-18T00:00:00"/>
    <x v="2"/>
    <d v="1899-12-30T15:23:00"/>
    <n v="4"/>
    <d v="2026-06-19T00:00:00"/>
    <d v="1899-12-30T01:23:00"/>
    <n v="10"/>
    <x v="0"/>
    <s v="Accepted"/>
    <x v="0"/>
    <s v="Completed"/>
    <n v="25"/>
    <x v="1"/>
    <x v="2"/>
    <n v="5"/>
    <s v="Dr Ahmed"/>
    <x v="3"/>
    <s v="Tech C"/>
    <s v="HMO"/>
    <s v="Test-department mismatch"/>
  </r>
  <r>
    <s v="S1053"/>
    <s v="P72655"/>
    <s v="Female"/>
    <n v="38"/>
    <x v="2"/>
    <s v="Urine"/>
    <x v="3"/>
    <d v="2026-03-29T00:00:00"/>
    <x v="1"/>
    <d v="1899-12-30T08:46:00"/>
    <n v="8"/>
    <d v="2026-03-29T00:00:00"/>
    <d v="1899-12-30T23:46:00"/>
    <n v="15"/>
    <x v="0"/>
    <s v="Accepted"/>
    <x v="0"/>
    <s v="Completed"/>
    <n v="20"/>
    <x v="1"/>
    <x v="1"/>
    <n v="4"/>
    <s v="Dr Adebayo"/>
    <x v="2"/>
    <s v="Tech C"/>
    <s v="NHIA"/>
    <s v=" "/>
  </r>
  <r>
    <s v="S1054"/>
    <s v="P44811"/>
    <s v="Male"/>
    <n v="74"/>
    <x v="5"/>
    <s v="Blood"/>
    <x v="2"/>
    <d v="2026-04-10T00:00:00"/>
    <x v="0"/>
    <d v="1899-12-30T08:51:00"/>
    <n v="4"/>
    <d v="2026-04-10T00:00:00"/>
    <d v="1899-12-30T15:51:00"/>
    <n v="7"/>
    <x v="0"/>
    <s v="Accepted"/>
    <x v="0"/>
    <s v="Completed"/>
    <n v="25"/>
    <x v="0"/>
    <x v="1"/>
    <n v="1"/>
    <s v="Dr Okafor"/>
    <x v="1"/>
    <s v="Tech B"/>
    <s v="NHIA"/>
    <s v="Test-department mismatch"/>
  </r>
  <r>
    <s v="S1055"/>
    <s v="P63749"/>
    <s v="Male"/>
    <n v="89"/>
    <x v="2"/>
    <s v="Urine"/>
    <x v="3"/>
    <d v="2026-05-16T00:00:00"/>
    <x v="4"/>
    <d v="1899-12-30T11:20:00"/>
    <n v="8"/>
    <d v="2026-05-17T00:00:00"/>
    <d v="1899-12-30T03:20:00"/>
    <n v="16"/>
    <x v="0"/>
    <s v="Accepted"/>
    <x v="0"/>
    <s v="Completed"/>
    <n v="20"/>
    <x v="1"/>
    <x v="1"/>
    <n v="5"/>
    <s v="Dr Adebayo"/>
    <x v="2"/>
    <s v="Tech B"/>
    <s v="Private"/>
    <s v=" "/>
  </r>
  <r>
    <s v="S1056"/>
    <s v="P95561"/>
    <s v="Female"/>
    <n v="51"/>
    <x v="2"/>
    <s v="Urine"/>
    <x v="2"/>
    <d v="2026-01-28T00:00:00"/>
    <x v="3"/>
    <d v="1899-12-30T12:01:00"/>
    <n v="8"/>
    <d v="2026-01-29T00:00:00"/>
    <d v="1899-12-30T03:01:00"/>
    <n v="15"/>
    <x v="0"/>
    <s v="Accepted"/>
    <x v="0"/>
    <s v="Completed"/>
    <n v="20"/>
    <x v="1"/>
    <x v="0"/>
    <n v="5"/>
    <s v="Dr Okafor"/>
    <x v="2"/>
    <s v="Tech A"/>
    <s v="HMO"/>
    <s v="Test-department mismatch"/>
  </r>
  <r>
    <s v="S1057"/>
    <s v="P81426"/>
    <s v="Male"/>
    <n v="30"/>
    <x v="4"/>
    <s v="Blood"/>
    <x v="0"/>
    <d v="2026-02-22T00:00:00"/>
    <x v="5"/>
    <d v="1899-12-30T08:36:00"/>
    <n v="6"/>
    <d v="2026-02-22T00:00:00"/>
    <d v="1899-12-30T22:36:00"/>
    <n v="14"/>
    <x v="0"/>
    <s v="Accepted"/>
    <x v="0"/>
    <s v="Completed"/>
    <n v="40"/>
    <x v="1"/>
    <x v="2"/>
    <n v="3"/>
    <s v="Dr Ahmed"/>
    <x v="3"/>
    <s v="Tech C"/>
    <s v="NHIA"/>
    <s v=" "/>
  </r>
  <r>
    <s v="S1058"/>
    <s v="P79834"/>
    <s v="Female"/>
    <n v="36"/>
    <x v="2"/>
    <s v="Urine"/>
    <x v="3"/>
    <d v="2026-05-20T00:00:00"/>
    <x v="4"/>
    <d v="1899-12-30T14:54:00"/>
    <n v="8"/>
    <d v="2026-05-21T00:00:00"/>
    <d v="1899-12-30T04:54:00"/>
    <n v="14"/>
    <x v="0"/>
    <s v="Accepted"/>
    <x v="0"/>
    <s v="Completed"/>
    <n v="20"/>
    <x v="1"/>
    <x v="0"/>
    <n v="2"/>
    <s v="Dr Adebayo"/>
    <x v="1"/>
    <s v="Tech A"/>
    <s v="NHIA"/>
    <s v=" "/>
  </r>
  <r>
    <s v="S1059"/>
    <s v="P70532"/>
    <s v="Female"/>
    <n v="9"/>
    <x v="0"/>
    <s v="Blood"/>
    <x v="4"/>
    <d v="2026-01-25T00:00:00"/>
    <x v="3"/>
    <d v="1899-12-30T12:05:00"/>
    <n v="5"/>
    <d v="2026-01-25T00:00:00"/>
    <d v="1899-12-30T17:05:00"/>
    <n v="5"/>
    <x v="1"/>
    <s v="Accepted"/>
    <x v="0"/>
    <s v="Completed"/>
    <n v="35"/>
    <x v="0"/>
    <x v="2"/>
    <n v="2"/>
    <s v="Dr Okafor"/>
    <x v="3"/>
    <s v="Tech A"/>
    <s v="NHIA"/>
    <s v="Test-department mismatch"/>
  </r>
  <r>
    <s v="S1060"/>
    <s v="P32907"/>
    <s v="Female"/>
    <n v="75"/>
    <x v="3"/>
    <s v="Blood"/>
    <x v="3"/>
    <d v="2026-06-24T00:00:00"/>
    <x v="2"/>
    <d v="1899-12-30T07:15:00"/>
    <n v="24"/>
    <d v="2026-06-25T00:00:00"/>
    <d v="1899-12-30T06:15:00"/>
    <n v="23"/>
    <x v="1"/>
    <s v="Accepted"/>
    <x v="0"/>
    <s v="Completed"/>
    <n v="50"/>
    <x v="0"/>
    <x v="1"/>
    <n v="3"/>
    <s v="Dr Adebayo"/>
    <x v="3"/>
    <s v="Tech A"/>
    <s v="Private"/>
    <s v="Female patient with PSA test; Test-department mismatch"/>
  </r>
  <r>
    <s v="S1061"/>
    <s v="P55771"/>
    <s v="Male"/>
    <n v="46"/>
    <x v="0"/>
    <s v="Blood"/>
    <x v="4"/>
    <d v="2026-06-01T00:00:00"/>
    <x v="2"/>
    <d v="1899-12-30T09:28:00"/>
    <n v="5"/>
    <d v="2026-06-01T00:00:00"/>
    <d v="1899-12-30T18:28:00"/>
    <n v="9"/>
    <x v="0"/>
    <s v="Accepted"/>
    <x v="0"/>
    <s v="Completed"/>
    <n v="35"/>
    <x v="1"/>
    <x v="1"/>
    <n v="3"/>
    <s v="Dr James"/>
    <x v="3"/>
    <s v="Tech C"/>
    <s v="NHIA"/>
    <s v="Test-department mismatch"/>
  </r>
  <r>
    <s v="S1062"/>
    <s v="P63103"/>
    <s v="Female"/>
    <n v="65"/>
    <x v="0"/>
    <s v="Blood"/>
    <x v="0"/>
    <d v="2026-02-09T00:00:00"/>
    <x v="5"/>
    <d v="1899-12-30T16:52:00"/>
    <n v="5"/>
    <d v="2026-02-10T00:00:00"/>
    <d v="1899-12-30T02:52:00"/>
    <n v="10"/>
    <x v="0"/>
    <s v="Accepted"/>
    <x v="0"/>
    <s v="Completed"/>
    <n v="35"/>
    <x v="0"/>
    <x v="2"/>
    <n v="2"/>
    <s v="Dr James"/>
    <x v="1"/>
    <s v="Tech A"/>
    <s v="Private"/>
    <s v=" "/>
  </r>
  <r>
    <s v="S1063"/>
    <s v="P77346"/>
    <s v="Female"/>
    <n v="31"/>
    <x v="2"/>
    <s v="Urine"/>
    <x v="1"/>
    <d v="2026-02-01T00:00:00"/>
    <x v="5"/>
    <d v="1899-12-30T07:21:00"/>
    <n v="8"/>
    <d v="2026-02-01T00:00:00"/>
    <d v="1899-12-30T22:21:00"/>
    <n v="15"/>
    <x v="0"/>
    <s v="Accepted"/>
    <x v="0"/>
    <s v="Completed"/>
    <n v="20"/>
    <x v="0"/>
    <x v="0"/>
    <n v="4"/>
    <s v="Dr Adebayo"/>
    <x v="3"/>
    <s v="Tech B"/>
    <s v="Private"/>
    <s v="Test-department mismatch"/>
  </r>
  <r>
    <s v="S1064"/>
    <s v="P70542"/>
    <s v="Male"/>
    <n v="43"/>
    <x v="5"/>
    <s v="Blood"/>
    <x v="3"/>
    <d v="2026-04-13T00:00:00"/>
    <x v="0"/>
    <d v="1899-12-30T14:18:00"/>
    <n v="4"/>
    <d v="2026-04-13T00:00:00"/>
    <d v="1899-12-30T22:18:00"/>
    <n v="8"/>
    <x v="0"/>
    <s v="Accepted"/>
    <x v="0"/>
    <s v="Completed"/>
    <n v="25"/>
    <x v="1"/>
    <x v="0"/>
    <n v="3"/>
    <s v="Dr Okafor"/>
    <x v="2"/>
    <s v="Tech A"/>
    <s v="Private"/>
    <s v="Test-department mismatch"/>
  </r>
  <r>
    <s v="S1065"/>
    <s v="P85767"/>
    <s v="Female"/>
    <n v="76"/>
    <x v="1"/>
    <s v="Blood"/>
    <x v="3"/>
    <d v="2026-05-24T00:00:00"/>
    <x v="4"/>
    <d v="1899-12-30T10:03:00"/>
    <n v="3"/>
    <d v="2026-05-24T00:00:00"/>
    <d v="1899-12-30T18:03:00"/>
    <n v="8"/>
    <x v="0"/>
    <s v="Rejected"/>
    <x v="2"/>
    <s v="Completed"/>
    <n v="15"/>
    <x v="0"/>
    <x v="0"/>
    <n v="5"/>
    <s v="Dr Okafor"/>
    <x v="0"/>
    <s v="Tech A"/>
    <s v="NHIA"/>
    <s v="Test-department mismatch;Sample-test status mismatch; Rejected sample with released result"/>
  </r>
  <r>
    <s v="S1066"/>
    <s v="P34505"/>
    <s v="Male"/>
    <n v="87"/>
    <x v="1"/>
    <s v="Blood"/>
    <x v="2"/>
    <d v="2026-02-05T00:00:00"/>
    <x v="5"/>
    <d v="1899-12-30T15:05:00"/>
    <n v="3"/>
    <d v="2026-02-06T00:00:00"/>
    <d v="1899-12-30T02:05:00"/>
    <n v="11"/>
    <x v="0"/>
    <s v="Accepted"/>
    <x v="0"/>
    <s v="Completed"/>
    <n v="15"/>
    <x v="0"/>
    <x v="2"/>
    <n v="2"/>
    <s v="Dr Adebayo"/>
    <x v="1"/>
    <s v="Tech C"/>
    <s v="Private"/>
    <m/>
  </r>
  <r>
    <s v="S1067"/>
    <s v="P55230"/>
    <s v="Male"/>
    <n v="58"/>
    <x v="5"/>
    <s v="Blood"/>
    <x v="1"/>
    <d v="2026-06-09T00:00:00"/>
    <x v="2"/>
    <d v="1899-12-30T07:08:00"/>
    <n v="4"/>
    <d v="2026-06-09T00:00:00"/>
    <d v="1899-12-30T19:08:00"/>
    <n v="12"/>
    <x v="0"/>
    <s v="Rejected"/>
    <x v="1"/>
    <s v="Completed"/>
    <n v="25"/>
    <x v="0"/>
    <x v="2"/>
    <n v="3"/>
    <s v="Dr Adebayo"/>
    <x v="2"/>
    <s v="Tech C"/>
    <s v="NHIA"/>
    <s v="Test-department mismatch;Sample-test status mismatch; Rejected sample with released result"/>
  </r>
  <r>
    <s v="S1068"/>
    <s v="P60563"/>
    <s v="Male"/>
    <n v="82"/>
    <x v="4"/>
    <s v="Blood"/>
    <x v="0"/>
    <d v="2026-04-18T00:00:00"/>
    <x v="0"/>
    <d v="1899-12-30T12:29:00"/>
    <n v="6"/>
    <d v="2026-04-19T00:00:00"/>
    <d v="1899-12-30T00:29:00"/>
    <n v="12"/>
    <x v="0"/>
    <s v="Accepted"/>
    <x v="0"/>
    <s v="Completed"/>
    <n v="40"/>
    <x v="1"/>
    <x v="0"/>
    <n v="2"/>
    <s v="Dr Okafor"/>
    <x v="1"/>
    <s v="Tech A"/>
    <s v="HMO"/>
    <s v=" "/>
  </r>
  <r>
    <s v="S1069"/>
    <s v="P92964"/>
    <s v="Female"/>
    <n v="62"/>
    <x v="4"/>
    <s v="Blood"/>
    <x v="0"/>
    <d v="2026-04-11T00:00:00"/>
    <x v="0"/>
    <d v="1899-12-30T14:23:00"/>
    <n v="6"/>
    <d v="2026-04-12T00:00:00"/>
    <d v="1899-12-30T03:23:00"/>
    <n v="13"/>
    <x v="0"/>
    <s v="Accepted"/>
    <x v="0"/>
    <s v="Completed"/>
    <n v="40"/>
    <x v="1"/>
    <x v="0"/>
    <n v="3"/>
    <s v="Dr Adebayo"/>
    <x v="0"/>
    <s v="Tech A"/>
    <s v="NHIA"/>
    <s v=" "/>
  </r>
  <r>
    <s v="S1070"/>
    <s v="P63263"/>
    <s v="Male"/>
    <n v="78"/>
    <x v="5"/>
    <s v="Blood"/>
    <x v="1"/>
    <d v="2026-02-01T00:00:00"/>
    <x v="5"/>
    <d v="1899-12-30T10:00:00"/>
    <n v="4"/>
    <d v="2026-02-01T00:00:00"/>
    <d v="1899-12-30T19:00:00"/>
    <n v="9"/>
    <x v="0"/>
    <s v="Accepted"/>
    <x v="0"/>
    <s v="Completed"/>
    <n v="25"/>
    <x v="0"/>
    <x v="1"/>
    <n v="4"/>
    <s v="Dr James"/>
    <x v="0"/>
    <s v="Tech C"/>
    <s v="HMO"/>
    <s v="Test-department mismatch"/>
  </r>
  <r>
    <s v="S1071"/>
    <s v="P77754"/>
    <s v="Female"/>
    <n v="52"/>
    <x v="5"/>
    <s v="Blood"/>
    <x v="4"/>
    <d v="2026-03-30T00:00:00"/>
    <x v="1"/>
    <d v="1899-12-30T11:52:00"/>
    <n v="4"/>
    <d v="2026-03-30T00:00:00"/>
    <d v="1899-12-30T20:52:00"/>
    <n v="9"/>
    <x v="0"/>
    <s v="Accepted"/>
    <x v="0"/>
    <s v="Completed"/>
    <n v="25"/>
    <x v="1"/>
    <x v="1"/>
    <n v="1"/>
    <s v="Dr Okafor"/>
    <x v="0"/>
    <s v="Tech C"/>
    <s v="Private"/>
    <s v="Test-department mismatch"/>
  </r>
  <r>
    <s v="S1072"/>
    <s v="P14264"/>
    <s v="Male"/>
    <n v="40"/>
    <x v="4"/>
    <s v="Blood"/>
    <x v="3"/>
    <d v="2026-06-01T00:00:00"/>
    <x v="2"/>
    <d v="1899-12-30T14:42:00"/>
    <n v="6"/>
    <d v="2026-06-02T00:00:00"/>
    <d v="1899-12-30T04:42:00"/>
    <n v="14"/>
    <x v="0"/>
    <s v="Accepted"/>
    <x v="0"/>
    <s v="Completed"/>
    <n v="40"/>
    <x v="0"/>
    <x v="2"/>
    <n v="4"/>
    <s v="Dr Ahmed"/>
    <x v="1"/>
    <s v="Tech C"/>
    <s v="NHIA"/>
    <s v="Test-department mismatch"/>
  </r>
  <r>
    <s v="S1073"/>
    <s v="P51043"/>
    <s v="Male"/>
    <n v="67"/>
    <x v="3"/>
    <s v="Blood"/>
    <x v="4"/>
    <d v="2026-01-04T00:00:00"/>
    <x v="3"/>
    <d v="1899-12-30T12:36:00"/>
    <n v="24"/>
    <d v="2026-01-05T00:00:00"/>
    <d v="1899-12-30T15:36:00"/>
    <n v="27"/>
    <x v="0"/>
    <s v="Accepted"/>
    <x v="0"/>
    <s v="Completed"/>
    <n v="50"/>
    <x v="1"/>
    <x v="1"/>
    <n v="5"/>
    <s v="Dr James"/>
    <x v="3"/>
    <s v="Tech C"/>
    <s v="Private"/>
    <s v=" "/>
  </r>
  <r>
    <s v="S1074"/>
    <s v="P99134"/>
    <s v="Female"/>
    <n v="81"/>
    <x v="4"/>
    <s v="Blood"/>
    <x v="4"/>
    <d v="2026-04-08T00:00:00"/>
    <x v="0"/>
    <d v="1899-12-30T14:00:00"/>
    <n v="6"/>
    <d v="2026-04-08T00:00:00"/>
    <d v="1899-12-30T20:00:00"/>
    <n v="6"/>
    <x v="1"/>
    <s v="Accepted"/>
    <x v="0"/>
    <s v="Completed"/>
    <n v="40"/>
    <x v="1"/>
    <x v="0"/>
    <n v="2"/>
    <s v="Dr James"/>
    <x v="0"/>
    <s v="Tech C"/>
    <s v="HMO"/>
    <s v="Test-department mismatch"/>
  </r>
  <r>
    <s v="S1075"/>
    <s v="P92159"/>
    <s v="Female"/>
    <n v="50"/>
    <x v="1"/>
    <s v="Blood"/>
    <x v="4"/>
    <d v="2026-04-04T00:00:00"/>
    <x v="0"/>
    <d v="1899-12-30T12:05:00"/>
    <n v="3"/>
    <d v="2026-04-04T00:00:00"/>
    <d v="1899-12-30T21:05:00"/>
    <n v="9"/>
    <x v="0"/>
    <s v="Rejected"/>
    <x v="1"/>
    <s v="Completed"/>
    <n v="15"/>
    <x v="1"/>
    <x v="1"/>
    <n v="5"/>
    <s v="Dr Adebayo"/>
    <x v="3"/>
    <s v="Tech A"/>
    <s v="Private"/>
    <s v="Test-department mismatch; Sample-test status mismatch; Rejected sample with released result"/>
  </r>
  <r>
    <s v="S1076"/>
    <s v="P84591"/>
    <s v="Male"/>
    <n v="5"/>
    <x v="3"/>
    <s v="Blood"/>
    <x v="4"/>
    <d v="2026-01-30T00:00:00"/>
    <x v="3"/>
    <d v="1899-12-30T07:42:00"/>
    <n v="24"/>
    <d v="2026-01-31T00:00:00"/>
    <d v="1899-12-30T09:42:00"/>
    <n v="26"/>
    <x v="0"/>
    <s v="Accepted"/>
    <x v="0"/>
    <s v="Completed"/>
    <n v="50"/>
    <x v="1"/>
    <x v="1"/>
    <n v="1"/>
    <s v="Dr Adebayo"/>
    <x v="1"/>
    <s v="Tech C"/>
    <s v="HMO"/>
    <s v="Suspicious Test-Age Combination"/>
  </r>
  <r>
    <s v="S1077"/>
    <s v="P57025"/>
    <s v="Male"/>
    <n v="39"/>
    <x v="4"/>
    <s v="Blood"/>
    <x v="3"/>
    <d v="2026-02-21T00:00:00"/>
    <x v="5"/>
    <d v="1899-12-30T09:18:00"/>
    <n v="6"/>
    <d v="2026-02-21T00:00:00"/>
    <d v="1899-12-30T23:18:00"/>
    <n v="14"/>
    <x v="0"/>
    <s v="Accepted"/>
    <x v="0"/>
    <s v="Completed"/>
    <n v="40"/>
    <x v="1"/>
    <x v="1"/>
    <n v="3"/>
    <s v="Dr Okafor"/>
    <x v="2"/>
    <s v="Tech A"/>
    <s v="Private"/>
    <s v="Test-department mismatch"/>
  </r>
  <r>
    <s v="S1078"/>
    <s v="P58070"/>
    <s v="Female"/>
    <n v="83"/>
    <x v="0"/>
    <s v="Blood"/>
    <x v="1"/>
    <d v="2026-05-09T00:00:00"/>
    <x v="4"/>
    <d v="1899-12-30T16:41:00"/>
    <n v="5"/>
    <d v="2026-05-10T00:00:00"/>
    <d v="1899-12-30T05:41:00"/>
    <n v="13"/>
    <x v="0"/>
    <s v="Accepted"/>
    <x v="0"/>
    <s v="Completed"/>
    <n v="35"/>
    <x v="0"/>
    <x v="0"/>
    <n v="4"/>
    <s v="Dr James"/>
    <x v="1"/>
    <s v="Tech B"/>
    <s v="Private"/>
    <s v="Test-department mismatch"/>
  </r>
  <r>
    <s v="S1079"/>
    <s v="P49088"/>
    <s v="Female"/>
    <n v="4"/>
    <x v="4"/>
    <s v="Blood"/>
    <x v="1"/>
    <d v="2026-02-08T00:00:00"/>
    <x v="5"/>
    <d v="1899-12-30T07:14:00"/>
    <n v="6"/>
    <d v="2026-02-08T00:00:00"/>
    <d v="1899-12-30T17:14:00"/>
    <n v="10"/>
    <x v="0"/>
    <s v="Accepted"/>
    <x v="0"/>
    <s v="Completed"/>
    <n v="40"/>
    <x v="0"/>
    <x v="0"/>
    <n v="2"/>
    <s v="Dr Adebayo"/>
    <x v="1"/>
    <s v="Tech C"/>
    <s v="HMO"/>
    <s v="Test-department mismatch"/>
  </r>
  <r>
    <s v="S1080"/>
    <s v="P83818"/>
    <s v="Male"/>
    <n v="47"/>
    <x v="1"/>
    <s v="Blood"/>
    <x v="3"/>
    <d v="2026-02-17T00:00:00"/>
    <x v="5"/>
    <d v="1899-12-30T09:53:00"/>
    <n v="3"/>
    <d v="2026-02-17T00:00:00"/>
    <d v="1899-12-30T11:53:00"/>
    <n v="2"/>
    <x v="1"/>
    <s v="Accepted"/>
    <x v="0"/>
    <s v="Completed"/>
    <n v="15"/>
    <x v="0"/>
    <x v="2"/>
    <n v="2"/>
    <s v="Dr Adebayo"/>
    <x v="1"/>
    <s v="Tech A"/>
    <s v="Private"/>
    <s v="Test-department mismatch"/>
  </r>
  <r>
    <s v="S1081"/>
    <s v="P39776"/>
    <s v="Female"/>
    <n v="28"/>
    <x v="3"/>
    <s v="Blood"/>
    <x v="4"/>
    <d v="2026-02-07T00:00:00"/>
    <x v="5"/>
    <d v="1899-12-30T08:38:00"/>
    <n v="24"/>
    <d v="2026-02-08T00:00:00"/>
    <d v="1899-12-30T07:38:00"/>
    <n v="23"/>
    <x v="1"/>
    <s v="Accepted"/>
    <x v="0"/>
    <s v="Completed"/>
    <n v="50"/>
    <x v="1"/>
    <x v="1"/>
    <n v="4"/>
    <s v="Dr Adebayo"/>
    <x v="3"/>
    <s v="Tech A"/>
    <s v="HMO"/>
    <s v="Female patient with PSA test"/>
  </r>
  <r>
    <s v="S1082"/>
    <s v="P12531"/>
    <s v="Male"/>
    <n v="85"/>
    <x v="2"/>
    <s v="Urine"/>
    <x v="3"/>
    <d v="2026-03-13T00:00:00"/>
    <x v="1"/>
    <d v="1899-12-30T16:39:00"/>
    <n v="8"/>
    <d v="2026-03-14T00:00:00"/>
    <d v="1899-12-30T07:39:00"/>
    <n v="15"/>
    <x v="0"/>
    <s v="Accepted"/>
    <x v="0"/>
    <s v="Completed"/>
    <n v="20"/>
    <x v="1"/>
    <x v="0"/>
    <n v="3"/>
    <s v="Dr James"/>
    <x v="3"/>
    <s v="Tech B"/>
    <s v="HMO"/>
    <s v=" "/>
  </r>
  <r>
    <s v="S1083"/>
    <s v="P60240"/>
    <s v="Male"/>
    <n v="77"/>
    <x v="1"/>
    <s v="Blood"/>
    <x v="2"/>
    <d v="2026-03-23T00:00:00"/>
    <x v="1"/>
    <d v="1899-12-30T11:18:00"/>
    <n v="3"/>
    <d v="2026-03-23T00:00:00"/>
    <d v="1899-12-30T16:18:00"/>
    <n v="5"/>
    <x v="0"/>
    <s v="Accepted"/>
    <x v="0"/>
    <s v="Completed"/>
    <n v="15"/>
    <x v="1"/>
    <x v="0"/>
    <n v="1"/>
    <s v="Dr Okafor"/>
    <x v="2"/>
    <s v="Tech C"/>
    <s v="HMO"/>
    <m/>
  </r>
  <r>
    <s v="S1084"/>
    <s v="P29648"/>
    <s v="Female"/>
    <n v="5"/>
    <x v="0"/>
    <s v="Blood"/>
    <x v="0"/>
    <d v="2026-01-09T00:00:00"/>
    <x v="3"/>
    <d v="1899-12-30T08:05:00"/>
    <n v="5"/>
    <d v="2026-01-09T00:00:00"/>
    <d v="1899-12-30T12:05:00"/>
    <n v="4"/>
    <x v="1"/>
    <s v="Accepted"/>
    <x v="0"/>
    <s v="Completed"/>
    <n v="35"/>
    <x v="1"/>
    <x v="2"/>
    <n v="2"/>
    <s v="Dr Ahmed"/>
    <x v="0"/>
    <s v="Tech C"/>
    <s v="Private"/>
    <s v=" "/>
  </r>
  <r>
    <s v="S1085"/>
    <s v="P74749"/>
    <s v="Female"/>
    <n v="13"/>
    <x v="5"/>
    <s v="Blood"/>
    <x v="3"/>
    <d v="2026-04-22T00:00:00"/>
    <x v="0"/>
    <d v="1899-12-30T12:19:00"/>
    <n v="4"/>
    <d v="2026-04-22T00:00:00"/>
    <d v="1899-12-30T20:19:00"/>
    <n v="8"/>
    <x v="0"/>
    <s v="Accepted"/>
    <x v="0"/>
    <s v="Completed"/>
    <n v="25"/>
    <x v="0"/>
    <x v="1"/>
    <n v="4"/>
    <s v="Dr Ahmed"/>
    <x v="1"/>
    <s v="Tech B"/>
    <s v="NHIA"/>
    <s v="Test-department mismatch"/>
  </r>
  <r>
    <s v="S1086"/>
    <s v="P91443"/>
    <s v="Female"/>
    <n v="2"/>
    <x v="3"/>
    <s v="Blood"/>
    <x v="1"/>
    <d v="2026-03-03T00:00:00"/>
    <x v="1"/>
    <d v="1899-12-30T09:22:00"/>
    <n v="24"/>
    <d v="2026-03-04T00:00:00"/>
    <d v="1899-12-30T08:22:00"/>
    <n v="23"/>
    <x v="1"/>
    <s v="Accepted"/>
    <x v="0"/>
    <s v="Completed"/>
    <n v="50"/>
    <x v="1"/>
    <x v="2"/>
    <n v="1"/>
    <s v="Dr Adebayo"/>
    <x v="1"/>
    <s v="Tech B"/>
    <s v="NHIA"/>
    <s v="Female patient with PSA test; Suspicious Test-Age Combination; Test-department mismatch"/>
  </r>
  <r>
    <s v="S1087"/>
    <s v="P33042"/>
    <s v="Female"/>
    <n v="69"/>
    <x v="4"/>
    <s v="Blood"/>
    <x v="3"/>
    <d v="2026-05-21T00:00:00"/>
    <x v="4"/>
    <d v="1899-12-30T14:29:00"/>
    <n v="6"/>
    <d v="2026-05-21T00:00:00"/>
    <d v="1899-12-30T22:29:00"/>
    <n v="8"/>
    <x v="0"/>
    <s v="Accepted"/>
    <x v="0"/>
    <s v="Completed"/>
    <n v="40"/>
    <x v="1"/>
    <x v="1"/>
    <n v="5"/>
    <s v="Dr Ahmed"/>
    <x v="2"/>
    <s v="Tech C"/>
    <s v="Private"/>
    <s v="Test-department mismatch"/>
  </r>
  <r>
    <s v="S1088"/>
    <s v="P50089"/>
    <s v="Female"/>
    <n v="84"/>
    <x v="3"/>
    <s v="Blood"/>
    <x v="3"/>
    <d v="2026-04-21T00:00:00"/>
    <x v="0"/>
    <d v="1899-12-30T07:23:00"/>
    <n v="24"/>
    <d v="2026-04-22T00:00:00"/>
    <d v="1899-12-30T12:23:00"/>
    <n v="29"/>
    <x v="0"/>
    <s v="Accepted"/>
    <x v="0"/>
    <s v="Completed"/>
    <n v="50"/>
    <x v="1"/>
    <x v="1"/>
    <n v="2"/>
    <s v="Dr Ahmed"/>
    <x v="2"/>
    <s v="Tech B"/>
    <s v="Private"/>
    <s v="Female patient with PSA test; Test-department mismatch"/>
  </r>
  <r>
    <s v="S1089"/>
    <s v="P89051"/>
    <s v="Female"/>
    <n v="47"/>
    <x v="1"/>
    <s v="Blood"/>
    <x v="3"/>
    <d v="2026-06-02T00:00:00"/>
    <x v="2"/>
    <d v="1899-12-30T07:34:00"/>
    <n v="3"/>
    <d v="2026-06-02T00:00:00"/>
    <d v="1899-12-30T10:34:00"/>
    <n v="3"/>
    <x v="1"/>
    <s v="Accepted"/>
    <x v="0"/>
    <s v="Completed"/>
    <n v="15"/>
    <x v="1"/>
    <x v="1"/>
    <n v="2"/>
    <s v="Dr Okafor"/>
    <x v="2"/>
    <s v="Tech A"/>
    <s v="Private"/>
    <s v="Test-department mismatch"/>
  </r>
  <r>
    <s v="S1090"/>
    <s v="P52526"/>
    <s v="Female"/>
    <n v="9"/>
    <x v="0"/>
    <s v="Blood"/>
    <x v="3"/>
    <d v="2026-06-02T00:00:00"/>
    <x v="2"/>
    <d v="1899-12-30T12:10:00"/>
    <n v="5"/>
    <d v="2026-06-03T00:00:00"/>
    <d v="1899-12-30T01:10:00"/>
    <n v="13"/>
    <x v="0"/>
    <s v="Accepted"/>
    <x v="0"/>
    <s v="Completed"/>
    <n v="35"/>
    <x v="1"/>
    <x v="1"/>
    <n v="1"/>
    <s v="Dr Adebayo"/>
    <x v="2"/>
    <s v="Tech A"/>
    <s v="NHIA"/>
    <s v="Test-department mismatch"/>
  </r>
  <r>
    <s v="S1091"/>
    <s v="P98824"/>
    <s v="Male"/>
    <n v="2"/>
    <x v="5"/>
    <s v="Blood"/>
    <x v="0"/>
    <d v="2026-06-23T00:00:00"/>
    <x v="2"/>
    <d v="1899-12-30T10:06:00"/>
    <n v="4"/>
    <d v="2026-06-23T00:00:00"/>
    <d v="1899-12-30T19:06:00"/>
    <n v="9"/>
    <x v="0"/>
    <s v="Accepted"/>
    <x v="0"/>
    <s v="Completed"/>
    <n v="25"/>
    <x v="0"/>
    <x v="2"/>
    <n v="2"/>
    <s v="Dr Ahmed"/>
    <x v="3"/>
    <s v="Tech A"/>
    <s v="HMO"/>
    <s v="Test-department mismatch"/>
  </r>
  <r>
    <s v="S1092"/>
    <s v="P10123"/>
    <s v="Male"/>
    <n v="87"/>
    <x v="1"/>
    <s v="Blood"/>
    <x v="1"/>
    <d v="2026-02-06T00:00:00"/>
    <x v="5"/>
    <d v="1899-12-30T15:56:00"/>
    <n v="3"/>
    <d v="2026-02-06T00:00:00"/>
    <d v="1899-12-30T19:56:00"/>
    <n v="4"/>
    <x v="0"/>
    <s v="Accepted"/>
    <x v="0"/>
    <s v="Completed"/>
    <n v="15"/>
    <x v="0"/>
    <x v="0"/>
    <n v="3"/>
    <s v="Dr Okafor"/>
    <x v="2"/>
    <s v="Tech C"/>
    <s v="Private"/>
    <s v="Test-department mismatch"/>
  </r>
  <r>
    <s v="S1093"/>
    <s v="P13974"/>
    <s v="Female"/>
    <n v="58"/>
    <x v="0"/>
    <s v="Blood"/>
    <x v="1"/>
    <d v="2026-06-19T00:00:00"/>
    <x v="2"/>
    <d v="1899-12-30T12:48:00"/>
    <n v="5"/>
    <d v="2026-06-19T00:00:00"/>
    <d v="1899-12-30T20:48:00"/>
    <n v="8"/>
    <x v="0"/>
    <s v="Accepted"/>
    <x v="0"/>
    <s v="Completed"/>
    <n v="35"/>
    <x v="1"/>
    <x v="1"/>
    <n v="4"/>
    <s v="Dr Ahmed"/>
    <x v="0"/>
    <s v="Tech C"/>
    <s v="Private"/>
    <s v="Test-department mismatch"/>
  </r>
  <r>
    <s v="S1094"/>
    <s v="P98298"/>
    <s v="Male"/>
    <n v="68"/>
    <x v="2"/>
    <s v="Urine"/>
    <x v="2"/>
    <d v="2026-02-23T00:00:00"/>
    <x v="5"/>
    <d v="1899-12-30T10:16:00"/>
    <n v="8"/>
    <d v="2026-02-23T00:00:00"/>
    <d v="1899-12-30T21:16:00"/>
    <n v="11"/>
    <x v="0"/>
    <s v="Accepted"/>
    <x v="0"/>
    <s v="Completed"/>
    <n v="20"/>
    <x v="1"/>
    <x v="0"/>
    <n v="1"/>
    <s v="Dr James"/>
    <x v="2"/>
    <s v="Tech B"/>
    <s v="Private"/>
    <s v="Test-department mismatch"/>
  </r>
  <r>
    <s v="S1095"/>
    <s v="P42120"/>
    <s v="Female"/>
    <n v="89"/>
    <x v="1"/>
    <s v="Blood"/>
    <x v="2"/>
    <d v="2026-05-11T00:00:00"/>
    <x v="4"/>
    <d v="1899-12-30T11:29:00"/>
    <n v="3"/>
    <d v="2026-05-11T00:00:00"/>
    <d v="1899-12-30T19:29:00"/>
    <n v="8"/>
    <x v="0"/>
    <s v="Accepted"/>
    <x v="0"/>
    <s v="Completed"/>
    <n v="15"/>
    <x v="1"/>
    <x v="2"/>
    <n v="3"/>
    <s v="Dr James"/>
    <x v="3"/>
    <s v="Tech B"/>
    <s v="Private"/>
    <m/>
  </r>
  <r>
    <s v="S1096"/>
    <s v="P30282"/>
    <s v="Male"/>
    <n v="41"/>
    <x v="2"/>
    <s v="Urine"/>
    <x v="0"/>
    <d v="2026-04-20T00:00:00"/>
    <x v="0"/>
    <d v="1899-12-30T11:08:00"/>
    <n v="8"/>
    <d v="2026-04-20T00:00:00"/>
    <d v="1899-12-30T19:08:00"/>
    <n v="8"/>
    <x v="1"/>
    <s v="Accepted"/>
    <x v="0"/>
    <s v="Completed"/>
    <n v="20"/>
    <x v="0"/>
    <x v="1"/>
    <n v="2"/>
    <s v="Dr Ahmed"/>
    <x v="2"/>
    <s v="Tech C"/>
    <s v="NHIA"/>
    <s v="Test-department mismatch"/>
  </r>
  <r>
    <s v="S1097"/>
    <s v="P71510"/>
    <s v="Male"/>
    <n v="88"/>
    <x v="3"/>
    <s v="Blood"/>
    <x v="4"/>
    <d v="2026-06-26T00:00:00"/>
    <x v="2"/>
    <d v="1899-12-30T14:22:00"/>
    <n v="24"/>
    <d v="2026-06-27T00:00:00"/>
    <d v="1899-12-30T17:22:00"/>
    <n v="27"/>
    <x v="0"/>
    <s v="Accepted"/>
    <x v="0"/>
    <s v="Completed"/>
    <n v="50"/>
    <x v="0"/>
    <x v="1"/>
    <n v="4"/>
    <s v="Dr Adebayo"/>
    <x v="0"/>
    <s v="Tech A"/>
    <s v="NHIA"/>
    <s v=" "/>
  </r>
  <r>
    <s v="S1098"/>
    <s v="P87495"/>
    <s v="Male"/>
    <n v="74"/>
    <x v="2"/>
    <s v="Urine"/>
    <x v="3"/>
    <d v="2026-03-26T00:00:00"/>
    <x v="1"/>
    <d v="1899-12-30T16:06:00"/>
    <n v="8"/>
    <d v="2026-03-27T00:00:00"/>
    <d v="1899-12-30T05:06:00"/>
    <n v="13"/>
    <x v="0"/>
    <s v="Accepted"/>
    <x v="0"/>
    <s v="Completed"/>
    <n v="20"/>
    <x v="0"/>
    <x v="2"/>
    <n v="5"/>
    <s v="Dr Adebayo"/>
    <x v="0"/>
    <s v="Tech C"/>
    <s v="HMO"/>
    <s v=" "/>
  </r>
  <r>
    <s v="S1099"/>
    <s v="P26915"/>
    <s v="Female"/>
    <n v="49"/>
    <x v="4"/>
    <s v="Blood"/>
    <x v="1"/>
    <d v="2026-06-17T00:00:00"/>
    <x v="2"/>
    <d v="1899-12-30T11:53:00"/>
    <n v="6"/>
    <d v="2026-06-17T00:00:00"/>
    <d v="1899-12-30T21:53:00"/>
    <n v="10"/>
    <x v="0"/>
    <s v="Accepted"/>
    <x v="0"/>
    <s v="Completed"/>
    <n v="40"/>
    <x v="0"/>
    <x v="0"/>
    <n v="1"/>
    <s v="Dr Adebayo"/>
    <x v="2"/>
    <s v="Tech B"/>
    <s v="HMO"/>
    <s v="Test-department mismatch"/>
  </r>
  <r>
    <s v="S1100"/>
    <s v="P94265"/>
    <s v="Female"/>
    <n v="52"/>
    <x v="0"/>
    <s v="Blood"/>
    <x v="4"/>
    <d v="2026-02-09T00:00:00"/>
    <x v="5"/>
    <d v="1899-12-30T13:07:00"/>
    <n v="5"/>
    <d v="2026-02-10T00:00:00"/>
    <d v="1899-12-30T01:07:00"/>
    <n v="12"/>
    <x v="0"/>
    <s v="Accepted"/>
    <x v="0"/>
    <s v="Completed"/>
    <n v="35"/>
    <x v="1"/>
    <x v="2"/>
    <n v="5"/>
    <s v="Dr Adebayo"/>
    <x v="1"/>
    <s v="Tech C"/>
    <s v="NHIA"/>
    <s v="Test-department mismatch"/>
  </r>
  <r>
    <s v="S1101"/>
    <s v="P10264"/>
    <s v="Female"/>
    <n v="28"/>
    <x v="3"/>
    <s v="Blood"/>
    <x v="4"/>
    <d v="2026-04-05T00:00:00"/>
    <x v="0"/>
    <d v="1899-12-30T09:44:00"/>
    <n v="24"/>
    <d v="2026-04-06T00:00:00"/>
    <d v="1899-12-30T16:44:00"/>
    <n v="31"/>
    <x v="0"/>
    <s v="Accepted"/>
    <x v="0"/>
    <s v="Completed"/>
    <n v="50"/>
    <x v="0"/>
    <x v="1"/>
    <n v="2"/>
    <s v="Dr Ahmed"/>
    <x v="2"/>
    <s v="Tech A"/>
    <s v="NHIA"/>
    <s v="Female patient with PSA test"/>
  </r>
  <r>
    <s v="S1102"/>
    <s v="P93045"/>
    <s v="Male"/>
    <n v="28"/>
    <x v="0"/>
    <s v="Blood"/>
    <x v="1"/>
    <d v="2026-06-04T00:00:00"/>
    <x v="2"/>
    <d v="1899-12-30T10:28:00"/>
    <n v="5"/>
    <d v="2026-06-04T00:00:00"/>
    <d v="1899-12-30T19:28:00"/>
    <n v="9"/>
    <x v="0"/>
    <s v="Accepted"/>
    <x v="0"/>
    <s v="Completed"/>
    <n v="35"/>
    <x v="1"/>
    <x v="2"/>
    <n v="5"/>
    <s v="Dr Adebayo"/>
    <x v="0"/>
    <s v="Tech B"/>
    <s v="NHIA"/>
    <s v="Test-department mismatch"/>
  </r>
  <r>
    <s v="S1103"/>
    <s v="P98437"/>
    <s v="Female"/>
    <n v="79"/>
    <x v="5"/>
    <s v="Blood"/>
    <x v="4"/>
    <d v="2026-04-14T00:00:00"/>
    <x v="0"/>
    <d v="1899-12-30T14:17:00"/>
    <n v="4"/>
    <d v="2026-04-14T00:00:00"/>
    <d v="1899-12-30T20:17:00"/>
    <n v="6"/>
    <x v="0"/>
    <s v="Accepted"/>
    <x v="0"/>
    <s v="Completed"/>
    <n v="25"/>
    <x v="1"/>
    <x v="0"/>
    <n v="5"/>
    <s v="Dr Adebayo"/>
    <x v="0"/>
    <s v="Tech C"/>
    <s v="NHIA"/>
    <s v="Test-department mismatch"/>
  </r>
  <r>
    <s v="S1104"/>
    <s v="P20133"/>
    <s v="Female"/>
    <n v="22"/>
    <x v="1"/>
    <s v="Blood"/>
    <x v="2"/>
    <d v="2026-04-04T00:00:00"/>
    <x v="0"/>
    <d v="1899-12-30T15:07:00"/>
    <n v="3"/>
    <d v="2026-04-04T00:00:00"/>
    <d v="1899-12-30T22:07:00"/>
    <n v="7"/>
    <x v="0"/>
    <s v="Accepted"/>
    <x v="0"/>
    <s v="Completed"/>
    <n v="15"/>
    <x v="0"/>
    <x v="2"/>
    <n v="4"/>
    <s v="Dr James"/>
    <x v="1"/>
    <s v="Tech C"/>
    <s v="NHIA"/>
    <m/>
  </r>
  <r>
    <s v="S1105"/>
    <s v="P22339"/>
    <s v="Female"/>
    <n v="83"/>
    <x v="5"/>
    <s v="Blood"/>
    <x v="2"/>
    <d v="2026-06-16T00:00:00"/>
    <x v="2"/>
    <d v="1899-12-30T07:13:00"/>
    <n v="4"/>
    <d v="2026-06-16T00:00:00"/>
    <d v="1899-12-30T19:13:00"/>
    <n v="12"/>
    <x v="0"/>
    <s v="Accepted"/>
    <x v="0"/>
    <s v="Completed"/>
    <n v="25"/>
    <x v="1"/>
    <x v="2"/>
    <n v="4"/>
    <s v="Dr Adebayo"/>
    <x v="2"/>
    <s v="Tech C"/>
    <s v="NHIA"/>
    <s v="Test-department mismatch"/>
  </r>
  <r>
    <s v="S1106"/>
    <s v="P62762"/>
    <s v="Male"/>
    <n v="70"/>
    <x v="3"/>
    <s v="Blood"/>
    <x v="4"/>
    <d v="2026-03-11T00:00:00"/>
    <x v="1"/>
    <d v="1899-12-30T16:27:00"/>
    <n v="24"/>
    <d v="2026-03-13T00:00:00"/>
    <d v="1899-12-30T00:27:00"/>
    <n v="32"/>
    <x v="0"/>
    <s v="Accepted"/>
    <x v="0"/>
    <s v="Completed"/>
    <n v="50"/>
    <x v="1"/>
    <x v="2"/>
    <n v="1"/>
    <s v="Dr Adebayo"/>
    <x v="3"/>
    <s v="Tech A"/>
    <s v="NHIA"/>
    <s v=" "/>
  </r>
  <r>
    <s v="S1107"/>
    <s v="P24950"/>
    <s v="Female"/>
    <n v="85"/>
    <x v="2"/>
    <s v="Urine"/>
    <x v="3"/>
    <d v="2026-06-30T00:00:00"/>
    <x v="2"/>
    <d v="1899-12-30T11:53:00"/>
    <n v="8"/>
    <d v="2026-06-30T00:00:00"/>
    <d v="1899-12-30T19:53:00"/>
    <n v="8"/>
    <x v="1"/>
    <s v="Accepted"/>
    <x v="0"/>
    <s v="Completed"/>
    <n v="20"/>
    <x v="1"/>
    <x v="2"/>
    <n v="2"/>
    <s v="Dr Ahmed"/>
    <x v="0"/>
    <s v="Tech A"/>
    <s v="Private"/>
    <s v=" "/>
  </r>
  <r>
    <s v="S1108"/>
    <s v="P12072"/>
    <s v="Female"/>
    <n v="13"/>
    <x v="1"/>
    <s v="Blood"/>
    <x v="0"/>
    <d v="2026-03-02T00:00:00"/>
    <x v="1"/>
    <d v="1899-12-30T14:45:00"/>
    <n v="3"/>
    <d v="2026-03-02T00:00:00"/>
    <d v="1899-12-30T23:45:00"/>
    <n v="9"/>
    <x v="0"/>
    <s v="Accepted"/>
    <x v="0"/>
    <s v="Completed"/>
    <n v="15"/>
    <x v="1"/>
    <x v="0"/>
    <n v="3"/>
    <s v="Dr Okafor"/>
    <x v="2"/>
    <s v="Tech B"/>
    <s v="Private"/>
    <s v="Test-department mismatch"/>
  </r>
  <r>
    <s v="S1109"/>
    <s v="P97402"/>
    <s v="Female"/>
    <n v="27"/>
    <x v="4"/>
    <s v="Blood"/>
    <x v="0"/>
    <d v="2026-02-05T00:00:00"/>
    <x v="5"/>
    <d v="1899-12-30T15:54:00"/>
    <n v="6"/>
    <d v="2026-02-06T00:00:00"/>
    <d v="1899-12-30T00:54:00"/>
    <n v="9"/>
    <x v="0"/>
    <s v="Accepted"/>
    <x v="0"/>
    <s v="Completed"/>
    <n v="40"/>
    <x v="1"/>
    <x v="0"/>
    <n v="1"/>
    <s v="Dr Adebayo"/>
    <x v="0"/>
    <s v="Tech B"/>
    <s v="HMO"/>
    <s v=" "/>
  </r>
  <r>
    <s v="S1110"/>
    <s v="P65833"/>
    <s v="Male"/>
    <n v="2"/>
    <x v="1"/>
    <s v="Blood"/>
    <x v="0"/>
    <d v="2026-01-03T00:00:00"/>
    <x v="3"/>
    <d v="1899-12-30T13:59:00"/>
    <n v="3"/>
    <d v="2026-01-03T00:00:00"/>
    <d v="1899-12-30T23:59:00"/>
    <n v="10"/>
    <x v="0"/>
    <s v="Accepted"/>
    <x v="0"/>
    <s v="Completed"/>
    <n v="15"/>
    <x v="1"/>
    <x v="2"/>
    <n v="5"/>
    <s v="Dr Adebayo"/>
    <x v="2"/>
    <s v="Tech A"/>
    <s v="NHIA"/>
    <s v="Test-department mismatch"/>
  </r>
  <r>
    <s v="S1111"/>
    <s v="P51404"/>
    <s v="Male"/>
    <n v="10"/>
    <x v="3"/>
    <s v="Blood"/>
    <x v="4"/>
    <d v="2026-03-08T00:00:00"/>
    <x v="1"/>
    <d v="1899-12-30T07:48:00"/>
    <n v="24"/>
    <d v="2026-03-09T00:00:00"/>
    <d v="1899-12-30T06:48:00"/>
    <n v="23"/>
    <x v="1"/>
    <s v="Accepted"/>
    <x v="0"/>
    <s v="Completed"/>
    <n v="50"/>
    <x v="0"/>
    <x v="0"/>
    <n v="4"/>
    <s v="Dr Ahmed"/>
    <x v="3"/>
    <s v="Tech A"/>
    <s v="NHIA"/>
    <s v="Suspicious Test-Age Combination"/>
  </r>
  <r>
    <s v="S1112"/>
    <s v="P34005"/>
    <s v="Male"/>
    <n v="81"/>
    <x v="0"/>
    <s v="Blood"/>
    <x v="0"/>
    <d v="2026-03-20T00:00:00"/>
    <x v="1"/>
    <d v="1899-12-30T10:30:00"/>
    <n v="5"/>
    <d v="2026-03-20T00:00:00"/>
    <d v="1899-12-30T21:30:00"/>
    <n v="11"/>
    <x v="0"/>
    <s v="Accepted"/>
    <x v="0"/>
    <s v="Completed"/>
    <n v="35"/>
    <x v="1"/>
    <x v="0"/>
    <n v="3"/>
    <s v="Dr Ahmed"/>
    <x v="3"/>
    <s v="Tech C"/>
    <s v="HMO"/>
    <s v=" "/>
  </r>
  <r>
    <s v="S1113"/>
    <s v="P62447"/>
    <s v="Male"/>
    <n v="38"/>
    <x v="5"/>
    <s v="Blood"/>
    <x v="1"/>
    <d v="2026-06-02T00:00:00"/>
    <x v="2"/>
    <d v="1899-12-30T15:01:00"/>
    <n v="4"/>
    <d v="2026-06-02T00:00:00"/>
    <d v="1899-12-30T22:01:00"/>
    <n v="7"/>
    <x v="0"/>
    <s v="Accepted"/>
    <x v="0"/>
    <s v="Completed"/>
    <n v="25"/>
    <x v="1"/>
    <x v="2"/>
    <n v="3"/>
    <s v="Dr Adebayo"/>
    <x v="2"/>
    <s v="Tech A"/>
    <s v="NHIA"/>
    <s v="Test-department mismatch"/>
  </r>
  <r>
    <s v="S1114"/>
    <s v="P86084"/>
    <s v="Male"/>
    <n v="1"/>
    <x v="3"/>
    <s v="Blood"/>
    <x v="3"/>
    <d v="2026-05-17T00:00:00"/>
    <x v="4"/>
    <d v="1899-12-30T13:42:00"/>
    <n v="24"/>
    <d v="2026-05-18T00:00:00"/>
    <d v="1899-12-30T20:42:00"/>
    <n v="31"/>
    <x v="0"/>
    <s v="Accepted"/>
    <x v="0"/>
    <s v="Completed"/>
    <n v="50"/>
    <x v="0"/>
    <x v="1"/>
    <n v="4"/>
    <s v="Dr Okafor"/>
    <x v="3"/>
    <s v="Tech C"/>
    <s v="Private"/>
    <s v="Suspicious Test-Age Combination; Test-department mismatch"/>
  </r>
  <r>
    <s v="S1115"/>
    <s v="P76450"/>
    <s v="Male"/>
    <n v="65"/>
    <x v="3"/>
    <s v="Blood"/>
    <x v="4"/>
    <d v="2026-05-18T00:00:00"/>
    <x v="4"/>
    <d v="1899-12-30T13:41:00"/>
    <n v="24"/>
    <d v="2026-05-19T00:00:00"/>
    <d v="1899-12-30T21:41:00"/>
    <n v="32"/>
    <x v="0"/>
    <s v="Rejected"/>
    <x v="3"/>
    <s v="Completed"/>
    <n v="50"/>
    <x v="1"/>
    <x v="0"/>
    <n v="2"/>
    <s v="Dr Ahmed"/>
    <x v="1"/>
    <s v="Tech C"/>
    <s v="HMO"/>
    <s v="Sample-test status mismatch; Rejected sample with released result"/>
  </r>
  <r>
    <s v="S1116"/>
    <s v="P40554"/>
    <s v="Female"/>
    <n v="13"/>
    <x v="1"/>
    <s v="Blood"/>
    <x v="2"/>
    <d v="2026-03-23T00:00:00"/>
    <x v="1"/>
    <d v="1899-12-30T13:13:00"/>
    <n v="3"/>
    <d v="2026-03-23T00:00:00"/>
    <d v="1899-12-30T16:13:00"/>
    <n v="3"/>
    <x v="1"/>
    <s v="Accepted"/>
    <x v="0"/>
    <s v="Completed"/>
    <n v="15"/>
    <x v="1"/>
    <x v="2"/>
    <n v="3"/>
    <s v="Dr Adebayo"/>
    <x v="3"/>
    <s v="Tech A"/>
    <s v="NHIA"/>
    <m/>
  </r>
  <r>
    <s v="S1117"/>
    <s v="P36489"/>
    <s v="Male"/>
    <n v="34"/>
    <x v="0"/>
    <s v="Blood"/>
    <x v="3"/>
    <d v="2026-01-30T00:00:00"/>
    <x v="3"/>
    <d v="1899-12-30T11:51:00"/>
    <n v="5"/>
    <d v="2026-01-30T00:00:00"/>
    <d v="1899-12-30T22:51:00"/>
    <n v="11"/>
    <x v="0"/>
    <s v="Accepted"/>
    <x v="0"/>
    <s v="Completed"/>
    <n v="35"/>
    <x v="1"/>
    <x v="0"/>
    <n v="3"/>
    <s v="Dr Ahmed"/>
    <x v="3"/>
    <s v="Tech C"/>
    <s v="HMO"/>
    <s v="Test-department mismatch"/>
  </r>
  <r>
    <s v="S1118"/>
    <s v="P42911"/>
    <s v="Male"/>
    <n v="87"/>
    <x v="4"/>
    <s v="Blood"/>
    <x v="0"/>
    <d v="2026-06-30T00:00:00"/>
    <x v="2"/>
    <d v="1899-12-30T07:14:00"/>
    <n v="6"/>
    <d v="2026-06-30T00:00:00"/>
    <d v="1899-12-30T19:14:00"/>
    <n v="12"/>
    <x v="0"/>
    <s v="Accepted"/>
    <x v="0"/>
    <s v="Completed"/>
    <n v="40"/>
    <x v="0"/>
    <x v="2"/>
    <n v="3"/>
    <s v="Dr Adebayo"/>
    <x v="3"/>
    <s v="Tech C"/>
    <s v="NHIA"/>
    <s v=" "/>
  </r>
  <r>
    <s v="S1119"/>
    <s v="P77161"/>
    <s v="Female"/>
    <n v="15"/>
    <x v="4"/>
    <s v="Blood"/>
    <x v="0"/>
    <d v="2026-05-16T00:00:00"/>
    <x v="4"/>
    <d v="1899-12-30T15:52:00"/>
    <n v="6"/>
    <d v="2026-05-17T00:00:00"/>
    <d v="1899-12-30T04:52:00"/>
    <n v="13"/>
    <x v="0"/>
    <s v="Accepted"/>
    <x v="0"/>
    <s v="Completed"/>
    <n v="40"/>
    <x v="1"/>
    <x v="1"/>
    <n v="5"/>
    <s v="Dr Ahmed"/>
    <x v="0"/>
    <s v="Tech B"/>
    <s v="HMO"/>
    <s v=" "/>
  </r>
  <r>
    <s v="S1120"/>
    <s v="P99040"/>
    <s v="Male"/>
    <n v="6"/>
    <x v="3"/>
    <s v="Blood"/>
    <x v="1"/>
    <d v="2026-03-29T00:00:00"/>
    <x v="1"/>
    <d v="1899-12-30T16:03:00"/>
    <n v="24"/>
    <d v="2026-03-30T00:00:00"/>
    <d v="1899-12-30T17:03:00"/>
    <n v="25"/>
    <x v="0"/>
    <s v="Accepted"/>
    <x v="0"/>
    <s v="Completed"/>
    <n v="50"/>
    <x v="1"/>
    <x v="2"/>
    <n v="5"/>
    <s v="Dr Okafor"/>
    <x v="2"/>
    <s v="Tech B"/>
    <s v="Private"/>
    <s v="Suspicious Test-Age Combination; Test-department mismatch"/>
  </r>
  <r>
    <s v="S1121"/>
    <s v="P11015"/>
    <s v="Female"/>
    <n v="54"/>
    <x v="1"/>
    <s v="Blood"/>
    <x v="2"/>
    <d v="2026-02-16T00:00:00"/>
    <x v="5"/>
    <d v="1899-12-30T12:03:00"/>
    <n v="3"/>
    <d v="2026-02-16T00:00:00"/>
    <d v="1899-12-30T15:03:00"/>
    <n v="3"/>
    <x v="1"/>
    <s v="Accepted"/>
    <x v="0"/>
    <s v="Completed"/>
    <n v="15"/>
    <x v="1"/>
    <x v="1"/>
    <n v="4"/>
    <s v="Dr Adebayo"/>
    <x v="3"/>
    <s v="Tech C"/>
    <s v="NHIA"/>
    <m/>
  </r>
  <r>
    <s v="S1122"/>
    <s v="P16205"/>
    <s v="Female"/>
    <n v="52"/>
    <x v="2"/>
    <s v="Urine"/>
    <x v="3"/>
    <d v="2026-04-10T00:00:00"/>
    <x v="0"/>
    <d v="1899-12-30T07:38:00"/>
    <n v="8"/>
    <d v="2026-04-10T00:00:00"/>
    <d v="1899-12-30T15:38:00"/>
    <n v="8"/>
    <x v="1"/>
    <s v="Accepted"/>
    <x v="0"/>
    <s v="Completed"/>
    <n v="20"/>
    <x v="1"/>
    <x v="0"/>
    <n v="3"/>
    <s v="Dr James"/>
    <x v="0"/>
    <s v="Tech B"/>
    <s v="Private"/>
    <s v=" "/>
  </r>
  <r>
    <s v="S1123"/>
    <s v="P34623"/>
    <s v="Male"/>
    <n v="68"/>
    <x v="5"/>
    <s v="Blood"/>
    <x v="3"/>
    <d v="2026-05-16T00:00:00"/>
    <x v="4"/>
    <d v="1899-12-30T13:18:00"/>
    <n v="4"/>
    <d v="2026-05-16T00:00:00"/>
    <d v="1899-12-30T16:18:00"/>
    <n v="3"/>
    <x v="1"/>
    <s v="Accepted"/>
    <x v="0"/>
    <s v="Completed"/>
    <n v="25"/>
    <x v="1"/>
    <x v="2"/>
    <n v="1"/>
    <s v="Dr Ahmed"/>
    <x v="1"/>
    <s v="Tech B"/>
    <s v="Private"/>
    <s v="Test-department mismatch"/>
  </r>
  <r>
    <s v="S1124"/>
    <s v="P75454"/>
    <s v="Female"/>
    <n v="51"/>
    <x v="0"/>
    <s v="Blood"/>
    <x v="0"/>
    <d v="2026-06-09T00:00:00"/>
    <x v="2"/>
    <d v="1899-12-30T16:10:00"/>
    <n v="5"/>
    <d v="2026-06-10T00:00:00"/>
    <d v="1899-12-30T02:10:00"/>
    <n v="10"/>
    <x v="0"/>
    <s v="Accepted"/>
    <x v="0"/>
    <s v="Completed"/>
    <n v="35"/>
    <x v="1"/>
    <x v="0"/>
    <n v="5"/>
    <s v="Dr Adebayo"/>
    <x v="1"/>
    <s v="Tech B"/>
    <s v="NHIA"/>
    <s v=" "/>
  </r>
  <r>
    <s v="S1125"/>
    <s v="P87247"/>
    <s v="Male"/>
    <n v="19"/>
    <x v="1"/>
    <s v="Blood"/>
    <x v="2"/>
    <d v="2026-04-15T00:00:00"/>
    <x v="0"/>
    <d v="1899-12-30T14:02:00"/>
    <n v="3"/>
    <d v="2026-04-15T00:00:00"/>
    <d v="1899-12-30T21:02:00"/>
    <n v="7"/>
    <x v="0"/>
    <s v="Accepted"/>
    <x v="0"/>
    <s v="Completed"/>
    <n v="15"/>
    <x v="1"/>
    <x v="2"/>
    <n v="1"/>
    <s v="Dr Ahmed"/>
    <x v="2"/>
    <s v="Tech B"/>
    <s v="NHIA"/>
    <m/>
  </r>
  <r>
    <s v="S1126"/>
    <s v="P90444"/>
    <s v="Female"/>
    <n v="85"/>
    <x v="1"/>
    <s v="Blood"/>
    <x v="2"/>
    <d v="2026-02-21T00:00:00"/>
    <x v="5"/>
    <d v="1899-12-30T10:14:00"/>
    <n v="3"/>
    <d v="2026-02-21T00:00:00"/>
    <d v="1899-12-30T18:14:00"/>
    <n v="8"/>
    <x v="0"/>
    <s v="Accepted"/>
    <x v="0"/>
    <s v="Completed"/>
    <n v="15"/>
    <x v="1"/>
    <x v="1"/>
    <n v="2"/>
    <s v="Dr James"/>
    <x v="0"/>
    <s v="Tech A"/>
    <s v="HMO"/>
    <m/>
  </r>
  <r>
    <s v="S1127"/>
    <s v="P79609"/>
    <s v="Female"/>
    <n v="2"/>
    <x v="4"/>
    <s v="Blood"/>
    <x v="0"/>
    <d v="2026-03-11T00:00:00"/>
    <x v="1"/>
    <d v="1899-12-30T10:25:00"/>
    <n v="6"/>
    <d v="2026-03-11T00:00:00"/>
    <d v="1899-12-30T23:25:00"/>
    <n v="13"/>
    <x v="0"/>
    <s v="Accepted"/>
    <x v="0"/>
    <s v="Completed"/>
    <n v="40"/>
    <x v="1"/>
    <x v="2"/>
    <n v="5"/>
    <s v="Dr Ahmed"/>
    <x v="0"/>
    <s v="Tech B"/>
    <s v="NHIA"/>
    <s v=" "/>
  </r>
  <r>
    <s v="S1128"/>
    <s v="P99459"/>
    <s v="Female"/>
    <n v="26"/>
    <x v="0"/>
    <s v="Blood"/>
    <x v="0"/>
    <d v="2026-01-23T00:00:00"/>
    <x v="3"/>
    <d v="1899-12-30T09:13:00"/>
    <n v="5"/>
    <d v="2026-01-23T00:00:00"/>
    <d v="1899-12-30T19:13:00"/>
    <n v="10"/>
    <x v="0"/>
    <s v="Accepted"/>
    <x v="0"/>
    <s v="Completed"/>
    <n v="35"/>
    <x v="1"/>
    <x v="2"/>
    <n v="3"/>
    <s v="Dr James"/>
    <x v="0"/>
    <s v="Tech C"/>
    <s v="HMO"/>
    <s v=" "/>
  </r>
  <r>
    <s v="S1129"/>
    <s v="P94654"/>
    <s v="Female"/>
    <n v="51"/>
    <x v="4"/>
    <s v="Blood"/>
    <x v="0"/>
    <d v="2026-02-20T00:00:00"/>
    <x v="5"/>
    <d v="1899-12-30T16:27:00"/>
    <n v="6"/>
    <d v="2026-02-21T00:00:00"/>
    <d v="1899-12-30T02:27:00"/>
    <n v="10"/>
    <x v="0"/>
    <s v="Accepted"/>
    <x v="0"/>
    <s v="Pending"/>
    <n v="40"/>
    <x v="0"/>
    <x v="0"/>
    <n v="1"/>
    <s v="Dr James"/>
    <x v="3"/>
    <s v="Tech B"/>
    <s v="Private"/>
    <s v="Pending test with released result"/>
  </r>
  <r>
    <s v="S1130"/>
    <s v="P85696"/>
    <s v="Female"/>
    <n v="56"/>
    <x v="3"/>
    <s v="Blood"/>
    <x v="3"/>
    <d v="2026-01-04T00:00:00"/>
    <x v="3"/>
    <d v="1899-12-30T14:28:00"/>
    <n v="24"/>
    <d v="2026-01-05T00:00:00"/>
    <d v="1899-12-30T13:28:00"/>
    <n v="23"/>
    <x v="1"/>
    <s v="Rejected"/>
    <x v="4"/>
    <s v="Completed"/>
    <n v="50"/>
    <x v="1"/>
    <x v="2"/>
    <n v="4"/>
    <s v="Dr James"/>
    <x v="1"/>
    <s v="Tech A"/>
    <s v="NHIA"/>
    <s v="Female patient with PSA test; Sample-test status mismatch; Rejected sample with released result Test-department mismatch"/>
  </r>
  <r>
    <s v="S1131"/>
    <s v="P71470"/>
    <s v="Female"/>
    <n v="67"/>
    <x v="1"/>
    <s v="Blood"/>
    <x v="2"/>
    <d v="2026-06-22T00:00:00"/>
    <x v="2"/>
    <d v="1899-12-30T09:06:00"/>
    <n v="3"/>
    <d v="2026-06-22T00:00:00"/>
    <d v="1899-12-30T13:06:00"/>
    <n v="4"/>
    <x v="0"/>
    <s v="Accepted"/>
    <x v="0"/>
    <s v="Completed"/>
    <n v="15"/>
    <x v="0"/>
    <x v="2"/>
    <n v="4"/>
    <s v="Dr Adebayo"/>
    <x v="2"/>
    <s v="Tech B"/>
    <s v="NHIA"/>
    <s v="Patient ID with Conflicting Age &amp; Gender"/>
  </r>
  <r>
    <s v="S1132"/>
    <s v="P49608"/>
    <s v="Male"/>
    <n v="89"/>
    <x v="0"/>
    <s v="Blood"/>
    <x v="0"/>
    <d v="2026-05-26T00:00:00"/>
    <x v="4"/>
    <d v="1899-12-30T09:31:00"/>
    <n v="5"/>
    <d v="2026-05-26T00:00:00"/>
    <d v="1899-12-30T19:31:00"/>
    <n v="10"/>
    <x v="0"/>
    <s v="Accepted"/>
    <x v="0"/>
    <s v="Completed"/>
    <n v="35"/>
    <x v="1"/>
    <x v="1"/>
    <n v="4"/>
    <s v="Dr Okafor"/>
    <x v="0"/>
    <s v="Tech B"/>
    <s v="HMO"/>
    <s v=" "/>
  </r>
  <r>
    <s v="S1133"/>
    <s v="P57419"/>
    <s v="Female"/>
    <n v="53"/>
    <x v="4"/>
    <s v="Blood"/>
    <x v="0"/>
    <d v="2026-01-23T00:00:00"/>
    <x v="3"/>
    <d v="1899-12-30T07:26:00"/>
    <n v="6"/>
    <d v="2026-01-23T00:00:00"/>
    <d v="1899-12-30T12:26:00"/>
    <n v="5"/>
    <x v="1"/>
    <s v="Accepted"/>
    <x v="0"/>
    <s v="Completed"/>
    <m/>
    <x v="1"/>
    <x v="0"/>
    <n v="3"/>
    <s v="Dr Ahmed"/>
    <x v="0"/>
    <s v="Tech C"/>
    <s v="HMO"/>
    <s v=" "/>
  </r>
  <r>
    <s v="S1134"/>
    <s v="P67489"/>
    <s v="Female"/>
    <n v="76"/>
    <x v="3"/>
    <s v="Blood"/>
    <x v="1"/>
    <d v="2026-03-29T00:00:00"/>
    <x v="1"/>
    <d v="1899-12-30T16:10:00"/>
    <n v="24"/>
    <d v="2026-03-30T00:00:00"/>
    <d v="1899-12-30T23:10:00"/>
    <n v="31"/>
    <x v="0"/>
    <s v="Accepted"/>
    <x v="0"/>
    <s v="Completed"/>
    <n v="50"/>
    <x v="0"/>
    <x v="0"/>
    <n v="4"/>
    <s v="Dr Adebayo"/>
    <x v="1"/>
    <s v="Tech C"/>
    <s v="NHIA"/>
    <s v="Female patient with PSA test; Test-department mismatch"/>
  </r>
  <r>
    <s v="S1135"/>
    <s v="P70785"/>
    <s v="Female"/>
    <n v="1"/>
    <x v="2"/>
    <s v="Urine"/>
    <x v="3"/>
    <d v="2026-04-08T00:00:00"/>
    <x v="0"/>
    <d v="1899-12-30T09:26:00"/>
    <n v="8"/>
    <d v="2026-04-09T00:00:00"/>
    <d v="1899-12-30T01:26:00"/>
    <n v="16"/>
    <x v="0"/>
    <s v="Accepted"/>
    <x v="0"/>
    <s v="Completed"/>
    <n v="20"/>
    <x v="0"/>
    <x v="2"/>
    <n v="5"/>
    <s v="Dr Okafor"/>
    <x v="0"/>
    <s v="Tech A"/>
    <s v="Private"/>
    <s v=" "/>
  </r>
  <r>
    <s v="S1136"/>
    <s v="P31955"/>
    <s v="Male"/>
    <n v="3"/>
    <x v="2"/>
    <s v="Urine"/>
    <x v="2"/>
    <d v="2026-03-06T00:00:00"/>
    <x v="1"/>
    <d v="1899-12-30T10:17:00"/>
    <n v="8"/>
    <d v="2026-03-06T00:00:00"/>
    <d v="1899-12-30T20:17:00"/>
    <n v="10"/>
    <x v="0"/>
    <s v="Accepted"/>
    <x v="0"/>
    <s v="Completed"/>
    <n v="20"/>
    <x v="1"/>
    <x v="1"/>
    <n v="1"/>
    <s v="Dr Ahmed"/>
    <x v="2"/>
    <s v="Tech B"/>
    <s v="HMO"/>
    <s v="Test-department mismatch"/>
  </r>
  <r>
    <s v="S1137"/>
    <s v="P53413"/>
    <s v="Female"/>
    <n v="46"/>
    <x v="1"/>
    <s v="Blood"/>
    <x v="4"/>
    <d v="2026-01-26T00:00:00"/>
    <x v="3"/>
    <d v="1899-12-30T11:34:00"/>
    <n v="3"/>
    <d v="2026-01-26T00:00:00"/>
    <d v="1899-12-30T14:34:00"/>
    <n v="3"/>
    <x v="1"/>
    <s v="Accepted"/>
    <x v="0"/>
    <s v="Completed"/>
    <n v="15"/>
    <x v="1"/>
    <x v="0"/>
    <n v="5"/>
    <s v="Dr Okafor"/>
    <x v="0"/>
    <s v="Tech A"/>
    <s v="HMO"/>
    <s v="Test-department mismatch"/>
  </r>
  <r>
    <s v="S1138"/>
    <s v="P92893"/>
    <s v="Male"/>
    <n v="45"/>
    <x v="4"/>
    <s v="Blood"/>
    <x v="0"/>
    <d v="2026-02-14T00:00:00"/>
    <x v="5"/>
    <d v="1899-12-30T13:09:00"/>
    <n v="6"/>
    <d v="2026-02-14T00:00:00"/>
    <d v="1899-12-30T18:09:00"/>
    <n v="5"/>
    <x v="1"/>
    <s v="Accepted"/>
    <x v="0"/>
    <s v="Completed"/>
    <n v="40"/>
    <x v="1"/>
    <x v="0"/>
    <n v="3"/>
    <s v="Dr Okafor"/>
    <x v="0"/>
    <s v="Tech B"/>
    <s v="HMO"/>
    <s v=" "/>
  </r>
  <r>
    <s v="S1139"/>
    <s v="P97385"/>
    <s v="Female"/>
    <n v="30"/>
    <x v="4"/>
    <s v="Blood"/>
    <x v="3"/>
    <d v="2026-03-07T00:00:00"/>
    <x v="1"/>
    <d v="1899-12-30T09:11:00"/>
    <n v="6"/>
    <d v="2026-03-07T00:00:00"/>
    <d v="1899-12-30T23:11:00"/>
    <n v="14"/>
    <x v="0"/>
    <s v="Accepted"/>
    <x v="0"/>
    <s v="Completed"/>
    <n v="40"/>
    <x v="1"/>
    <x v="2"/>
    <n v="5"/>
    <s v="Dr James"/>
    <x v="2"/>
    <s v="Tech B"/>
    <s v="HMO"/>
    <s v="Test-department mismatch"/>
  </r>
  <r>
    <s v="S1140"/>
    <s v="P68239"/>
    <s v="Male"/>
    <n v="62"/>
    <x v="5"/>
    <s v="Blood"/>
    <x v="1"/>
    <d v="2026-06-16T00:00:00"/>
    <x v="2"/>
    <d v="1899-12-30T15:35:00"/>
    <n v="4"/>
    <d v="2026-06-16T00:00:00"/>
    <d v="1899-12-30T19:35:00"/>
    <n v="4"/>
    <x v="1"/>
    <s v="Accepted"/>
    <x v="0"/>
    <s v="Completed"/>
    <n v="25"/>
    <x v="1"/>
    <x v="2"/>
    <n v="3"/>
    <s v="Dr Adebayo"/>
    <x v="1"/>
    <s v="Tech B"/>
    <s v="NHIA"/>
    <s v="Test-department mismatch"/>
  </r>
  <r>
    <s v="S1141"/>
    <s v="P37743"/>
    <s v="Male"/>
    <n v="12"/>
    <x v="0"/>
    <s v="Blood"/>
    <x v="0"/>
    <d v="2026-03-24T00:00:00"/>
    <x v="1"/>
    <d v="1899-12-30T10:41:00"/>
    <n v="5"/>
    <d v="2026-03-24T00:00:00"/>
    <d v="1899-12-30T17:41:00"/>
    <n v="7"/>
    <x v="0"/>
    <s v="Accepted"/>
    <x v="0"/>
    <s v="Completed"/>
    <n v="35"/>
    <x v="1"/>
    <x v="0"/>
    <n v="4"/>
    <s v="Dr James"/>
    <x v="2"/>
    <s v="Tech A"/>
    <s v="NHIA"/>
    <s v=" "/>
  </r>
  <r>
    <s v="S1142"/>
    <s v="P98219"/>
    <s v="Female"/>
    <n v="45"/>
    <x v="1"/>
    <s v="Blood"/>
    <x v="1"/>
    <d v="2026-01-13T00:00:00"/>
    <x v="3"/>
    <d v="1899-12-30T08:04:00"/>
    <n v="3"/>
    <d v="2026-01-13T00:00:00"/>
    <d v="1899-12-30T16:04:00"/>
    <n v="8"/>
    <x v="0"/>
    <s v="Rejected"/>
    <x v="3"/>
    <s v="Completed"/>
    <n v="15"/>
    <x v="1"/>
    <x v="0"/>
    <n v="2"/>
    <s v="Dr Adebayo"/>
    <x v="3"/>
    <s v="Tech C"/>
    <s v="Private"/>
    <s v="Test-department mismatch; Sample-test status mismatch; Rejected sample with released result"/>
  </r>
  <r>
    <s v="S1143"/>
    <s v="P46852"/>
    <s v="Male"/>
    <n v="56"/>
    <x v="2"/>
    <s v="Urine"/>
    <x v="3"/>
    <d v="2026-01-17T00:00:00"/>
    <x v="3"/>
    <d v="1899-12-30T10:53:00"/>
    <n v="8"/>
    <d v="2026-01-18T00:00:00"/>
    <d v="1899-12-30T02:53:00"/>
    <n v="16"/>
    <x v="0"/>
    <s v="Accepted"/>
    <x v="0"/>
    <s v="Completed"/>
    <n v="20"/>
    <x v="1"/>
    <x v="0"/>
    <n v="4"/>
    <s v="Dr Ahmed"/>
    <x v="2"/>
    <s v="Tech A"/>
    <s v="HMO"/>
    <s v=" "/>
  </r>
  <r>
    <s v="S1144"/>
    <s v="P75673"/>
    <s v="Female"/>
    <n v="33"/>
    <x v="3"/>
    <s v="Blood"/>
    <x v="3"/>
    <d v="2026-04-09T00:00:00"/>
    <x v="0"/>
    <d v="1899-12-30T08:38:00"/>
    <n v="24"/>
    <d v="2026-04-10T00:00:00"/>
    <d v="1899-12-30T09:38:00"/>
    <n v="25"/>
    <x v="0"/>
    <s v="Accepted"/>
    <x v="0"/>
    <s v="Completed"/>
    <n v="50"/>
    <x v="0"/>
    <x v="0"/>
    <n v="1"/>
    <s v="Dr James"/>
    <x v="3"/>
    <s v="Tech C"/>
    <s v="HMO"/>
    <s v="Female patient with PSA test; Test-department mismatch"/>
  </r>
  <r>
    <s v="S1145"/>
    <s v="P12789"/>
    <s v="Male"/>
    <n v="17"/>
    <x v="0"/>
    <s v="Blood"/>
    <x v="2"/>
    <d v="2026-02-05T00:00:00"/>
    <x v="5"/>
    <d v="1899-12-30T15:07:00"/>
    <n v="5"/>
    <d v="2026-02-05T00:00:00"/>
    <d v="1899-12-30T23:07:00"/>
    <n v="8"/>
    <x v="0"/>
    <s v="Accepted"/>
    <x v="0"/>
    <s v="Completed"/>
    <n v="35"/>
    <x v="1"/>
    <x v="2"/>
    <n v="4"/>
    <s v="Dr James"/>
    <x v="1"/>
    <s v="Tech B"/>
    <s v="Private"/>
    <s v="Test-department mismatch"/>
  </r>
  <r>
    <s v="S1146"/>
    <s v="P67083"/>
    <s v="Male"/>
    <n v="2"/>
    <x v="5"/>
    <s v="Blood"/>
    <x v="3"/>
    <d v="2026-06-25T00:00:00"/>
    <x v="2"/>
    <d v="1899-12-30T11:46:00"/>
    <n v="4"/>
    <d v="2026-06-25T00:00:00"/>
    <d v="1899-12-30T18:46:00"/>
    <n v="7"/>
    <x v="0"/>
    <s v="Accepted"/>
    <x v="0"/>
    <s v="Completed"/>
    <n v="25"/>
    <x v="1"/>
    <x v="0"/>
    <n v="2"/>
    <s v="Dr Adebayo"/>
    <x v="0"/>
    <s v="Tech B"/>
    <s v="HMO"/>
    <s v="Test-department mismatch"/>
  </r>
  <r>
    <s v="S1147"/>
    <s v="P81676"/>
    <s v="Male"/>
    <n v="21"/>
    <x v="2"/>
    <s v="Urine"/>
    <x v="3"/>
    <d v="2026-04-19T00:00:00"/>
    <x v="0"/>
    <d v="1899-12-30T12:47:00"/>
    <n v="8"/>
    <d v="2026-04-20T00:00:00"/>
    <d v="1899-12-30T03:47:00"/>
    <n v="15"/>
    <x v="0"/>
    <s v="Accepted"/>
    <x v="0"/>
    <s v="Pending"/>
    <n v="20"/>
    <x v="0"/>
    <x v="2"/>
    <n v="2"/>
    <s v="Dr Ahmed"/>
    <x v="3"/>
    <s v="Tech B"/>
    <s v="NHIA"/>
    <s v="Pending test with released result"/>
  </r>
  <r>
    <s v="S1148"/>
    <s v="P71606"/>
    <s v="Male"/>
    <n v="73"/>
    <x v="2"/>
    <s v="Urine"/>
    <x v="2"/>
    <d v="2026-04-08T00:00:00"/>
    <x v="0"/>
    <d v="1899-12-30T15:05:00"/>
    <n v="8"/>
    <d v="2026-04-09T00:00:00"/>
    <d v="1899-12-30T07:05:00"/>
    <n v="16"/>
    <x v="0"/>
    <s v="Accepted"/>
    <x v="0"/>
    <s v="Completed"/>
    <n v="20"/>
    <x v="1"/>
    <x v="1"/>
    <n v="5"/>
    <s v="Dr James"/>
    <x v="1"/>
    <s v="Tech A"/>
    <s v="HMO"/>
    <s v="Test-department mismatch"/>
  </r>
  <r>
    <s v="S1149"/>
    <s v="P25157"/>
    <s v="Female"/>
    <n v="65"/>
    <x v="3"/>
    <s v="Blood"/>
    <x v="4"/>
    <d v="2026-06-22T00:00:00"/>
    <x v="2"/>
    <d v="1899-12-30T13:59:00"/>
    <n v="24"/>
    <d v="2026-06-23T00:00:00"/>
    <d v="1899-12-30T17:59:00"/>
    <n v="28"/>
    <x v="0"/>
    <s v="Accepted"/>
    <x v="0"/>
    <s v="Completed"/>
    <n v="50"/>
    <x v="1"/>
    <x v="1"/>
    <n v="2"/>
    <s v="Dr Adebayo"/>
    <x v="0"/>
    <s v="Tech B"/>
    <s v="NHIA"/>
    <s v="Female patient with PSA test"/>
  </r>
  <r>
    <s v="S1150"/>
    <s v="P54382"/>
    <s v="Female"/>
    <n v="150"/>
    <x v="2"/>
    <s v="Urine"/>
    <x v="1"/>
    <d v="2026-04-19T00:00:00"/>
    <x v="0"/>
    <d v="1899-12-30T16:05:00"/>
    <n v="8"/>
    <d v="2026-04-20T00:00:00"/>
    <d v="1899-12-30T00:05:00"/>
    <n v="8"/>
    <x v="1"/>
    <s v="Accepted"/>
    <x v="0"/>
    <s v="Completed"/>
    <n v="20"/>
    <x v="0"/>
    <x v="2"/>
    <n v="4"/>
    <s v="Dr Okafor"/>
    <x v="2"/>
    <s v="Tech A"/>
    <s v="Private"/>
    <s v=" Invalid Age; Test-department mismatch"/>
  </r>
  <r>
    <s v="S1151"/>
    <s v="P35687"/>
    <s v="Male"/>
    <n v="41"/>
    <x v="3"/>
    <s v="Blood"/>
    <x v="1"/>
    <d v="2026-03-23T00:00:00"/>
    <x v="1"/>
    <d v="1899-12-30T08:05:00"/>
    <n v="24"/>
    <d v="2026-03-24T00:00:00"/>
    <d v="1899-12-30T12:05:00"/>
    <n v="28"/>
    <x v="0"/>
    <s v="Accepted"/>
    <x v="0"/>
    <s v="Completed"/>
    <n v="50"/>
    <x v="1"/>
    <x v="0"/>
    <n v="1"/>
    <s v="Dr Adebayo"/>
    <x v="0"/>
    <s v="Tech B"/>
    <s v="HMO"/>
    <s v="Test-department mismatch"/>
  </r>
  <r>
    <s v="S1152"/>
    <s v="P29479"/>
    <s v="Female"/>
    <n v="3"/>
    <x v="4"/>
    <s v="Blood"/>
    <x v="1"/>
    <d v="2026-04-06T00:00:00"/>
    <x v="0"/>
    <d v="1899-12-30T08:22:00"/>
    <n v="6"/>
    <d v="2026-04-06T00:00:00"/>
    <d v="1899-12-30T22:22:00"/>
    <n v="14"/>
    <x v="0"/>
    <s v="Accepted"/>
    <x v="0"/>
    <s v="Completed"/>
    <n v="40"/>
    <x v="1"/>
    <x v="2"/>
    <n v="5"/>
    <s v="Dr James"/>
    <x v="0"/>
    <s v="Tech B"/>
    <s v="Private"/>
    <s v="Test-department mismatch"/>
  </r>
  <r>
    <s v="S1153"/>
    <s v="P15439"/>
    <s v="Female"/>
    <n v="75"/>
    <x v="1"/>
    <s v="Blood"/>
    <x v="2"/>
    <d v="2026-01-08T00:00:00"/>
    <x v="3"/>
    <d v="1899-12-30T12:21:00"/>
    <n v="3"/>
    <d v="2026-01-08T00:00:00"/>
    <d v="1899-12-30T17:21:00"/>
    <n v="5"/>
    <x v="0"/>
    <s v="Accepted"/>
    <x v="0"/>
    <s v="Completed"/>
    <n v="15"/>
    <x v="1"/>
    <x v="2"/>
    <n v="1"/>
    <s v="Dr Adebayo"/>
    <x v="3"/>
    <s v="Tech B"/>
    <s v="HMO"/>
    <m/>
  </r>
  <r>
    <s v="S1154"/>
    <s v="P49313"/>
    <s v="Male"/>
    <n v="66"/>
    <x v="1"/>
    <s v="Blood"/>
    <x v="3"/>
    <d v="2026-01-14T00:00:00"/>
    <x v="3"/>
    <d v="1899-12-30T13:57:00"/>
    <n v="3"/>
    <d v="2026-01-14T00:00:00"/>
    <d v="1899-12-30T16:57:00"/>
    <n v="3"/>
    <x v="1"/>
    <s v="Accepted"/>
    <x v="0"/>
    <s v="Completed"/>
    <n v="15"/>
    <x v="0"/>
    <x v="2"/>
    <n v="2"/>
    <s v="Dr Ahmed"/>
    <x v="0"/>
    <s v="Tech C"/>
    <s v="HMO"/>
    <s v="Test-department mismatch"/>
  </r>
  <r>
    <s v="S1155"/>
    <s v="P60091"/>
    <s v="Female"/>
    <n v="81"/>
    <x v="3"/>
    <s v="Blood"/>
    <x v="4"/>
    <d v="2026-06-25T00:00:00"/>
    <x v="2"/>
    <d v="1899-12-30T13:34:00"/>
    <n v="24"/>
    <d v="2026-06-26T00:00:00"/>
    <d v="1899-12-30T20:34:00"/>
    <n v="31"/>
    <x v="0"/>
    <s v="Accepted"/>
    <x v="0"/>
    <s v="Completed"/>
    <n v="50"/>
    <x v="1"/>
    <x v="1"/>
    <n v="4"/>
    <s v="Dr Ahmed"/>
    <x v="0"/>
    <s v="Tech C"/>
    <s v="NHIA"/>
    <s v="Female patient with PSA test"/>
  </r>
  <r>
    <s v="S1156"/>
    <s v="P31511"/>
    <s v="Female"/>
    <n v="41"/>
    <x v="4"/>
    <s v="Blood"/>
    <x v="1"/>
    <d v="2026-06-21T00:00:00"/>
    <x v="2"/>
    <d v="1899-12-30T12:21:00"/>
    <n v="6"/>
    <d v="2026-06-22T00:00:00"/>
    <d v="1899-12-30T02:21:00"/>
    <n v="14"/>
    <x v="0"/>
    <s v="Accepted"/>
    <x v="0"/>
    <s v="Completed"/>
    <n v="40"/>
    <x v="1"/>
    <x v="0"/>
    <n v="3"/>
    <s v="Dr Okafor"/>
    <x v="2"/>
    <s v="Tech A"/>
    <s v="Private"/>
    <s v="Test-department mismatch"/>
  </r>
  <r>
    <s v="S1157"/>
    <s v="P10189"/>
    <s v="Female"/>
    <n v="51"/>
    <x v="0"/>
    <s v="Blood"/>
    <x v="1"/>
    <d v="2026-05-27T00:00:00"/>
    <x v="4"/>
    <d v="1899-12-30T13:53:00"/>
    <n v="5"/>
    <d v="2026-05-28T00:00:00"/>
    <d v="1899-12-30T00:53:00"/>
    <n v="11"/>
    <x v="0"/>
    <s v="Accepted"/>
    <x v="0"/>
    <s v="Completed"/>
    <n v="35"/>
    <x v="1"/>
    <x v="0"/>
    <n v="5"/>
    <s v="Dr Ahmed"/>
    <x v="0"/>
    <s v="Tech A"/>
    <s v="NHIA"/>
    <s v="Test-department mismatch"/>
  </r>
  <r>
    <s v="S1158"/>
    <s v="P11386"/>
    <s v="Female"/>
    <n v="9"/>
    <x v="3"/>
    <s v="Blood"/>
    <x v="1"/>
    <d v="2026-03-28T00:00:00"/>
    <x v="1"/>
    <d v="1899-12-30T15:02:00"/>
    <n v="24"/>
    <d v="2026-03-29T00:00:00"/>
    <d v="1899-12-30T19:02:00"/>
    <n v="28"/>
    <x v="0"/>
    <s v="Accepted"/>
    <x v="0"/>
    <s v="Completed"/>
    <n v="50"/>
    <x v="0"/>
    <x v="2"/>
    <n v="3"/>
    <s v="Dr Adebayo"/>
    <x v="1"/>
    <s v="Tech C"/>
    <s v="HMO"/>
    <s v="Female patient with PSA test; Suspicious Test-Age Combination; Test-department mismatch"/>
  </r>
  <r>
    <s v="S1159"/>
    <s v="P26904"/>
    <s v="Male"/>
    <n v="74"/>
    <x v="3"/>
    <s v="Blood"/>
    <x v="4"/>
    <d v="2026-01-04T00:00:00"/>
    <x v="3"/>
    <d v="1899-12-30T07:18:00"/>
    <n v="24"/>
    <d v="2026-01-05T00:00:00"/>
    <d v="1899-12-30T13:18:00"/>
    <n v="30"/>
    <x v="0"/>
    <s v="Accepted"/>
    <x v="0"/>
    <s v="Completed"/>
    <n v="50"/>
    <x v="1"/>
    <x v="1"/>
    <n v="1"/>
    <s v="Dr Ahmed"/>
    <x v="3"/>
    <s v="Tech C"/>
    <s v="NHIA"/>
    <s v=" "/>
  </r>
  <r>
    <s v="S1160"/>
    <s v="P63741"/>
    <s v="Male"/>
    <n v="59"/>
    <x v="3"/>
    <s v="Blood"/>
    <x v="2"/>
    <d v="2026-04-08T00:00:00"/>
    <x v="0"/>
    <d v="1899-12-30T12:37:00"/>
    <n v="24"/>
    <d v="2026-04-09T00:00:00"/>
    <d v="1899-12-30T20:37:00"/>
    <n v="32"/>
    <x v="0"/>
    <s v="Accepted"/>
    <x v="0"/>
    <s v="Completed"/>
    <n v="50"/>
    <x v="0"/>
    <x v="1"/>
    <n v="3"/>
    <s v="Dr Ahmed"/>
    <x v="0"/>
    <s v="Tech B"/>
    <s v="NHIA"/>
    <s v="Test-department mismatch"/>
  </r>
  <r>
    <s v="S1161"/>
    <s v="P63933"/>
    <s v="Male"/>
    <n v="38"/>
    <x v="3"/>
    <s v="Blood"/>
    <x v="4"/>
    <d v="2026-02-21T00:00:00"/>
    <x v="5"/>
    <d v="1899-12-30T07:40:00"/>
    <n v="24"/>
    <d v="2026-02-22T00:00:00"/>
    <d v="1899-12-30T07:40:00"/>
    <n v="24"/>
    <x v="1"/>
    <s v="Accepted"/>
    <x v="0"/>
    <s v="Completed"/>
    <n v="50"/>
    <x v="0"/>
    <x v="2"/>
    <n v="5"/>
    <s v="Dr Okafor"/>
    <x v="0"/>
    <s v="Tech C"/>
    <s v="HMO"/>
    <s v=" "/>
  </r>
  <r>
    <s v="S1162"/>
    <s v="P23062"/>
    <s v="Male"/>
    <n v="21"/>
    <x v="4"/>
    <s v="Blood"/>
    <x v="4"/>
    <d v="2026-05-01T00:00:00"/>
    <x v="4"/>
    <d v="1899-12-30T11:12:00"/>
    <n v="6"/>
    <d v="2026-05-01T00:00:00"/>
    <d v="1899-12-30T19:12:00"/>
    <n v="8"/>
    <x v="0"/>
    <s v="Accepted"/>
    <x v="0"/>
    <s v="Completed"/>
    <n v="40"/>
    <x v="0"/>
    <x v="1"/>
    <n v="1"/>
    <s v="Dr James"/>
    <x v="2"/>
    <s v="Tech A"/>
    <s v="HMO"/>
    <s v="Test-department mismatch"/>
  </r>
  <r>
    <s v="S1163"/>
    <s v="P96204"/>
    <s v="Male"/>
    <n v="53"/>
    <x v="5"/>
    <s v="Blood"/>
    <x v="1"/>
    <d v="2026-04-25T00:00:00"/>
    <x v="0"/>
    <d v="1899-12-30T12:23:00"/>
    <n v="4"/>
    <d v="2026-04-26T00:00:00"/>
    <d v="1899-12-30T00:23:00"/>
    <n v="12"/>
    <x v="0"/>
    <s v="Accepted"/>
    <x v="0"/>
    <s v="Completed"/>
    <n v="25"/>
    <x v="0"/>
    <x v="0"/>
    <n v="4"/>
    <s v="Dr James"/>
    <x v="1"/>
    <s v="Tech B"/>
    <s v="Private"/>
    <s v="Test-department mismatch"/>
  </r>
  <r>
    <s v="S1164"/>
    <s v="P93316"/>
    <s v="Female"/>
    <n v="28"/>
    <x v="1"/>
    <s v="Blood"/>
    <x v="2"/>
    <d v="2026-01-01T00:00:00"/>
    <x v="3"/>
    <d v="1899-12-30T12:46:00"/>
    <n v="3"/>
    <d v="2026-01-01T00:00:00"/>
    <d v="1899-12-30T15:46:00"/>
    <n v="3"/>
    <x v="1"/>
    <s v="Accepted"/>
    <x v="0"/>
    <s v="Completed"/>
    <n v="15"/>
    <x v="0"/>
    <x v="1"/>
    <n v="2"/>
    <s v="Dr James"/>
    <x v="3"/>
    <s v="Tech B"/>
    <s v="Private"/>
    <m/>
  </r>
  <r>
    <s v="S1165"/>
    <s v="P80511"/>
    <s v="Male"/>
    <n v="6"/>
    <x v="4"/>
    <s v="Blood"/>
    <x v="0"/>
    <d v="2026-05-16T00:00:00"/>
    <x v="4"/>
    <d v="1899-12-30T14:09:00"/>
    <n v="6"/>
    <d v="2026-05-16T00:00:00"/>
    <d v="1899-12-30T21:09:00"/>
    <n v="7"/>
    <x v="0"/>
    <s v="Accepted"/>
    <x v="0"/>
    <s v="Completed"/>
    <n v="40"/>
    <x v="0"/>
    <x v="0"/>
    <n v="4"/>
    <s v="Dr Ahmed"/>
    <x v="0"/>
    <s v="Tech B"/>
    <s v="Private"/>
    <s v=" "/>
  </r>
  <r>
    <s v="S1166"/>
    <s v="P26478"/>
    <s v="Male"/>
    <n v="35"/>
    <x v="0"/>
    <s v="Blood"/>
    <x v="2"/>
    <d v="2026-02-09T00:00:00"/>
    <x v="5"/>
    <d v="1899-12-30T11:48:00"/>
    <n v="5"/>
    <d v="2026-02-09T00:00:00"/>
    <d v="1899-12-30T22:48:00"/>
    <n v="11"/>
    <x v="0"/>
    <s v="Accepted"/>
    <x v="0"/>
    <s v="Completed"/>
    <n v="35"/>
    <x v="1"/>
    <x v="1"/>
    <n v="4"/>
    <s v="Dr Okafor"/>
    <x v="1"/>
    <s v="Tech B"/>
    <s v="HMO"/>
    <s v="Test-department mismatch"/>
  </r>
  <r>
    <s v="S1167"/>
    <s v="P41221"/>
    <s v="Male"/>
    <n v="31"/>
    <x v="5"/>
    <s v="Blood"/>
    <x v="3"/>
    <d v="2026-06-10T00:00:00"/>
    <x v="2"/>
    <d v="1899-12-30T08:19:00"/>
    <n v="4"/>
    <d v="2026-06-10T00:00:00"/>
    <d v="1899-12-30T19:19:00"/>
    <n v="11"/>
    <x v="0"/>
    <s v="Accepted"/>
    <x v="0"/>
    <s v="Completed"/>
    <n v="25"/>
    <x v="0"/>
    <x v="0"/>
    <n v="1"/>
    <s v="Dr Okafor"/>
    <x v="2"/>
    <s v="Tech A"/>
    <s v="Private"/>
    <s v="Test-department mismatch"/>
  </r>
  <r>
    <s v="S1168"/>
    <s v="P61483"/>
    <s v="Male"/>
    <n v="22"/>
    <x v="2"/>
    <s v="Urine"/>
    <x v="2"/>
    <d v="2026-02-25T00:00:00"/>
    <x v="5"/>
    <d v="1899-12-30T09:39:00"/>
    <n v="8"/>
    <d v="2026-02-25T00:00:00"/>
    <d v="1899-12-30T20:39:00"/>
    <n v="11"/>
    <x v="0"/>
    <s v="Accepted"/>
    <x v="0"/>
    <s v="Completed"/>
    <n v="20"/>
    <x v="1"/>
    <x v="2"/>
    <n v="5"/>
    <s v="Dr James"/>
    <x v="0"/>
    <s v="Tech A"/>
    <s v="Private"/>
    <s v="Test-department mismatch"/>
  </r>
  <r>
    <s v="S1169"/>
    <s v="P57282"/>
    <s v="Male"/>
    <n v="76"/>
    <x v="5"/>
    <s v="Blood"/>
    <x v="1"/>
    <d v="2026-02-27T00:00:00"/>
    <x v="5"/>
    <d v="1899-12-30T15:09:00"/>
    <n v="4"/>
    <d v="2026-02-28T00:00:00"/>
    <d v="1899-12-30T03:09:00"/>
    <n v="12"/>
    <x v="0"/>
    <s v="Accepted"/>
    <x v="0"/>
    <s v="Completed"/>
    <n v="25"/>
    <x v="0"/>
    <x v="0"/>
    <n v="1"/>
    <s v="Dr Adebayo"/>
    <x v="2"/>
    <s v="Tech A"/>
    <s v="NHIA"/>
    <s v="Test-department mismatch"/>
  </r>
  <r>
    <s v="S1170"/>
    <s v="P94194"/>
    <s v="Female"/>
    <n v="12"/>
    <x v="0"/>
    <s v="Blood"/>
    <x v="2"/>
    <d v="2026-06-02T00:00:00"/>
    <x v="2"/>
    <d v="1899-12-30T13:22:00"/>
    <n v="5"/>
    <d v="2026-06-02T00:00:00"/>
    <d v="1899-12-30T18:22:00"/>
    <n v="5"/>
    <x v="1"/>
    <s v="Accepted"/>
    <x v="0"/>
    <s v="Completed"/>
    <n v="35"/>
    <x v="1"/>
    <x v="2"/>
    <n v="5"/>
    <s v="Dr Okafor"/>
    <x v="3"/>
    <s v="Tech C"/>
    <s v="HMO"/>
    <s v="Test-department mismatch"/>
  </r>
  <r>
    <s v="S1171"/>
    <s v="P96964"/>
    <s v="Male"/>
    <n v="64"/>
    <x v="5"/>
    <s v="Blood"/>
    <x v="1"/>
    <d v="2026-04-22T00:00:00"/>
    <x v="0"/>
    <d v="1899-12-30T09:26:00"/>
    <n v="4"/>
    <d v="2026-04-22T00:00:00"/>
    <d v="1899-12-30T13:26:00"/>
    <n v="4"/>
    <x v="1"/>
    <s v="Accepted"/>
    <x v="0"/>
    <s v="Completed"/>
    <n v="25"/>
    <x v="1"/>
    <x v="1"/>
    <n v="5"/>
    <s v="Dr Adebayo"/>
    <x v="2"/>
    <s v="Tech B"/>
    <s v="Private"/>
    <s v="Test-department mismatch"/>
  </r>
  <r>
    <s v="S1172"/>
    <s v="P13754"/>
    <s v="Female"/>
    <n v="34"/>
    <x v="1"/>
    <s v="Blood"/>
    <x v="2"/>
    <d v="2026-05-09T00:00:00"/>
    <x v="4"/>
    <d v="1899-12-30T12:53:00"/>
    <n v="3"/>
    <d v="2026-05-09T00:00:00"/>
    <d v="1899-12-30T18:53:00"/>
    <n v="6"/>
    <x v="0"/>
    <s v="Accepted"/>
    <x v="0"/>
    <s v="Completed"/>
    <n v="15"/>
    <x v="1"/>
    <x v="0"/>
    <n v="1"/>
    <s v="Dr Ahmed"/>
    <x v="1"/>
    <s v="Tech B"/>
    <s v="NHIA"/>
    <m/>
  </r>
  <r>
    <s v="S1173"/>
    <s v="P52329"/>
    <s v="Female"/>
    <n v="16"/>
    <x v="2"/>
    <s v="Urine"/>
    <x v="3"/>
    <d v="2026-02-01T00:00:00"/>
    <x v="5"/>
    <d v="1899-12-30T09:09:00"/>
    <n v="8"/>
    <d v="2026-02-02T00:00:00"/>
    <d v="1899-12-30T00:09:00"/>
    <n v="15"/>
    <x v="0"/>
    <s v="Accepted"/>
    <x v="0"/>
    <s v="Completed"/>
    <n v="20"/>
    <x v="1"/>
    <x v="1"/>
    <n v="1"/>
    <s v="Dr Adebayo"/>
    <x v="2"/>
    <s v="Tech C"/>
    <s v="HMO"/>
    <s v=" "/>
  </r>
  <r>
    <s v="S1174"/>
    <s v="P41926"/>
    <s v="Female"/>
    <n v="4"/>
    <x v="3"/>
    <s v="Blood"/>
    <x v="0"/>
    <d v="2026-02-07T00:00:00"/>
    <x v="5"/>
    <d v="1899-12-30T08:44:00"/>
    <n v="24"/>
    <d v="2026-02-08T00:00:00"/>
    <d v="1899-12-30T09:44:00"/>
    <n v="25"/>
    <x v="0"/>
    <s v="Accepted"/>
    <x v="0"/>
    <s v="Completed"/>
    <n v="50"/>
    <x v="0"/>
    <x v="1"/>
    <n v="1"/>
    <s v="Dr Adebayo"/>
    <x v="0"/>
    <s v="Tech A"/>
    <s v="NHIA"/>
    <s v="Female patient with PSA test; Suspicious Test-Age Combination; Test-department mismatch"/>
  </r>
  <r>
    <s v="S1175"/>
    <s v="P88239"/>
    <s v="Male"/>
    <n v="57"/>
    <x v="4"/>
    <s v="Blood"/>
    <x v="2"/>
    <d v="2026-01-23T00:00:00"/>
    <x v="3"/>
    <d v="1899-12-30T11:08:00"/>
    <n v="6"/>
    <d v="2026-01-23T00:00:00"/>
    <d v="1899-12-30T23:08:00"/>
    <n v="12"/>
    <x v="0"/>
    <s v="Accepted"/>
    <x v="0"/>
    <s v="Completed"/>
    <n v="-20"/>
    <x v="1"/>
    <x v="0"/>
    <n v="1"/>
    <s v="Dr Okafor"/>
    <x v="2"/>
    <s v="Tech B"/>
    <s v="NHIA"/>
    <s v="Test-department mismatch"/>
  </r>
  <r>
    <s v="S1176"/>
    <s v="P79880"/>
    <s v="Male"/>
    <n v="70"/>
    <x v="0"/>
    <s v="Blood"/>
    <x v="0"/>
    <d v="2026-03-13T00:00:00"/>
    <x v="1"/>
    <d v="1899-12-30T14:26:00"/>
    <n v="5"/>
    <d v="2026-03-14T00:00:00"/>
    <d v="1899-12-30T03:26:00"/>
    <n v="13"/>
    <x v="0"/>
    <s v="Accepted"/>
    <x v="0"/>
    <s v="Completed"/>
    <n v="35"/>
    <x v="1"/>
    <x v="2"/>
    <n v="1"/>
    <s v="Dr Okafor"/>
    <x v="1"/>
    <s v="Tech C"/>
    <s v="HMO"/>
    <s v=" "/>
  </r>
  <r>
    <s v="S1177"/>
    <s v="P14594"/>
    <s v="Female"/>
    <n v="45"/>
    <x v="5"/>
    <s v="Blood"/>
    <x v="3"/>
    <d v="2026-06-06T00:00:00"/>
    <x v="2"/>
    <d v="1899-12-30T10:45:00"/>
    <n v="4"/>
    <d v="2026-06-06T00:00:00"/>
    <d v="1899-12-30T15:45:00"/>
    <n v="5"/>
    <x v="0"/>
    <s v="Accepted"/>
    <x v="0"/>
    <s v="Completed"/>
    <n v="25"/>
    <x v="1"/>
    <x v="1"/>
    <n v="1"/>
    <s v="Dr Adebayo"/>
    <x v="3"/>
    <s v="Tech B"/>
    <s v="HMO"/>
    <s v="Test-department mismatch"/>
  </r>
  <r>
    <s v="S1178"/>
    <s v="P79355"/>
    <s v="Male"/>
    <n v="29"/>
    <x v="3"/>
    <s v="Blood"/>
    <x v="4"/>
    <d v="2026-06-02T00:00:00"/>
    <x v="2"/>
    <d v="1899-12-30T08:35:00"/>
    <n v="24"/>
    <d v="2026-06-03T00:00:00"/>
    <d v="1899-12-30T11:35:00"/>
    <n v="27"/>
    <x v="0"/>
    <s v="Accepted"/>
    <x v="0"/>
    <s v="Completed"/>
    <n v="50"/>
    <x v="0"/>
    <x v="2"/>
    <n v="1"/>
    <s v="Dr Ahmed"/>
    <x v="2"/>
    <s v="Tech A"/>
    <s v="HMO"/>
    <s v=" "/>
  </r>
  <r>
    <s v="S1179"/>
    <s v="P81457"/>
    <s v="Female"/>
    <n v="22"/>
    <x v="2"/>
    <s v="Urine"/>
    <x v="3"/>
    <d v="2026-03-28T00:00:00"/>
    <x v="1"/>
    <d v="1899-12-30T13:13:00"/>
    <n v="8"/>
    <d v="2026-03-28T00:00:00"/>
    <d v="1899-12-30T21:13:00"/>
    <n v="8"/>
    <x v="1"/>
    <s v="Accepted"/>
    <x v="0"/>
    <s v="Completed"/>
    <n v="20"/>
    <x v="1"/>
    <x v="1"/>
    <n v="1"/>
    <s v="Dr Adebayo"/>
    <x v="2"/>
    <s v="Tech B"/>
    <s v="HMO"/>
    <s v=" "/>
  </r>
  <r>
    <s v="S1180"/>
    <s v="P93478"/>
    <s v="Male"/>
    <n v="23"/>
    <x v="1"/>
    <s v="Blood"/>
    <x v="3"/>
    <d v="2026-05-25T00:00:00"/>
    <x v="4"/>
    <d v="1899-12-30T15:05:00"/>
    <n v="3"/>
    <d v="2026-05-25T00:00:00"/>
    <d v="1899-12-30T22:05:00"/>
    <n v="7"/>
    <x v="0"/>
    <s v="Accepted"/>
    <x v="0"/>
    <s v="Completed"/>
    <n v="15"/>
    <x v="1"/>
    <x v="0"/>
    <n v="3"/>
    <s v="Dr Ahmed"/>
    <x v="1"/>
    <s v="Tech A"/>
    <s v="HMO"/>
    <s v="Test-department mismatch"/>
  </r>
  <r>
    <s v="S1181"/>
    <s v="P21600"/>
    <s v="Male"/>
    <n v="8"/>
    <x v="1"/>
    <s v="Blood"/>
    <x v="1"/>
    <d v="2026-03-23T00:00:00"/>
    <x v="1"/>
    <d v="1899-12-30T09:54:00"/>
    <n v="3"/>
    <d v="2026-03-23T00:00:00"/>
    <d v="1899-12-30T14:54:00"/>
    <n v="5"/>
    <x v="0"/>
    <s v="Accepted"/>
    <x v="0"/>
    <s v="Completed"/>
    <n v="15"/>
    <x v="0"/>
    <x v="2"/>
    <n v="2"/>
    <s v="Dr Okafor"/>
    <x v="1"/>
    <s v="Tech C"/>
    <s v="Private"/>
    <s v="Test-department mismatch"/>
  </r>
  <r>
    <s v="S1182"/>
    <s v="P98221"/>
    <s v="Female"/>
    <n v="72"/>
    <x v="3"/>
    <s v="Blood"/>
    <x v="4"/>
    <d v="2026-02-03T00:00:00"/>
    <x v="5"/>
    <d v="1899-12-30T13:29:00"/>
    <n v="24"/>
    <d v="2026-02-04T00:00:00"/>
    <d v="1899-12-30T16:29:00"/>
    <n v="27"/>
    <x v="0"/>
    <s v="Accepted"/>
    <x v="0"/>
    <s v="Completed"/>
    <n v="50"/>
    <x v="1"/>
    <x v="1"/>
    <n v="3"/>
    <s v="Dr Adebayo"/>
    <x v="3"/>
    <s v="Tech C"/>
    <s v="NHIA"/>
    <s v="Female patient with PSA test"/>
  </r>
  <r>
    <s v="S1183"/>
    <s v="P47354"/>
    <s v="Male"/>
    <n v="9"/>
    <x v="5"/>
    <s v="Blood"/>
    <x v="1"/>
    <d v="2026-04-21T00:00:00"/>
    <x v="0"/>
    <d v="1899-12-30T11:59:00"/>
    <n v="4"/>
    <d v="2026-04-21T00:00:00"/>
    <d v="1899-12-30T18:59:00"/>
    <n v="7"/>
    <x v="0"/>
    <s v="Accepted"/>
    <x v="0"/>
    <s v="Completed"/>
    <n v="25"/>
    <x v="1"/>
    <x v="1"/>
    <n v="2"/>
    <s v="Dr James"/>
    <x v="2"/>
    <s v="Tech B"/>
    <s v="HMO"/>
    <s v="Test-department mismatch"/>
  </r>
  <r>
    <s v="S1184"/>
    <s v="P12070"/>
    <s v="Female"/>
    <n v="35"/>
    <x v="3"/>
    <s v="Blood"/>
    <x v="4"/>
    <d v="2026-05-08T00:00:00"/>
    <x v="4"/>
    <d v="1899-12-30T11:43:00"/>
    <n v="24"/>
    <d v="2026-05-09T00:00:00"/>
    <d v="1899-12-30T12:43:00"/>
    <n v="25"/>
    <x v="0"/>
    <s v="Accepted"/>
    <x v="0"/>
    <s v="Completed"/>
    <n v="50"/>
    <x v="0"/>
    <x v="0"/>
    <n v="1"/>
    <s v="Dr Adebayo"/>
    <x v="0"/>
    <s v="Tech A"/>
    <s v="NHIA"/>
    <s v="Female patient with PSA test"/>
  </r>
  <r>
    <s v="S1185"/>
    <s v="P94635"/>
    <s v="Male"/>
    <n v="2"/>
    <x v="3"/>
    <s v="Blood"/>
    <x v="4"/>
    <d v="2026-03-18T00:00:00"/>
    <x v="1"/>
    <d v="1899-12-30T15:15:00"/>
    <n v="24"/>
    <d v="2026-03-19T00:00:00"/>
    <d v="1899-12-30T22:15:00"/>
    <n v="31"/>
    <x v="0"/>
    <s v="Accepted"/>
    <x v="0"/>
    <s v="Completed"/>
    <n v="50"/>
    <x v="0"/>
    <x v="2"/>
    <n v="4"/>
    <s v="Dr James"/>
    <x v="1"/>
    <s v="Tech A"/>
    <s v="HMO"/>
    <s v="Suspicious Test-Age Combination"/>
  </r>
  <r>
    <s v="S1186"/>
    <s v="P77785"/>
    <s v="Female"/>
    <n v="3"/>
    <x v="5"/>
    <s v="Blood"/>
    <x v="1"/>
    <d v="2026-06-22T00:00:00"/>
    <x v="2"/>
    <d v="1899-12-30T10:06:00"/>
    <n v="4"/>
    <d v="2026-06-22T00:00:00"/>
    <d v="1899-12-30T17:06:00"/>
    <n v="7"/>
    <x v="0"/>
    <s v="Accepted"/>
    <x v="0"/>
    <s v="Completed"/>
    <n v="25"/>
    <x v="1"/>
    <x v="2"/>
    <n v="5"/>
    <s v="Dr Ahmed"/>
    <x v="0"/>
    <s v="Tech A"/>
    <s v="HMO"/>
    <s v="Test-department mismatch"/>
  </r>
  <r>
    <s v="S1187"/>
    <s v="P20518"/>
    <s v="Male"/>
    <n v="88"/>
    <x v="5"/>
    <s v="Blood"/>
    <x v="1"/>
    <d v="2026-06-28T00:00:00"/>
    <x v="2"/>
    <d v="1899-12-30T15:21:00"/>
    <n v="4"/>
    <d v="2026-06-29T00:00:00"/>
    <d v="1899-12-30T00:21:00"/>
    <n v="9"/>
    <x v="0"/>
    <s v="Accepted"/>
    <x v="0"/>
    <s v="Completed"/>
    <n v="25"/>
    <x v="0"/>
    <x v="2"/>
    <n v="4"/>
    <s v="Dr Adebayo"/>
    <x v="2"/>
    <s v="Tech A"/>
    <s v="HMO"/>
    <s v="Test-department mismatch"/>
  </r>
  <r>
    <s v="S1188"/>
    <s v="P24380"/>
    <s v="Male"/>
    <n v="19"/>
    <x v="3"/>
    <s v="Blood"/>
    <x v="2"/>
    <d v="2026-03-01T00:00:00"/>
    <x v="1"/>
    <d v="1899-12-30T08:16:00"/>
    <n v="24"/>
    <d v="2026-03-02T00:00:00"/>
    <d v="1899-12-30T11:16:00"/>
    <n v="27"/>
    <x v="0"/>
    <s v="Accepted"/>
    <x v="0"/>
    <s v="Pending"/>
    <n v="50"/>
    <x v="1"/>
    <x v="0"/>
    <n v="1"/>
    <s v="Dr Okafor"/>
    <x v="3"/>
    <s v="Tech B"/>
    <s v="HMO"/>
    <s v="Suspicious Test-Age Combination; Pending test with released resultTest-department mismatch"/>
  </r>
  <r>
    <s v="S1189"/>
    <s v="P66626"/>
    <s v="Male"/>
    <n v="28"/>
    <x v="0"/>
    <s v="Blood"/>
    <x v="3"/>
    <d v="2026-06-12T00:00:00"/>
    <x v="2"/>
    <d v="1899-12-30T14:49:00"/>
    <n v="5"/>
    <d v="2026-06-12T00:00:00"/>
    <d v="1899-12-30T20:49:00"/>
    <n v="6"/>
    <x v="0"/>
    <s v="Accepted"/>
    <x v="0"/>
    <s v="Completed"/>
    <n v="35"/>
    <x v="1"/>
    <x v="1"/>
    <n v="1"/>
    <s v="Dr Okafor"/>
    <x v="1"/>
    <s v="Tech C"/>
    <s v="Private"/>
    <s v="Test-department mismatch"/>
  </r>
  <r>
    <s v="S1190"/>
    <s v="P96878"/>
    <s v="Male"/>
    <n v="57"/>
    <x v="4"/>
    <s v="Blood"/>
    <x v="3"/>
    <d v="2026-03-17T00:00:00"/>
    <x v="1"/>
    <d v="1899-12-30T11:22:00"/>
    <n v="6"/>
    <d v="2026-03-17T00:00:00"/>
    <d v="1899-12-30T18:22:00"/>
    <n v="7"/>
    <x v="0"/>
    <s v="Accepted"/>
    <x v="0"/>
    <s v="Completed"/>
    <n v="40"/>
    <x v="1"/>
    <x v="1"/>
    <n v="3"/>
    <s v="Dr James"/>
    <x v="1"/>
    <s v="Tech B"/>
    <s v="Private"/>
    <s v="Test-department mismatch"/>
  </r>
  <r>
    <s v="S1191"/>
    <s v="P41944"/>
    <s v="Female"/>
    <n v="20"/>
    <x v="0"/>
    <s v="Blood"/>
    <x v="0"/>
    <d v="2026-06-14T00:00:00"/>
    <x v="2"/>
    <d v="1899-12-30T08:08:00"/>
    <n v="5"/>
    <d v="2026-06-14T00:00:00"/>
    <d v="1899-12-30T21:08:00"/>
    <n v="13"/>
    <x v="0"/>
    <s v="Accepted"/>
    <x v="0"/>
    <s v="Completed"/>
    <n v="35"/>
    <x v="0"/>
    <x v="2"/>
    <n v="4"/>
    <s v="Dr Okafor"/>
    <x v="1"/>
    <s v="Tech B"/>
    <s v="NHIA"/>
    <s v=" "/>
  </r>
  <r>
    <s v="S1192"/>
    <s v="P65956"/>
    <s v="Female"/>
    <n v="1"/>
    <x v="1"/>
    <s v="Blood"/>
    <x v="3"/>
    <d v="2026-06-03T00:00:00"/>
    <x v="2"/>
    <d v="1899-12-30T15:06:00"/>
    <n v="3"/>
    <d v="2026-06-03T00:00:00"/>
    <d v="1899-12-30T18:06:00"/>
    <n v="3"/>
    <x v="1"/>
    <s v="Accepted"/>
    <x v="0"/>
    <s v="Completed"/>
    <n v="15"/>
    <x v="0"/>
    <x v="0"/>
    <n v="1"/>
    <s v="Dr James"/>
    <x v="0"/>
    <s v="Tech B"/>
    <s v="NHIA"/>
    <s v="Test-department mismatch"/>
  </r>
  <r>
    <s v="S1193"/>
    <s v="P71583"/>
    <s v="Male"/>
    <n v="47"/>
    <x v="4"/>
    <s v="Blood"/>
    <x v="0"/>
    <d v="2026-04-22T00:00:00"/>
    <x v="0"/>
    <d v="1899-12-30T12:27:00"/>
    <n v="6"/>
    <d v="2026-04-22T00:00:00"/>
    <d v="1899-12-30T17:27:00"/>
    <n v="5"/>
    <x v="1"/>
    <s v="Accepted"/>
    <x v="0"/>
    <s v="Completed"/>
    <n v="40"/>
    <x v="1"/>
    <x v="0"/>
    <n v="5"/>
    <s v="Dr Okafor"/>
    <x v="3"/>
    <s v="Tech A"/>
    <s v="NHIA"/>
    <s v=" "/>
  </r>
  <r>
    <s v="S1194"/>
    <s v="P43891"/>
    <s v="Female"/>
    <n v="55"/>
    <x v="4"/>
    <s v="Blood"/>
    <x v="1"/>
    <d v="2026-02-21T00:00:00"/>
    <x v="5"/>
    <d v="1899-12-30T11:54:00"/>
    <n v="6"/>
    <d v="2026-02-21T00:00:00"/>
    <d v="1899-12-30T21:54:00"/>
    <n v="10"/>
    <x v="0"/>
    <s v="Accepted"/>
    <x v="0"/>
    <s v="Completed"/>
    <n v="40"/>
    <x v="0"/>
    <x v="0"/>
    <n v="3"/>
    <s v="Dr James"/>
    <x v="2"/>
    <s v="Tech B"/>
    <s v="NHIA"/>
    <s v="Test-department mismatch"/>
  </r>
  <r>
    <s v="S1195"/>
    <s v="P28079"/>
    <s v="Female"/>
    <n v="18"/>
    <x v="1"/>
    <s v="Blood"/>
    <x v="2"/>
    <d v="2026-04-09T00:00:00"/>
    <x v="0"/>
    <d v="1899-12-30T12:12:00"/>
    <n v="3"/>
    <d v="2026-04-09T00:00:00"/>
    <d v="1899-12-30T18:12:00"/>
    <n v="6"/>
    <x v="0"/>
    <s v="Rejected"/>
    <x v="2"/>
    <s v="Completed"/>
    <n v="15"/>
    <x v="1"/>
    <x v="0"/>
    <n v="3"/>
    <s v="Dr Adebayo"/>
    <x v="0"/>
    <s v="Tech C"/>
    <s v="HMO"/>
    <s v="Sample-test status mismatch; Rejected sample with released result"/>
  </r>
  <r>
    <s v="S1196"/>
    <s v="P26162"/>
    <s v="Female"/>
    <n v="69"/>
    <x v="1"/>
    <s v="Blood"/>
    <x v="3"/>
    <d v="2026-01-13T00:00:00"/>
    <x v="3"/>
    <d v="1899-12-30T16:40:00"/>
    <n v="3"/>
    <d v="2026-01-13T00:00:00"/>
    <d v="1899-12-30T22:40:00"/>
    <n v="6"/>
    <x v="0"/>
    <s v="Accepted"/>
    <x v="0"/>
    <s v="Completed"/>
    <n v="15"/>
    <x v="0"/>
    <x v="2"/>
    <n v="3"/>
    <s v="Dr Okafor"/>
    <x v="1"/>
    <s v="Tech A"/>
    <s v="NHIA"/>
    <s v="Test-department mismatch"/>
  </r>
  <r>
    <s v="S1197"/>
    <s v="P33781"/>
    <s v="Male"/>
    <n v="63"/>
    <x v="5"/>
    <s v="Blood"/>
    <x v="1"/>
    <d v="2026-05-12T00:00:00"/>
    <x v="4"/>
    <d v="1899-12-30T10:38:00"/>
    <n v="4"/>
    <d v="2026-05-12T00:00:00"/>
    <d v="1899-12-30T14:38:00"/>
    <n v="4"/>
    <x v="1"/>
    <s v="Accepted"/>
    <x v="0"/>
    <s v="Completed"/>
    <n v="25"/>
    <x v="0"/>
    <x v="2"/>
    <n v="3"/>
    <s v="Dr James"/>
    <x v="3"/>
    <s v="Tech A"/>
    <s v="Private"/>
    <s v="Test-department mismatch"/>
  </r>
  <r>
    <s v="S1198"/>
    <s v="P70924"/>
    <s v="Female"/>
    <n v="90"/>
    <x v="5"/>
    <s v="Blood"/>
    <x v="0"/>
    <d v="2026-03-31T00:00:00"/>
    <x v="1"/>
    <d v="1899-12-30T08:00:00"/>
    <n v="4"/>
    <d v="2026-03-31T00:00:00"/>
    <d v="1899-12-30T11:00:00"/>
    <n v="3"/>
    <x v="1"/>
    <s v="Accepted"/>
    <x v="0"/>
    <s v="Pending"/>
    <n v="25"/>
    <x v="1"/>
    <x v="1"/>
    <n v="5"/>
    <s v="Dr Ahmed"/>
    <x v="2"/>
    <s v="Tech C"/>
    <s v="Private"/>
    <s v="Test-department mismatch; Pending test with released result"/>
  </r>
  <r>
    <s v="S1199"/>
    <s v="P94767"/>
    <s v="Female"/>
    <n v="81"/>
    <x v="3"/>
    <s v="Blood"/>
    <x v="4"/>
    <d v="2026-01-02T00:00:00"/>
    <x v="3"/>
    <d v="1899-12-30T14:39:00"/>
    <n v="24"/>
    <d v="2026-01-03T00:00:00"/>
    <d v="1899-12-30T16:39:00"/>
    <n v="26"/>
    <x v="0"/>
    <s v="Accepted"/>
    <x v="0"/>
    <s v="Completed"/>
    <n v="50"/>
    <x v="1"/>
    <x v="1"/>
    <n v="3"/>
    <s v="Dr Ahmed"/>
    <x v="2"/>
    <s v="Tech A"/>
    <s v="Private"/>
    <s v="Female patient with PSA test"/>
  </r>
  <r>
    <s v="S1005"/>
    <s v="P59415"/>
    <s v="Male"/>
    <n v="55"/>
    <x v="0"/>
    <s v="Blood"/>
    <x v="2"/>
    <d v="2026-03-15T00:00:00"/>
    <x v="1"/>
    <d v="1899-12-30T13:33:00"/>
    <n v="5"/>
    <d v="2026-03-15T00:00:00"/>
    <d v="1899-12-30T19:33:00"/>
    <n v="6"/>
    <x v="0"/>
    <s v="Accepted"/>
    <x v="0"/>
    <s v="Completed"/>
    <n v="35"/>
    <x v="1"/>
    <x v="1"/>
    <n v="3"/>
    <s v="Dr Ahmed"/>
    <x v="2"/>
    <s v="Tech B"/>
    <s v="HMO"/>
    <s v="Duplicate Sample ID; Test-department mismatch"/>
  </r>
  <r>
    <s v="S1201"/>
    <s v="P34120"/>
    <s v="Female"/>
    <n v="2"/>
    <x v="1"/>
    <s v="Blood"/>
    <x v="0"/>
    <d v="2026-05-26T00:00:00"/>
    <x v="4"/>
    <d v="1899-12-30T07:59:00"/>
    <n v="3"/>
    <d v="2026-05-26T00:00:00"/>
    <d v="1899-12-30T15:59:00"/>
    <n v="8"/>
    <x v="0"/>
    <s v="Accepted"/>
    <x v="0"/>
    <s v="Completed"/>
    <n v="15"/>
    <x v="1"/>
    <x v="1"/>
    <n v="5"/>
    <s v="Dr Ahmed"/>
    <x v="0"/>
    <s v="Tech B"/>
    <s v="HMO"/>
    <s v="Test-department mismatch"/>
  </r>
  <r>
    <s v="S1202"/>
    <s v="P29623"/>
    <s v="Female"/>
    <n v="73"/>
    <x v="0"/>
    <s v="Blood"/>
    <x v="3"/>
    <d v="2026-03-16T00:00:00"/>
    <x v="1"/>
    <d v="1899-12-30T08:09:00"/>
    <n v="5"/>
    <d v="2026-03-16T00:00:00"/>
    <d v="1899-12-30T13:09:00"/>
    <n v="5"/>
    <x v="1"/>
    <s v="Accepted"/>
    <x v="0"/>
    <s v="Completed"/>
    <n v="35"/>
    <x v="1"/>
    <x v="1"/>
    <n v="3"/>
    <s v="Dr Okafor"/>
    <x v="0"/>
    <s v="Tech A"/>
    <s v="Private"/>
    <s v="Test-department mismatch"/>
  </r>
  <r>
    <s v="S1203"/>
    <s v="P54138"/>
    <s v="Male"/>
    <n v="89"/>
    <x v="0"/>
    <s v="Blood"/>
    <x v="0"/>
    <d v="2026-05-06T00:00:00"/>
    <x v="4"/>
    <d v="1899-12-30T07:21:00"/>
    <n v="5"/>
    <d v="2026-05-06T00:00:00"/>
    <d v="1899-12-30T11:21:00"/>
    <n v="4"/>
    <x v="1"/>
    <s v="Accepted"/>
    <x v="0"/>
    <s v="Completed"/>
    <n v="35"/>
    <x v="0"/>
    <x v="0"/>
    <n v="4"/>
    <s v="Dr Okafor"/>
    <x v="0"/>
    <s v="Tech A"/>
    <s v="Private"/>
    <s v=" "/>
  </r>
  <r>
    <s v="S1204"/>
    <s v="P41267"/>
    <s v="Female"/>
    <n v="53"/>
    <x v="4"/>
    <s v="Blood"/>
    <x v="3"/>
    <d v="2026-02-04T00:00:00"/>
    <x v="5"/>
    <d v="1899-12-30T10:41:00"/>
    <n v="6"/>
    <d v="2026-02-04T00:00:00"/>
    <d v="1899-12-30T16:41:00"/>
    <n v="6"/>
    <x v="1"/>
    <s v="Accepted"/>
    <x v="0"/>
    <s v="Completed"/>
    <n v="40"/>
    <x v="0"/>
    <x v="1"/>
    <n v="2"/>
    <s v="Dr James"/>
    <x v="1"/>
    <s v="Tech B"/>
    <s v="NHIA"/>
    <s v="Test-department mismatch"/>
  </r>
  <r>
    <s v="S1205"/>
    <s v="P87418"/>
    <s v="Female"/>
    <n v="70"/>
    <x v="0"/>
    <s v="Blood"/>
    <x v="3"/>
    <d v="2026-04-17T00:00:00"/>
    <x v="0"/>
    <d v="1899-12-30T09:37:00"/>
    <n v="5"/>
    <d v="2026-04-17T00:00:00"/>
    <d v="1899-12-30T20:37:00"/>
    <n v="11"/>
    <x v="0"/>
    <s v="Accepted"/>
    <x v="0"/>
    <s v="Completed"/>
    <n v="35"/>
    <x v="1"/>
    <x v="0"/>
    <n v="2"/>
    <s v="Dr James"/>
    <x v="3"/>
    <s v="Tech B"/>
    <s v="NHIA"/>
    <s v="Test-department mismatch"/>
  </r>
  <r>
    <s v="S1206"/>
    <s v="P56055"/>
    <s v="Male"/>
    <n v="21"/>
    <x v="5"/>
    <s v="Blood"/>
    <x v="1"/>
    <d v="2026-06-03T00:00:00"/>
    <x v="2"/>
    <d v="1899-12-30T16:46:00"/>
    <n v="4"/>
    <d v="2026-06-04T00:00:00"/>
    <d v="1899-12-30T00:46:00"/>
    <n v="8"/>
    <x v="0"/>
    <s v="Accepted"/>
    <x v="0"/>
    <s v="Completed"/>
    <n v="25"/>
    <x v="1"/>
    <x v="0"/>
    <n v="3"/>
    <s v="Dr Adebayo"/>
    <x v="1"/>
    <s v="Tech B"/>
    <s v="HMO"/>
    <s v="Test-department mismatch"/>
  </r>
  <r>
    <s v="S1207"/>
    <s v="P74785"/>
    <s v="Male"/>
    <n v="37"/>
    <x v="3"/>
    <s v="Blood"/>
    <x v="1"/>
    <d v="2026-04-25T00:00:00"/>
    <x v="0"/>
    <d v="1899-12-30T08:31:00"/>
    <n v="24"/>
    <d v="2026-04-26T00:00:00"/>
    <d v="1899-12-30T10:31:00"/>
    <n v="26"/>
    <x v="0"/>
    <s v="Accepted"/>
    <x v="0"/>
    <s v="Completed"/>
    <n v="50"/>
    <x v="1"/>
    <x v="0"/>
    <n v="2"/>
    <s v="Dr Ahmed"/>
    <x v="3"/>
    <s v="Tech A"/>
    <s v="Private"/>
    <s v="Test-department mismatch"/>
  </r>
  <r>
    <s v="S1208"/>
    <s v="P51296"/>
    <s v="Female"/>
    <n v="17"/>
    <x v="5"/>
    <s v="Blood"/>
    <x v="4"/>
    <d v="2026-03-22T00:00:00"/>
    <x v="1"/>
    <d v="1899-12-30T11:41:00"/>
    <n v="4"/>
    <d v="2026-03-22T00:00:00"/>
    <d v="1899-12-30T20:41:00"/>
    <n v="9"/>
    <x v="0"/>
    <s v="Accepted"/>
    <x v="0"/>
    <s v="Completed"/>
    <n v="25"/>
    <x v="0"/>
    <x v="0"/>
    <n v="5"/>
    <s v="Dr Ahmed"/>
    <x v="1"/>
    <s v="Tech A"/>
    <s v="Private"/>
    <s v="Test-department mismatch"/>
  </r>
  <r>
    <s v="S1209"/>
    <s v="P46437"/>
    <s v="Female"/>
    <n v="2"/>
    <x v="0"/>
    <s v="Blood"/>
    <x v="1"/>
    <d v="2026-04-10T00:00:00"/>
    <x v="0"/>
    <d v="1899-12-30T16:24:00"/>
    <n v="5"/>
    <d v="2026-04-10T00:00:00"/>
    <d v="1899-12-30T20:24:00"/>
    <n v="4"/>
    <x v="1"/>
    <s v="Accepted"/>
    <x v="0"/>
    <s v="Completed"/>
    <n v="35"/>
    <x v="0"/>
    <x v="2"/>
    <n v="2"/>
    <s v="Dr Adebayo"/>
    <x v="0"/>
    <s v="Tech B"/>
    <s v="NHIA"/>
    <s v="Test-department mismatch"/>
  </r>
  <r>
    <s v="S1210"/>
    <s v="P10152"/>
    <s v="Female"/>
    <n v="40"/>
    <x v="5"/>
    <s v="Blood"/>
    <x v="1"/>
    <d v="2026-05-29T00:00:00"/>
    <x v="4"/>
    <d v="1899-12-30T08:39:00"/>
    <n v="4"/>
    <d v="2026-05-29T00:00:00"/>
    <d v="1899-12-30T14:39:00"/>
    <n v="6"/>
    <x v="0"/>
    <s v="Accepted"/>
    <x v="0"/>
    <s v="Completed"/>
    <n v="25"/>
    <x v="0"/>
    <x v="1"/>
    <n v="1"/>
    <s v="Dr James"/>
    <x v="1"/>
    <s v="Tech C"/>
    <s v="NHIA"/>
    <s v="Test-department mismatch"/>
  </r>
  <r>
    <s v="S1211"/>
    <s v="P41067"/>
    <s v="Male"/>
    <n v="85"/>
    <x v="4"/>
    <s v="Blood"/>
    <x v="0"/>
    <d v="2026-04-16T00:00:00"/>
    <x v="0"/>
    <d v="1899-12-30T11:45:00"/>
    <n v="6"/>
    <d v="2026-04-16T00:00:00"/>
    <d v="1899-12-30T20:45:00"/>
    <n v="9"/>
    <x v="0"/>
    <s v="Accepted"/>
    <x v="0"/>
    <s v="Completed"/>
    <n v="40"/>
    <x v="1"/>
    <x v="0"/>
    <n v="5"/>
    <s v="Dr Okafor"/>
    <x v="3"/>
    <s v="Tech B"/>
    <s v="Private"/>
    <s v=" "/>
  </r>
  <r>
    <s v="S1212"/>
    <s v="P30432"/>
    <s v="Female"/>
    <n v="34"/>
    <x v="1"/>
    <s v="Blood"/>
    <x v="3"/>
    <d v="2026-05-22T00:00:00"/>
    <x v="4"/>
    <d v="1899-12-30T16:36:00"/>
    <n v="3"/>
    <d v="2026-05-22T00:00:00"/>
    <d v="1899-12-30T19:36:00"/>
    <n v="3"/>
    <x v="1"/>
    <s v="Accepted"/>
    <x v="0"/>
    <s v="Completed"/>
    <n v="15"/>
    <x v="0"/>
    <x v="1"/>
    <n v="2"/>
    <s v="Dr Ahmed"/>
    <x v="3"/>
    <s v="Tech C"/>
    <s v="HMO"/>
    <s v="Test-department mismatch"/>
  </r>
  <r>
    <s v="S1213"/>
    <s v="P19406"/>
    <s v="Male"/>
    <n v="64"/>
    <x v="4"/>
    <s v="Blood"/>
    <x v="4"/>
    <d v="2026-05-08T00:00:00"/>
    <x v="4"/>
    <d v="1899-12-30T15:20:00"/>
    <n v="6"/>
    <d v="2026-05-09T00:00:00"/>
    <d v="1899-12-30T00:20:00"/>
    <n v="9"/>
    <x v="0"/>
    <s v="Accepted"/>
    <x v="0"/>
    <s v="Completed"/>
    <n v="40"/>
    <x v="0"/>
    <x v="1"/>
    <n v="2"/>
    <s v="Dr Okafor"/>
    <x v="0"/>
    <s v="Tech B"/>
    <s v="HMO"/>
    <s v="Test-department mismatch"/>
  </r>
  <r>
    <s v="S1214"/>
    <s v="P82684"/>
    <s v="Male"/>
    <n v="11"/>
    <x v="5"/>
    <s v="Blood"/>
    <x v="1"/>
    <d v="2026-06-21T00:00:00"/>
    <x v="2"/>
    <d v="1899-12-30T14:02:00"/>
    <n v="4"/>
    <d v="2026-06-22T00:00:00"/>
    <d v="1899-12-30T00:02:00"/>
    <n v="10"/>
    <x v="0"/>
    <s v="Accepted"/>
    <x v="0"/>
    <s v="Completed"/>
    <n v="25"/>
    <x v="1"/>
    <x v="1"/>
    <n v="3"/>
    <s v="Dr Okafor"/>
    <x v="2"/>
    <s v="Tech C"/>
    <s v="HMO"/>
    <s v="Test-department mismatch"/>
  </r>
  <r>
    <s v="S1215"/>
    <s v="P75174"/>
    <s v="Female"/>
    <n v="37"/>
    <x v="2"/>
    <s v="Urine"/>
    <x v="2"/>
    <d v="2026-01-28T00:00:00"/>
    <x v="3"/>
    <d v="1899-12-30T16:25:00"/>
    <n v="8"/>
    <d v="2026-01-29T00:00:00"/>
    <d v="1899-12-30T07:25:00"/>
    <n v="15"/>
    <x v="0"/>
    <s v="Accepted"/>
    <x v="0"/>
    <s v="Completed"/>
    <n v="20"/>
    <x v="1"/>
    <x v="0"/>
    <n v="3"/>
    <s v="Dr Ahmed"/>
    <x v="3"/>
    <s v="Tech C"/>
    <s v="Private"/>
    <s v="Test-department mismatch"/>
  </r>
  <r>
    <s v="S1216"/>
    <s v="P57713"/>
    <s v="Male"/>
    <n v="67"/>
    <x v="2"/>
    <s v="Urine"/>
    <x v="2"/>
    <d v="2026-03-30T00:00:00"/>
    <x v="1"/>
    <d v="1899-12-30T12:15:00"/>
    <n v="8"/>
    <d v="2026-03-31T00:00:00"/>
    <d v="1899-12-30T03:15:00"/>
    <n v="15"/>
    <x v="0"/>
    <s v="Accepted"/>
    <x v="0"/>
    <s v="Completed"/>
    <n v="20"/>
    <x v="1"/>
    <x v="2"/>
    <n v="4"/>
    <s v="Dr Ahmed"/>
    <x v="0"/>
    <s v="Tech A"/>
    <s v="Private"/>
    <s v="Test-department mismatch"/>
  </r>
  <r>
    <s v="S1217"/>
    <s v="P99096"/>
    <s v="Female"/>
    <n v="63"/>
    <x v="5"/>
    <s v="Blood"/>
    <x v="2"/>
    <d v="2026-03-27T00:00:00"/>
    <x v="1"/>
    <d v="1899-12-30T13:31:00"/>
    <n v="4"/>
    <d v="2026-03-27T00:00:00"/>
    <d v="1899-12-30T19:31:00"/>
    <n v="6"/>
    <x v="0"/>
    <s v="Accepted"/>
    <x v="0"/>
    <s v="Completed"/>
    <n v="25"/>
    <x v="0"/>
    <x v="0"/>
    <n v="5"/>
    <s v="Dr Ahmed"/>
    <x v="3"/>
    <s v="Tech A"/>
    <s v="Private"/>
    <s v="Test-department mismatch"/>
  </r>
  <r>
    <s v="S1218"/>
    <s v="P96016"/>
    <s v="Male"/>
    <n v="35"/>
    <x v="5"/>
    <s v="Blood"/>
    <x v="4"/>
    <d v="2026-02-14T00:00:00"/>
    <x v="5"/>
    <d v="1899-12-30T13:51:00"/>
    <n v="4"/>
    <d v="2026-02-15T00:00:00"/>
    <d v="1899-12-30T00:51:00"/>
    <n v="11"/>
    <x v="0"/>
    <s v="Rejected"/>
    <x v="3"/>
    <s v="Completed"/>
    <n v="25"/>
    <x v="1"/>
    <x v="2"/>
    <n v="1"/>
    <s v="Dr Okafor"/>
    <x v="2"/>
    <s v="Tech B"/>
    <s v="HMO"/>
    <s v="Test-department mismatch; Sample-test status mismatch; Rejected sample with released result"/>
  </r>
  <r>
    <s v="S1219"/>
    <s v="P58821"/>
    <s v="Male"/>
    <n v="71"/>
    <x v="0"/>
    <s v="Blood"/>
    <x v="2"/>
    <d v="2026-04-09T00:00:00"/>
    <x v="0"/>
    <d v="1899-12-30T09:41:00"/>
    <n v="5"/>
    <d v="2026-04-09T00:00:00"/>
    <d v="1899-12-30T19:41:00"/>
    <n v="10"/>
    <x v="0"/>
    <s v="Accepted"/>
    <x v="0"/>
    <s v="Completed"/>
    <n v="35"/>
    <x v="0"/>
    <x v="2"/>
    <n v="2"/>
    <s v="Dr Okafor"/>
    <x v="3"/>
    <s v="Tech B"/>
    <s v="HMO"/>
    <s v="Test-department mismatch"/>
  </r>
  <r>
    <s v="S1220"/>
    <s v="P42227"/>
    <s v="Female"/>
    <n v="67"/>
    <x v="4"/>
    <s v="Blood"/>
    <x v="3"/>
    <d v="2026-04-24T00:00:00"/>
    <x v="0"/>
    <d v="1899-12-30T14:00:00"/>
    <n v="6"/>
    <d v="2026-04-24T00:00:00"/>
    <d v="1899-12-30T23:00:00"/>
    <n v="9"/>
    <x v="0"/>
    <s v="Accepted"/>
    <x v="0"/>
    <s v="Completed"/>
    <n v="40"/>
    <x v="0"/>
    <x v="0"/>
    <n v="3"/>
    <s v="Dr Ahmed"/>
    <x v="0"/>
    <s v="Tech A"/>
    <s v="NHIA"/>
    <s v="Test-department mismatch"/>
  </r>
  <r>
    <s v="S1221"/>
    <s v="P18993"/>
    <s v="Female"/>
    <n v="76"/>
    <x v="4"/>
    <s v="Blood"/>
    <x v="4"/>
    <d v="2026-03-15T00:00:00"/>
    <x v="1"/>
    <d v="1899-12-30T12:01:00"/>
    <n v="6"/>
    <d v="2026-03-15T00:00:00"/>
    <d v="1899-12-30T20:01:00"/>
    <n v="8"/>
    <x v="0"/>
    <s v="Accepted"/>
    <x v="0"/>
    <s v="Completed"/>
    <n v="40"/>
    <x v="1"/>
    <x v="0"/>
    <n v="1"/>
    <s v="Dr Adebayo"/>
    <x v="2"/>
    <s v="Tech B"/>
    <s v="Private"/>
    <s v="Test-department mismatch"/>
  </r>
  <r>
    <s v="S1222"/>
    <s v="P46930"/>
    <s v="Male"/>
    <n v="49"/>
    <x v="1"/>
    <s v="Blood"/>
    <x v="1"/>
    <d v="2026-02-19T00:00:00"/>
    <x v="5"/>
    <d v="1899-12-30T12:21:00"/>
    <n v="3"/>
    <d v="2026-02-19T00:00:00"/>
    <d v="1899-12-30T15:21:00"/>
    <n v="3"/>
    <x v="1"/>
    <s v="Accepted"/>
    <x v="0"/>
    <s v="Completed"/>
    <n v="15"/>
    <x v="1"/>
    <x v="0"/>
    <n v="4"/>
    <s v="Dr Ahmed"/>
    <x v="1"/>
    <s v="Tech A"/>
    <s v="NHIA"/>
    <s v="Test-department mismatch"/>
  </r>
  <r>
    <s v="S1223"/>
    <s v="P68002"/>
    <s v="Male"/>
    <n v="70"/>
    <x v="4"/>
    <s v="Blood"/>
    <x v="4"/>
    <d v="2026-03-28T00:00:00"/>
    <x v="1"/>
    <d v="1899-12-30T07:44:00"/>
    <n v="6"/>
    <d v="2026-03-28T00:00:00"/>
    <d v="1899-12-30T12:44:00"/>
    <n v="5"/>
    <x v="1"/>
    <s v="Accepted"/>
    <x v="0"/>
    <s v="Completed"/>
    <n v="40"/>
    <x v="1"/>
    <x v="2"/>
    <n v="3"/>
    <s v="Dr James"/>
    <x v="1"/>
    <s v="Tech C"/>
    <s v="Private"/>
    <s v="Test-department mismatch"/>
  </r>
  <r>
    <s v="S1224"/>
    <s v="P16620"/>
    <s v="Male"/>
    <n v="77"/>
    <x v="4"/>
    <s v="Blood"/>
    <x v="0"/>
    <d v="2026-04-16T00:00:00"/>
    <x v="0"/>
    <d v="1899-12-30T09:39:00"/>
    <n v="6"/>
    <d v="2026-04-16T00:00:00"/>
    <d v="1899-12-30T15:39:00"/>
    <n v="6"/>
    <x v="1"/>
    <s v="Accepted"/>
    <x v="0"/>
    <s v="Completed"/>
    <n v="40"/>
    <x v="1"/>
    <x v="0"/>
    <n v="3"/>
    <s v="Dr James"/>
    <x v="0"/>
    <s v="Tech A"/>
    <s v="NHIA"/>
    <s v=" "/>
  </r>
  <r>
    <s v="S1225"/>
    <s v="P96660"/>
    <s v="Female"/>
    <n v="69"/>
    <x v="3"/>
    <s v="Blood"/>
    <x v="1"/>
    <d v="2026-04-09T00:00:00"/>
    <x v="0"/>
    <d v="1899-12-30T16:17:00"/>
    <n v="24"/>
    <d v="2026-04-10T00:00:00"/>
    <d v="1899-12-30T19:17:00"/>
    <n v="27"/>
    <x v="0"/>
    <s v="Accepted"/>
    <x v="0"/>
    <s v="Completed"/>
    <n v="50"/>
    <x v="1"/>
    <x v="0"/>
    <n v="2"/>
    <s v="Dr James"/>
    <x v="0"/>
    <s v="Tech B"/>
    <s v="NHIA"/>
    <s v="Female patient with PSA test, Test-department mismatch"/>
  </r>
  <r>
    <s v="S1226"/>
    <s v="P76210"/>
    <s v="Male"/>
    <n v="56"/>
    <x v="3"/>
    <s v="Blood"/>
    <x v="4"/>
    <d v="2026-05-11T00:00:00"/>
    <x v="4"/>
    <d v="1899-12-30T11:28:00"/>
    <n v="24"/>
    <d v="2026-05-12T00:00:00"/>
    <d v="1899-12-30T14:28:00"/>
    <n v="27"/>
    <x v="0"/>
    <s v="Accepted"/>
    <x v="0"/>
    <s v="Completed"/>
    <n v="50"/>
    <x v="1"/>
    <x v="1"/>
    <n v="5"/>
    <s v="Dr Adebayo"/>
    <x v="2"/>
    <s v="Tech A"/>
    <s v="Private"/>
    <s v=" "/>
  </r>
  <r>
    <s v="S1227"/>
    <s v="P51315"/>
    <s v="Female"/>
    <n v="82"/>
    <x v="5"/>
    <s v="Blood"/>
    <x v="3"/>
    <d v="2026-04-20T00:00:00"/>
    <x v="0"/>
    <d v="1899-12-30T13:31:00"/>
    <n v="4"/>
    <d v="2026-04-20T00:00:00"/>
    <d v="1899-12-30T18:31:00"/>
    <n v="5"/>
    <x v="0"/>
    <s v="Accepted"/>
    <x v="0"/>
    <s v="Completed"/>
    <n v="25"/>
    <x v="1"/>
    <x v="1"/>
    <n v="5"/>
    <s v="Dr James"/>
    <x v="3"/>
    <s v="Tech C"/>
    <s v="HMO"/>
    <s v="Test-department mismatch"/>
  </r>
  <r>
    <s v="S1228"/>
    <s v="P19763"/>
    <s v="Male"/>
    <n v="18"/>
    <x v="2"/>
    <s v="Urine"/>
    <x v="3"/>
    <d v="2026-01-21T00:00:00"/>
    <x v="3"/>
    <d v="1899-12-30T08:36:00"/>
    <n v="8"/>
    <d v="2026-01-21T00:00:00"/>
    <d v="1899-12-30T22:36:00"/>
    <n v="14"/>
    <x v="0"/>
    <s v="Accepted"/>
    <x v="0"/>
    <s v="Completed"/>
    <n v="20"/>
    <x v="1"/>
    <x v="0"/>
    <n v="3"/>
    <s v="Dr Okafor"/>
    <x v="3"/>
    <s v="Tech C"/>
    <s v="Private"/>
    <s v=" "/>
  </r>
  <r>
    <s v="S1229"/>
    <s v="P18643"/>
    <s v="Male"/>
    <n v="60"/>
    <x v="1"/>
    <s v="Blood"/>
    <x v="2"/>
    <d v="2026-03-26T00:00:00"/>
    <x v="1"/>
    <d v="1899-12-30T14:41:00"/>
    <n v="3"/>
    <d v="2026-03-26T00:00:00"/>
    <d v="1899-12-30T19:41:00"/>
    <n v="5"/>
    <x v="0"/>
    <s v="Accepted"/>
    <x v="0"/>
    <s v="Completed"/>
    <n v="15"/>
    <x v="1"/>
    <x v="1"/>
    <n v="4"/>
    <s v="Dr Ahmed"/>
    <x v="0"/>
    <s v="Tech C"/>
    <s v="HMO"/>
    <m/>
  </r>
  <r>
    <s v="S1230"/>
    <s v="P59865"/>
    <s v="Female"/>
    <n v="3"/>
    <x v="5"/>
    <s v="Blood"/>
    <x v="1"/>
    <d v="2026-06-23T00:00:00"/>
    <x v="2"/>
    <d v="1899-12-30T10:24:00"/>
    <n v="4"/>
    <d v="2026-06-23T00:00:00"/>
    <d v="1899-12-30T21:24:00"/>
    <n v="11"/>
    <x v="0"/>
    <s v="Accepted"/>
    <x v="0"/>
    <s v="Pending"/>
    <n v="25"/>
    <x v="1"/>
    <x v="1"/>
    <n v="3"/>
    <s v="Dr Ahmed"/>
    <x v="2"/>
    <s v="Tech A"/>
    <s v="NHIA"/>
    <s v="Test-department mismatch; Pending test with released result"/>
  </r>
  <r>
    <s v="S1231"/>
    <s v="P38904"/>
    <s v="Male"/>
    <n v="64"/>
    <x v="3"/>
    <s v="Blood"/>
    <x v="4"/>
    <d v="2026-01-29T00:00:00"/>
    <x v="3"/>
    <d v="1899-12-30T07:25:00"/>
    <n v="24"/>
    <d v="2026-01-30T00:00:00"/>
    <d v="1899-12-30T09:25:00"/>
    <n v="26"/>
    <x v="0"/>
    <s v="Accepted"/>
    <x v="0"/>
    <s v="Completed"/>
    <n v="50"/>
    <x v="1"/>
    <x v="1"/>
    <n v="3"/>
    <s v="Dr Adebayo"/>
    <x v="3"/>
    <s v="Tech C"/>
    <s v="Private"/>
    <s v=" "/>
  </r>
  <r>
    <s v="S1232"/>
    <s v="P61859"/>
    <s v="Female"/>
    <n v="27"/>
    <x v="0"/>
    <s v="Blood"/>
    <x v="1"/>
    <d v="2026-06-02T00:00:00"/>
    <x v="2"/>
    <d v="1899-12-30T14:46:00"/>
    <n v="5"/>
    <d v="2026-06-02T00:00:00"/>
    <d v="1899-12-30T18:46:00"/>
    <n v="4"/>
    <x v="1"/>
    <s v="Accepted"/>
    <x v="0"/>
    <s v="Pending"/>
    <n v="35"/>
    <x v="0"/>
    <x v="1"/>
    <n v="1"/>
    <s v="Dr Okafor"/>
    <x v="1"/>
    <s v="Tech B"/>
    <s v="Private"/>
    <s v="Test-department mismatch; Pending test with released result"/>
  </r>
  <r>
    <s v="S1233"/>
    <s v="P92382"/>
    <s v="Female"/>
    <n v="3"/>
    <x v="4"/>
    <s v="Blood"/>
    <x v="3"/>
    <d v="2026-02-13T00:00:00"/>
    <x v="5"/>
    <d v="1899-12-30T14:40:00"/>
    <n v="6"/>
    <d v="2026-02-14T00:00:00"/>
    <d v="1899-12-30T03:40:00"/>
    <n v="13"/>
    <x v="0"/>
    <s v="Accepted"/>
    <x v="0"/>
    <s v="Completed"/>
    <n v="40"/>
    <x v="0"/>
    <x v="0"/>
    <n v="1"/>
    <s v="Dr Adebayo"/>
    <x v="3"/>
    <s v="Tech B"/>
    <s v="NHIA"/>
    <s v="Test-department mismatch"/>
  </r>
  <r>
    <s v="S1234"/>
    <s v="P83479"/>
    <s v="Male"/>
    <n v="75"/>
    <x v="1"/>
    <s v="Blood"/>
    <x v="2"/>
    <d v="2026-01-22T00:00:00"/>
    <x v="3"/>
    <d v="1899-12-30T10:49:00"/>
    <n v="3"/>
    <d v="2026-01-22T00:00:00"/>
    <d v="1899-12-30T12:49:00"/>
    <n v="2"/>
    <x v="1"/>
    <s v="Accepted"/>
    <x v="0"/>
    <s v="Completed"/>
    <n v="15"/>
    <x v="0"/>
    <x v="2"/>
    <n v="2"/>
    <s v="Dr Okafor"/>
    <x v="1"/>
    <s v="Tech B"/>
    <s v="Private"/>
    <m/>
  </r>
  <r>
    <s v="S1235"/>
    <s v="P38571"/>
    <s v="Male"/>
    <n v="72"/>
    <x v="3"/>
    <s v="Blood"/>
    <x v="4"/>
    <d v="2026-01-23T00:00:00"/>
    <x v="3"/>
    <d v="1899-12-30T13:07:00"/>
    <n v="24"/>
    <d v="2026-01-24T00:00:00"/>
    <d v="1899-12-30T18:07:00"/>
    <n v="29"/>
    <x v="0"/>
    <s v="Accepted"/>
    <x v="0"/>
    <s v="Completed"/>
    <n v="50"/>
    <x v="1"/>
    <x v="0"/>
    <n v="5"/>
    <s v="Dr James"/>
    <x v="1"/>
    <s v="Tech C"/>
    <s v="HMO"/>
    <s v=" "/>
  </r>
  <r>
    <s v="S1236"/>
    <s v="P63108"/>
    <s v="Female"/>
    <n v="72"/>
    <x v="1"/>
    <s v="Blood"/>
    <x v="2"/>
    <d v="2026-03-16T00:00:00"/>
    <x v="1"/>
    <d v="1899-12-30T09:09:00"/>
    <n v="3"/>
    <d v="2026-03-16T00:00:00"/>
    <d v="1899-12-30T11:09:00"/>
    <n v="2"/>
    <x v="1"/>
    <s v="Accepted"/>
    <x v="0"/>
    <s v="Pending"/>
    <n v="15"/>
    <x v="0"/>
    <x v="0"/>
    <n v="3"/>
    <s v="Dr Okafor"/>
    <x v="2"/>
    <s v="Tech A"/>
    <s v="NHIA"/>
    <s v="Pending test with released result"/>
  </r>
  <r>
    <s v="S1237"/>
    <s v="P62978"/>
    <s v="Male"/>
    <n v="28"/>
    <x v="0"/>
    <s v="Blood"/>
    <x v="0"/>
    <d v="2026-02-15T00:00:00"/>
    <x v="5"/>
    <d v="1899-12-30T13:20:00"/>
    <n v="5"/>
    <d v="2026-02-15T00:00:00"/>
    <d v="1899-12-30T19:20:00"/>
    <n v="6"/>
    <x v="0"/>
    <s v="Rejected"/>
    <x v="2"/>
    <s v="Completed"/>
    <n v="35"/>
    <x v="1"/>
    <x v="0"/>
    <n v="2"/>
    <s v="Dr Okafor"/>
    <x v="0"/>
    <s v="Tech C"/>
    <s v="Private"/>
    <s v="Sample-test status mismatch; Rejected sample with released result"/>
  </r>
  <r>
    <s v="S1238"/>
    <s v="P69710"/>
    <s v="Female"/>
    <n v="68"/>
    <x v="2"/>
    <s v="Urine"/>
    <x v="3"/>
    <d v="2026-05-15T00:00:00"/>
    <x v="4"/>
    <d v="1899-12-30T07:28:00"/>
    <n v="8"/>
    <d v="2026-05-15T00:00:00"/>
    <d v="1899-12-30T16:28:00"/>
    <n v="9"/>
    <x v="0"/>
    <s v="Accepted"/>
    <x v="0"/>
    <s v="Pending"/>
    <n v="20"/>
    <x v="0"/>
    <x v="0"/>
    <n v="3"/>
    <s v="Dr Ahmed"/>
    <x v="3"/>
    <s v="Tech A"/>
    <s v="Private"/>
    <s v="Pending test with released result"/>
  </r>
  <r>
    <s v="S1239"/>
    <s v="P35765"/>
    <s v="Female"/>
    <n v="14"/>
    <x v="1"/>
    <s v="Blood"/>
    <x v="2"/>
    <d v="2026-01-15T00:00:00"/>
    <x v="3"/>
    <d v="1899-12-30T08:40:00"/>
    <n v="3"/>
    <d v="2026-01-15T00:00:00"/>
    <d v="1899-12-30T19:40:00"/>
    <n v="11"/>
    <x v="0"/>
    <s v="Accepted"/>
    <x v="0"/>
    <s v="Completed"/>
    <n v="15"/>
    <x v="1"/>
    <x v="0"/>
    <n v="2"/>
    <s v="Dr James"/>
    <x v="2"/>
    <s v="Tech C"/>
    <s v="Private"/>
    <m/>
  </r>
  <r>
    <s v="S1240"/>
    <s v="P19704"/>
    <s v="Male"/>
    <n v="10"/>
    <x v="4"/>
    <s v="Blood"/>
    <x v="0"/>
    <d v="2026-01-16T00:00:00"/>
    <x v="3"/>
    <d v="1899-12-30T14:12:00"/>
    <n v="6"/>
    <d v="2026-01-16T00:00:00"/>
    <d v="1899-12-30T22:12:00"/>
    <n v="8"/>
    <x v="0"/>
    <s v="Accepted"/>
    <x v="0"/>
    <s v="Completed"/>
    <n v="40"/>
    <x v="0"/>
    <x v="1"/>
    <n v="5"/>
    <s v="Dr Adebayo"/>
    <x v="3"/>
    <s v="Tech B"/>
    <s v="NHIA"/>
    <s v=" "/>
  </r>
  <r>
    <s v="S1241"/>
    <s v="P14176"/>
    <s v="Female"/>
    <n v="13"/>
    <x v="3"/>
    <s v="Blood"/>
    <x v="4"/>
    <d v="2026-05-17T00:00:00"/>
    <x v="4"/>
    <d v="1899-12-30T11:50:00"/>
    <n v="24"/>
    <d v="2026-05-18T00:00:00"/>
    <d v="1899-12-30T16:50:00"/>
    <n v="29"/>
    <x v="0"/>
    <s v="Accepted"/>
    <x v="0"/>
    <s v="Completed"/>
    <n v="50"/>
    <x v="1"/>
    <x v="2"/>
    <n v="4"/>
    <s v="Dr Adebayo"/>
    <x v="2"/>
    <s v="Tech B"/>
    <s v="NHIA"/>
    <s v="Female patient with PSA test; Suspicious Test-Age Combination"/>
  </r>
  <r>
    <s v="S1242"/>
    <s v="P52696"/>
    <s v="Female"/>
    <n v="80"/>
    <x v="4"/>
    <s v="Blood"/>
    <x v="0"/>
    <d v="2026-03-29T00:00:00"/>
    <x v="1"/>
    <d v="1899-12-30T11:33:00"/>
    <n v="6"/>
    <d v="2026-03-29T00:00:00"/>
    <d v="1899-12-30T23:33:00"/>
    <n v="12"/>
    <x v="0"/>
    <s v="Accepted"/>
    <x v="0"/>
    <s v="Completed"/>
    <n v="40"/>
    <x v="1"/>
    <x v="0"/>
    <n v="1"/>
    <s v="Dr Okafor"/>
    <x v="1"/>
    <s v="Tech A"/>
    <s v="Private"/>
    <s v=" "/>
  </r>
  <r>
    <s v="S1243"/>
    <s v="P13787"/>
    <s v="Male"/>
    <n v="84"/>
    <x v="1"/>
    <s v="Blood"/>
    <x v="2"/>
    <d v="2026-03-29T00:00:00"/>
    <x v="1"/>
    <d v="1899-12-30T09:47:00"/>
    <n v="3"/>
    <d v="2026-03-29T00:00:00"/>
    <d v="1899-12-30T19:47:00"/>
    <n v="10"/>
    <x v="0"/>
    <s v="Accepted"/>
    <x v="0"/>
    <s v="Completed"/>
    <n v="15"/>
    <x v="0"/>
    <x v="2"/>
    <n v="4"/>
    <s v="Dr Ahmed"/>
    <x v="3"/>
    <s v="Tech B"/>
    <s v="Private"/>
    <m/>
  </r>
  <r>
    <s v="S1244"/>
    <s v="P95045"/>
    <s v="Female"/>
    <n v="79"/>
    <x v="2"/>
    <s v="Urine"/>
    <x v="3"/>
    <d v="2026-05-02T00:00:00"/>
    <x v="4"/>
    <d v="1899-12-30T14:38:00"/>
    <n v="8"/>
    <d v="2026-05-03T00:00:00"/>
    <d v="1899-12-30T05:38:00"/>
    <n v="15"/>
    <x v="0"/>
    <s v="Rejected"/>
    <x v="4"/>
    <s v="Completed"/>
    <n v="20"/>
    <x v="0"/>
    <x v="2"/>
    <n v="3"/>
    <s v="Dr Ahmed"/>
    <x v="3"/>
    <s v="Tech A"/>
    <s v="Private"/>
    <s v="Sample-test status mismatch; Rejected sample with released result"/>
  </r>
  <r>
    <s v="S1245"/>
    <s v="P43613"/>
    <s v="Male"/>
    <n v="60"/>
    <x v="4"/>
    <s v="Blood"/>
    <x v="0"/>
    <d v="2026-03-03T00:00:00"/>
    <x v="1"/>
    <d v="1899-12-30T08:19:00"/>
    <n v="6"/>
    <d v="2026-03-03T00:00:00"/>
    <d v="1899-12-30T22:19:00"/>
    <n v="14"/>
    <x v="0"/>
    <s v="Accepted"/>
    <x v="0"/>
    <s v="Completed"/>
    <n v="40"/>
    <x v="1"/>
    <x v="0"/>
    <n v="3"/>
    <s v="Dr Okafor"/>
    <x v="0"/>
    <s v="Tech C"/>
    <s v="HMO"/>
    <s v=" "/>
  </r>
  <r>
    <s v="S1246"/>
    <s v="P82814"/>
    <s v="Male"/>
    <n v="54"/>
    <x v="5"/>
    <s v="Blood"/>
    <x v="3"/>
    <d v="2026-04-15T00:00:00"/>
    <x v="0"/>
    <d v="1899-12-30T14:07:00"/>
    <n v="4"/>
    <d v="2026-04-16T00:00:00"/>
    <d v="1899-12-30T01:07:00"/>
    <n v="11"/>
    <x v="0"/>
    <s v="Accepted"/>
    <x v="0"/>
    <s v="Completed"/>
    <n v="25"/>
    <x v="1"/>
    <x v="1"/>
    <n v="4"/>
    <s v="Dr James"/>
    <x v="2"/>
    <s v="Tech B"/>
    <s v="Private"/>
    <s v="Test-department mismatch"/>
  </r>
  <r>
    <s v="S1247"/>
    <s v="P75684"/>
    <s v="Male"/>
    <n v="49"/>
    <x v="1"/>
    <s v="Blood"/>
    <x v="2"/>
    <d v="2026-03-07T00:00:00"/>
    <x v="1"/>
    <d v="1899-12-30T08:04:00"/>
    <n v="3"/>
    <d v="2026-03-07T00:00:00"/>
    <d v="1899-12-30T10:04:00"/>
    <n v="2"/>
    <x v="1"/>
    <s v="Accepted"/>
    <x v="0"/>
    <s v="Completed"/>
    <n v="15"/>
    <x v="1"/>
    <x v="0"/>
    <n v="4"/>
    <s v="Dr James"/>
    <x v="1"/>
    <s v="Tech C"/>
    <s v="HMO"/>
    <m/>
  </r>
  <r>
    <s v="S1248"/>
    <s v="P95977"/>
    <s v="Female"/>
    <n v="43"/>
    <x v="5"/>
    <s v="Blood"/>
    <x v="3"/>
    <d v="2026-01-21T00:00:00"/>
    <x v="3"/>
    <d v="1899-12-30T07:42:00"/>
    <n v="4"/>
    <d v="2026-01-21T00:00:00"/>
    <d v="1899-12-30T13:42:00"/>
    <n v="6"/>
    <x v="0"/>
    <s v="Accepted"/>
    <x v="0"/>
    <s v="Completed"/>
    <n v="25"/>
    <x v="0"/>
    <x v="0"/>
    <n v="2"/>
    <s v="Dr James"/>
    <x v="1"/>
    <s v="Tech B"/>
    <s v="HMO"/>
    <s v="Test-department mismatch"/>
  </r>
  <r>
    <s v="S1249"/>
    <s v="P78877"/>
    <s v="Female"/>
    <n v="84"/>
    <x v="1"/>
    <s v="Blood"/>
    <x v="2"/>
    <d v="2026-04-19T00:00:00"/>
    <x v="0"/>
    <d v="1899-12-30T12:27:00"/>
    <n v="3"/>
    <d v="2026-04-19T00:00:00"/>
    <d v="1899-12-30T14:27:00"/>
    <n v="2"/>
    <x v="1"/>
    <s v="Accepted"/>
    <x v="0"/>
    <s v="Completed"/>
    <n v="15"/>
    <x v="1"/>
    <x v="1"/>
    <n v="1"/>
    <s v="Dr James"/>
    <x v="1"/>
    <s v="Tech C"/>
    <s v="Private"/>
    <m/>
  </r>
  <r>
    <s v="S1250"/>
    <s v="P46510"/>
    <s v="Female"/>
    <n v="88"/>
    <x v="1"/>
    <s v="Blood"/>
    <x v="3"/>
    <d v="2026-05-08T00:00:00"/>
    <x v="4"/>
    <d v="1899-12-30T16:29:00"/>
    <n v="3"/>
    <d v="2026-05-08T00:00:00"/>
    <d v="1899-12-30T21:29:00"/>
    <n v="5"/>
    <x v="0"/>
    <s v="Accepted"/>
    <x v="0"/>
    <s v="Completed"/>
    <n v="15"/>
    <x v="1"/>
    <x v="1"/>
    <n v="1"/>
    <s v="Dr James"/>
    <x v="3"/>
    <s v="Tech C"/>
    <s v="Private"/>
    <s v="Test-department mismatch"/>
  </r>
  <r>
    <s v="S1251"/>
    <s v="P19972"/>
    <s v="Female"/>
    <n v="84"/>
    <x v="2"/>
    <s v="Urine"/>
    <x v="3"/>
    <d v="2026-04-08T00:00:00"/>
    <x v="0"/>
    <d v="1899-12-30T13:29:00"/>
    <n v="8"/>
    <d v="2026-04-09T00:00:00"/>
    <d v="1899-12-30T00:29:00"/>
    <n v="11"/>
    <x v="0"/>
    <s v="Accepted"/>
    <x v="0"/>
    <s v="Completed"/>
    <n v="20"/>
    <x v="0"/>
    <x v="0"/>
    <n v="1"/>
    <s v="Dr Ahmed"/>
    <x v="2"/>
    <s v="Tech C"/>
    <s v="Private"/>
    <s v=" "/>
  </r>
  <r>
    <s v="S1252"/>
    <s v="P66575"/>
    <s v="Female"/>
    <n v="50"/>
    <x v="3"/>
    <s v="Blood"/>
    <x v="4"/>
    <d v="2026-04-12T00:00:00"/>
    <x v="0"/>
    <d v="1899-12-30T07:47:00"/>
    <n v="24"/>
    <d v="2026-04-13T00:00:00"/>
    <d v="1899-12-30T11:47:00"/>
    <n v="28"/>
    <x v="0"/>
    <s v="Accepted"/>
    <x v="0"/>
    <s v="Completed"/>
    <n v="50"/>
    <x v="1"/>
    <x v="0"/>
    <n v="1"/>
    <s v="Dr Ahmed"/>
    <x v="0"/>
    <s v="Tech A"/>
    <s v="Private"/>
    <s v="Female patient with PSA test"/>
  </r>
  <r>
    <s v="S1253"/>
    <s v="P48971"/>
    <s v="Female"/>
    <n v="68"/>
    <x v="4"/>
    <s v="Blood"/>
    <x v="2"/>
    <d v="2026-04-27T00:00:00"/>
    <x v="0"/>
    <d v="1899-12-30T11:31:00"/>
    <n v="6"/>
    <d v="2026-04-28T00:00:00"/>
    <d v="1899-12-30T01:31:00"/>
    <n v="14"/>
    <x v="0"/>
    <s v="Accepted"/>
    <x v="0"/>
    <s v="Completed"/>
    <n v="40"/>
    <x v="1"/>
    <x v="0"/>
    <n v="5"/>
    <s v="Dr Ahmed"/>
    <x v="3"/>
    <s v="Tech B"/>
    <s v="HMO"/>
    <s v="Test-department mismatch"/>
  </r>
  <r>
    <s v="S1254"/>
    <s v="P20346"/>
    <s v="Female"/>
    <n v="71"/>
    <x v="0"/>
    <s v="Blood"/>
    <x v="0"/>
    <d v="2026-03-17T00:00:00"/>
    <x v="1"/>
    <d v="1899-12-30T12:26:00"/>
    <n v="5"/>
    <d v="2026-03-17T00:00:00"/>
    <d v="1899-12-30T18:26:00"/>
    <n v="6"/>
    <x v="0"/>
    <s v="Accepted"/>
    <x v="0"/>
    <s v="Completed"/>
    <n v="35"/>
    <x v="1"/>
    <x v="2"/>
    <n v="2"/>
    <s v="Dr Ahmed"/>
    <x v="1"/>
    <s v="Tech A"/>
    <s v="HMO"/>
    <s v=" "/>
  </r>
  <r>
    <s v="S1255"/>
    <s v="P66537"/>
    <s v="Female"/>
    <n v="8"/>
    <x v="5"/>
    <s v="Blood"/>
    <x v="4"/>
    <d v="2026-04-05T00:00:00"/>
    <x v="0"/>
    <d v="1899-12-30T07:29:00"/>
    <n v="4"/>
    <d v="2026-04-05T00:00:00"/>
    <d v="1899-12-30T18:29:00"/>
    <n v="11"/>
    <x v="0"/>
    <s v="Accepted"/>
    <x v="0"/>
    <s v="Completed"/>
    <n v="25"/>
    <x v="1"/>
    <x v="2"/>
    <n v="5"/>
    <s v="Dr Ahmed"/>
    <x v="0"/>
    <s v="Tech C"/>
    <s v="NHIA"/>
    <s v="Test-department mismatch"/>
  </r>
  <r>
    <s v="S1256"/>
    <s v="P59575"/>
    <s v="Male"/>
    <n v="10"/>
    <x v="0"/>
    <s v="Blood"/>
    <x v="3"/>
    <d v="2026-06-06T00:00:00"/>
    <x v="2"/>
    <d v="1899-12-30T13:25:00"/>
    <n v="5"/>
    <d v="2026-06-06T00:00:00"/>
    <d v="1899-12-30T23:25:00"/>
    <n v="10"/>
    <x v="0"/>
    <s v="Accepted"/>
    <x v="0"/>
    <s v="Completed"/>
    <n v="35"/>
    <x v="0"/>
    <x v="1"/>
    <n v="1"/>
    <s v="Dr Ahmed"/>
    <x v="3"/>
    <s v="Tech C"/>
    <s v="HMO"/>
    <s v="Test-department mismatch"/>
  </r>
  <r>
    <s v="S1257"/>
    <s v="P40969"/>
    <s v="Male"/>
    <n v="5"/>
    <x v="3"/>
    <s v="Blood"/>
    <x v="4"/>
    <d v="2026-05-17T00:00:00"/>
    <x v="4"/>
    <d v="1899-12-30T14:30:00"/>
    <n v="24"/>
    <d v="2026-05-18T00:00:00"/>
    <d v="1899-12-30T20:30:00"/>
    <n v="30"/>
    <x v="0"/>
    <s v="Accepted"/>
    <x v="0"/>
    <s v="Completed"/>
    <n v="50"/>
    <x v="1"/>
    <x v="0"/>
    <n v="2"/>
    <s v="Dr Adebayo"/>
    <x v="1"/>
    <s v="Tech C"/>
    <s v="NHIA"/>
    <s v="Suspicious Test-Age Combination"/>
  </r>
  <r>
    <s v="S1258"/>
    <s v="P79127"/>
    <s v="Female"/>
    <n v="71"/>
    <x v="4"/>
    <s v="Blood"/>
    <x v="2"/>
    <d v="2026-01-23T00:00:00"/>
    <x v="3"/>
    <d v="1899-12-30T07:20:00"/>
    <n v="6"/>
    <d v="2026-01-23T00:00:00"/>
    <d v="1899-12-30T18:20:00"/>
    <n v="11"/>
    <x v="0"/>
    <s v="Accepted"/>
    <x v="0"/>
    <s v="Completed"/>
    <n v="40"/>
    <x v="1"/>
    <x v="2"/>
    <n v="4"/>
    <s v="Dr Adebayo"/>
    <x v="0"/>
    <s v="Tech A"/>
    <s v="NHIA"/>
    <s v="Test-department mismatch"/>
  </r>
  <r>
    <s v="S1259"/>
    <s v="P64197"/>
    <s v="Female"/>
    <n v="68"/>
    <x v="3"/>
    <s v="Blood"/>
    <x v="4"/>
    <d v="2026-03-19T00:00:00"/>
    <x v="1"/>
    <d v="1899-12-30T10:28:00"/>
    <n v="24"/>
    <d v="2026-03-20T00:00:00"/>
    <d v="1899-12-30T11:28:00"/>
    <n v="25"/>
    <x v="0"/>
    <s v="Accepted"/>
    <x v="0"/>
    <s v="Completed"/>
    <n v="50"/>
    <x v="1"/>
    <x v="2"/>
    <n v="1"/>
    <s v="Dr Okafor"/>
    <x v="0"/>
    <s v="Tech B"/>
    <s v="Private"/>
    <s v="Female patient with PSA test"/>
  </r>
  <r>
    <s v="S1260"/>
    <s v="P91279"/>
    <s v="Male"/>
    <n v="31"/>
    <x v="5"/>
    <s v="Blood"/>
    <x v="3"/>
    <d v="2026-06-23T00:00:00"/>
    <x v="2"/>
    <d v="1899-12-30T12:21:00"/>
    <n v="4"/>
    <d v="2026-06-23T00:00:00"/>
    <d v="1899-12-30T23:21:00"/>
    <n v="11"/>
    <x v="0"/>
    <s v="Accepted"/>
    <x v="0"/>
    <s v="Completed"/>
    <n v="25"/>
    <x v="1"/>
    <x v="0"/>
    <n v="3"/>
    <s v="Dr Adebayo"/>
    <x v="3"/>
    <s v="Tech A"/>
    <s v="NHIA"/>
    <s v="Test-department mismatch"/>
  </r>
  <r>
    <s v="S1261"/>
    <s v="P19076"/>
    <s v="Female"/>
    <n v="37"/>
    <x v="2"/>
    <s v="Urine"/>
    <x v="3"/>
    <d v="2026-06-14T00:00:00"/>
    <x v="2"/>
    <d v="1899-12-30T15:37:00"/>
    <n v="8"/>
    <d v="2026-06-15T00:00:00"/>
    <d v="1899-12-30T05:37:00"/>
    <n v="14"/>
    <x v="0"/>
    <s v="Rejected"/>
    <x v="3"/>
    <s v="Completed"/>
    <n v="20"/>
    <x v="0"/>
    <x v="1"/>
    <n v="5"/>
    <s v="Dr James"/>
    <x v="1"/>
    <s v="Tech A"/>
    <s v="Private"/>
    <s v="Sample-test status mismatch; Rejected sample with released result"/>
  </r>
  <r>
    <s v="S1262"/>
    <s v="P96748"/>
    <s v="Female"/>
    <n v="15"/>
    <x v="2"/>
    <s v="Urine"/>
    <x v="3"/>
    <d v="2026-01-20T00:00:00"/>
    <x v="3"/>
    <d v="1899-12-30T16:35:00"/>
    <n v="8"/>
    <d v="2026-01-21T00:00:00"/>
    <d v="1899-12-30T05:35:00"/>
    <n v="13"/>
    <x v="0"/>
    <s v="Accepted"/>
    <x v="0"/>
    <s v="Completed"/>
    <n v="20"/>
    <x v="0"/>
    <x v="1"/>
    <n v="4"/>
    <s v="Dr James"/>
    <x v="2"/>
    <s v="Tech C"/>
    <s v="NHIA"/>
    <s v=" "/>
  </r>
  <r>
    <s v="S1263"/>
    <s v="P46547"/>
    <s v="Female"/>
    <n v="10"/>
    <x v="5"/>
    <s v="Blood"/>
    <x v="1"/>
    <d v="2026-04-14T00:00:00"/>
    <x v="0"/>
    <d v="1899-12-30T09:06:00"/>
    <n v="4"/>
    <d v="2026-04-14T00:00:00"/>
    <d v="1899-12-30T18:06:00"/>
    <n v="9"/>
    <x v="0"/>
    <s v="Accepted"/>
    <x v="0"/>
    <s v="Completed"/>
    <n v="25"/>
    <x v="0"/>
    <x v="2"/>
    <n v="3"/>
    <s v="Dr Adebayo"/>
    <x v="1"/>
    <s v="Tech B"/>
    <s v="NHIA"/>
    <s v="Test-department mismatch"/>
  </r>
  <r>
    <s v="S1264"/>
    <s v="P22544"/>
    <s v="Female"/>
    <n v="50"/>
    <x v="4"/>
    <s v="Blood"/>
    <x v="2"/>
    <d v="2026-05-14T00:00:00"/>
    <x v="4"/>
    <d v="1899-12-30T14:34:00"/>
    <n v="6"/>
    <d v="2026-05-14T00:00:00"/>
    <d v="1899-12-30T20:34:00"/>
    <n v="6"/>
    <x v="1"/>
    <s v="Accepted"/>
    <x v="0"/>
    <s v="Completed"/>
    <n v="40"/>
    <x v="1"/>
    <x v="2"/>
    <n v="2"/>
    <s v="Dr Ahmed"/>
    <x v="1"/>
    <s v="Tech A"/>
    <s v="Private"/>
    <s v="Test-department mismatch"/>
  </r>
  <r>
    <s v="S1265"/>
    <s v="P79911"/>
    <s v="Female"/>
    <n v="27"/>
    <x v="3"/>
    <s v="Blood"/>
    <x v="4"/>
    <d v="2026-05-04T00:00:00"/>
    <x v="4"/>
    <d v="1899-12-30T07:28:00"/>
    <n v="24"/>
    <d v="2026-05-05T00:00:00"/>
    <d v="1899-12-30T13:28:00"/>
    <n v="30"/>
    <x v="0"/>
    <s v="Accepted"/>
    <x v="0"/>
    <s v="Completed"/>
    <n v="50"/>
    <x v="1"/>
    <x v="1"/>
    <n v="1"/>
    <s v="Dr Ahmed"/>
    <x v="2"/>
    <s v="Tech B"/>
    <s v="HMO"/>
    <s v="Female patient with PSA test"/>
  </r>
  <r>
    <s v="S1266"/>
    <s v="P32936"/>
    <s v="Female"/>
    <n v="18"/>
    <x v="0"/>
    <s v="Blood"/>
    <x v="3"/>
    <d v="2026-03-15T00:00:00"/>
    <x v="1"/>
    <d v="1899-12-30T12:41:00"/>
    <n v="5"/>
    <d v="2026-03-15T00:00:00"/>
    <d v="1899-12-30T19:41:00"/>
    <n v="7"/>
    <x v="0"/>
    <s v="Accepted"/>
    <x v="0"/>
    <s v="Completed"/>
    <m/>
    <x v="1"/>
    <x v="2"/>
    <n v="3"/>
    <s v="Dr Ahmed"/>
    <x v="1"/>
    <s v="Tech A"/>
    <s v="HMO"/>
    <s v="Test-department mismatch"/>
  </r>
  <r>
    <s v="S1267"/>
    <s v="P72897"/>
    <s v="Male"/>
    <n v="68"/>
    <x v="5"/>
    <s v="Blood"/>
    <x v="4"/>
    <d v="2026-03-22T00:00:00"/>
    <x v="1"/>
    <d v="1899-12-30T09:30:00"/>
    <n v="4"/>
    <d v="2026-03-22T00:00:00"/>
    <d v="1899-12-30T12:30:00"/>
    <n v="3"/>
    <x v="1"/>
    <s v="Accepted"/>
    <x v="0"/>
    <s v="Completed"/>
    <n v="25"/>
    <x v="0"/>
    <x v="0"/>
    <n v="4"/>
    <s v="Dr Okafor"/>
    <x v="3"/>
    <s v="Tech B"/>
    <s v="NHIA"/>
    <s v="Test-department mismatch"/>
  </r>
  <r>
    <s v="S1268"/>
    <s v="P40519"/>
    <s v="Male"/>
    <n v="43"/>
    <x v="5"/>
    <s v="Blood"/>
    <x v="0"/>
    <d v="2026-04-06T00:00:00"/>
    <x v="0"/>
    <d v="1899-12-30T16:18:00"/>
    <n v="4"/>
    <d v="2026-04-07T00:00:00"/>
    <d v="1899-12-30T00:18:00"/>
    <n v="8"/>
    <x v="0"/>
    <s v="Accepted"/>
    <x v="0"/>
    <s v="Completed"/>
    <n v="25"/>
    <x v="1"/>
    <x v="0"/>
    <n v="4"/>
    <s v="Dr Adebayo"/>
    <x v="3"/>
    <s v="Tech C"/>
    <s v="HMO"/>
    <s v="Test-department mismatch"/>
  </r>
  <r>
    <s v="S1269"/>
    <s v="P94729"/>
    <s v="Female"/>
    <n v="8"/>
    <x v="0"/>
    <s v="Blood"/>
    <x v="4"/>
    <d v="2026-03-24T00:00:00"/>
    <x v="1"/>
    <d v="1899-12-30T10:35:00"/>
    <n v="5"/>
    <d v="2026-03-24T00:00:00"/>
    <d v="1899-12-30T19:35:00"/>
    <n v="9"/>
    <x v="0"/>
    <s v="Accepted"/>
    <x v="0"/>
    <s v="Completed"/>
    <n v="35"/>
    <x v="1"/>
    <x v="0"/>
    <n v="3"/>
    <s v="Dr Ahmed"/>
    <x v="3"/>
    <s v="Tech B"/>
    <s v="Private"/>
    <s v="Test-department mismatch"/>
  </r>
  <r>
    <s v="S1270"/>
    <s v="P24947"/>
    <s v="Female"/>
    <n v="14"/>
    <x v="2"/>
    <s v="Urine"/>
    <x v="3"/>
    <d v="2026-01-16T00:00:00"/>
    <x v="3"/>
    <d v="1899-12-30T07:39:00"/>
    <n v="8"/>
    <d v="2026-01-16T00:00:00"/>
    <d v="1899-12-30T20:39:00"/>
    <n v="13"/>
    <x v="0"/>
    <s v="Accepted"/>
    <x v="0"/>
    <s v="Completed"/>
    <n v="20"/>
    <x v="1"/>
    <x v="2"/>
    <n v="2"/>
    <s v="Dr Adebayo"/>
    <x v="3"/>
    <s v="Tech B"/>
    <s v="HMO"/>
    <s v=" "/>
  </r>
  <r>
    <s v="S1271"/>
    <s v="P59176"/>
    <s v="Male"/>
    <n v="11"/>
    <x v="5"/>
    <s v="Blood"/>
    <x v="3"/>
    <d v="2026-05-28T00:00:00"/>
    <x v="4"/>
    <d v="1899-12-30T14:37:00"/>
    <n v="4"/>
    <d v="2026-05-28T00:00:00"/>
    <d v="1899-12-30T19:37:00"/>
    <n v="5"/>
    <x v="0"/>
    <s v="Accepted"/>
    <x v="0"/>
    <s v="Completed"/>
    <n v="25"/>
    <x v="0"/>
    <x v="0"/>
    <n v="4"/>
    <s v="Dr Okafor"/>
    <x v="1"/>
    <s v="Tech B"/>
    <s v="HMO"/>
    <s v="Test-department mismatch"/>
  </r>
  <r>
    <s v="S1272"/>
    <s v="P60850"/>
    <s v="Female"/>
    <n v="84"/>
    <x v="3"/>
    <s v="Blood"/>
    <x v="4"/>
    <d v="2026-05-06T00:00:00"/>
    <x v="4"/>
    <d v="1899-12-30T10:26:00"/>
    <n v="24"/>
    <d v="2026-05-07T00:00:00"/>
    <d v="1899-12-30T16:26:00"/>
    <n v="30"/>
    <x v="0"/>
    <s v="Accepted"/>
    <x v="0"/>
    <s v="Pending"/>
    <n v="50"/>
    <x v="1"/>
    <x v="0"/>
    <n v="2"/>
    <s v="Dr James"/>
    <x v="0"/>
    <s v="Tech B"/>
    <s v="HMO"/>
    <s v="Female patient with PSA test; Pending test with released result"/>
  </r>
  <r>
    <s v="S1273"/>
    <s v="P27811"/>
    <s v="Male"/>
    <n v="89"/>
    <x v="3"/>
    <s v="Blood"/>
    <x v="1"/>
    <d v="2026-04-11T00:00:00"/>
    <x v="0"/>
    <d v="1899-12-30T10:09:00"/>
    <n v="24"/>
    <d v="2026-04-12T00:00:00"/>
    <d v="1899-12-30T15:09:00"/>
    <n v="29"/>
    <x v="0"/>
    <s v="Rejected"/>
    <x v="1"/>
    <s v="Completed"/>
    <n v="50"/>
    <x v="1"/>
    <x v="2"/>
    <n v="1"/>
    <s v="Dr James"/>
    <x v="1"/>
    <s v="Tech C"/>
    <s v="Private"/>
    <s v="Test-department mismatch; Sample-test status mismatch; Rejected sample with released result"/>
  </r>
  <r>
    <s v="S1274"/>
    <s v="P37174"/>
    <s v="Male"/>
    <n v="46"/>
    <x v="5"/>
    <s v="Blood"/>
    <x v="1"/>
    <d v="2026-06-13T00:00:00"/>
    <x v="2"/>
    <d v="1899-12-30T11:59:00"/>
    <n v="4"/>
    <d v="2026-06-13T00:00:00"/>
    <d v="1899-12-30T23:59:00"/>
    <n v="12"/>
    <x v="0"/>
    <s v="Accepted"/>
    <x v="0"/>
    <s v="Completed"/>
    <n v="25"/>
    <x v="0"/>
    <x v="1"/>
    <n v="2"/>
    <s v="Dr Okafor"/>
    <x v="1"/>
    <s v="Tech B"/>
    <s v="HMO"/>
    <s v="Test-department mismatch"/>
  </r>
  <r>
    <s v="S1275"/>
    <s v="P44454"/>
    <s v="Female"/>
    <n v="53"/>
    <x v="1"/>
    <s v="Blood"/>
    <x v="2"/>
    <d v="2026-03-26T00:00:00"/>
    <x v="1"/>
    <d v="1899-12-30T12:48:00"/>
    <n v="3"/>
    <d v="2026-03-26T00:00:00"/>
    <d v="1899-12-30T22:48:00"/>
    <n v="10"/>
    <x v="0"/>
    <s v="Accepted"/>
    <x v="0"/>
    <s v="Completed"/>
    <n v="15"/>
    <x v="1"/>
    <x v="0"/>
    <n v="3"/>
    <s v="Dr James"/>
    <x v="2"/>
    <s v="Tech A"/>
    <s v="NHIA"/>
    <m/>
  </r>
  <r>
    <s v="S1276"/>
    <s v="P62817"/>
    <s v="Female"/>
    <n v="30"/>
    <x v="5"/>
    <s v="Blood"/>
    <x v="3"/>
    <d v="2026-03-25T00:00:00"/>
    <x v="1"/>
    <d v="1899-12-30T09:56:00"/>
    <n v="4"/>
    <d v="2026-03-25T00:00:00"/>
    <d v="1899-12-30T16:56:00"/>
    <n v="7"/>
    <x v="0"/>
    <s v="Accepted"/>
    <x v="0"/>
    <s v="Completed"/>
    <n v="25"/>
    <x v="1"/>
    <x v="1"/>
    <n v="1"/>
    <s v="Dr James"/>
    <x v="3"/>
    <s v="Tech A"/>
    <s v="NHIA"/>
    <s v="Test-department mismatch"/>
  </r>
  <r>
    <s v="S1277"/>
    <s v="P21445"/>
    <s v="Male"/>
    <n v="76"/>
    <x v="0"/>
    <s v="Blood"/>
    <x v="0"/>
    <d v="2026-01-14T00:00:00"/>
    <x v="3"/>
    <d v="1899-12-30T07:54:00"/>
    <n v="5"/>
    <d v="2026-01-14T00:00:00"/>
    <d v="1899-12-30T16:54:00"/>
    <n v="9"/>
    <x v="0"/>
    <s v="Rejected"/>
    <x v="3"/>
    <s v="Completed"/>
    <n v="35"/>
    <x v="1"/>
    <x v="0"/>
    <n v="4"/>
    <s v="Dr Adebayo"/>
    <x v="3"/>
    <s v="Tech B"/>
    <s v="Private"/>
    <s v="Sample-test status mismatch; Rejected sample with released result"/>
  </r>
  <r>
    <s v="S1278"/>
    <s v="P88563"/>
    <s v="Female"/>
    <n v="5"/>
    <x v="0"/>
    <s v="Blood"/>
    <x v="4"/>
    <d v="2026-05-15T00:00:00"/>
    <x v="4"/>
    <d v="1899-12-30T13:37:00"/>
    <n v="5"/>
    <d v="2026-05-15T00:00:00"/>
    <d v="1899-12-30T17:37:00"/>
    <n v="4"/>
    <x v="1"/>
    <s v="Accepted"/>
    <x v="0"/>
    <s v="Completed"/>
    <n v="35"/>
    <x v="0"/>
    <x v="0"/>
    <n v="4"/>
    <s v="Dr Okafor"/>
    <x v="2"/>
    <s v="Tech B"/>
    <s v="Private"/>
    <s v="Test-department mismatch"/>
  </r>
  <r>
    <s v="S1279"/>
    <s v="P43913"/>
    <s v="Female"/>
    <n v="57"/>
    <x v="3"/>
    <s v="Blood"/>
    <x v="4"/>
    <d v="2026-03-01T00:00:00"/>
    <x v="1"/>
    <d v="1899-12-30T10:47:00"/>
    <n v="24"/>
    <d v="2026-03-02T00:00:00"/>
    <d v="1899-12-30T15:47:00"/>
    <n v="29"/>
    <x v="0"/>
    <s v="Accepted"/>
    <x v="0"/>
    <s v="Completed"/>
    <n v="50"/>
    <x v="1"/>
    <x v="1"/>
    <n v="4"/>
    <s v="Dr Okafor"/>
    <x v="2"/>
    <s v="Tech A"/>
    <s v="Private"/>
    <s v="Female patient with PSA test"/>
  </r>
  <r>
    <s v="S1280"/>
    <s v="P10409"/>
    <s v="Female"/>
    <n v="44"/>
    <x v="0"/>
    <s v="Blood"/>
    <x v="1"/>
    <d v="2026-02-07T00:00:00"/>
    <x v="5"/>
    <d v="1899-12-30T08:02:00"/>
    <n v="5"/>
    <d v="2026-02-07T00:00:00"/>
    <d v="1899-12-30T12:02:00"/>
    <n v="4"/>
    <x v="1"/>
    <s v="Accepted"/>
    <x v="0"/>
    <s v="Completed"/>
    <n v="35"/>
    <x v="0"/>
    <x v="0"/>
    <n v="4"/>
    <s v="Dr Okafor"/>
    <x v="1"/>
    <s v="Tech B"/>
    <s v="NHIA"/>
    <s v="Test-department mismatch"/>
  </r>
  <r>
    <s v="S1281"/>
    <s v="P94617"/>
    <s v="Male"/>
    <n v="29"/>
    <x v="1"/>
    <s v="Blood"/>
    <x v="4"/>
    <d v="2026-04-20T00:00:00"/>
    <x v="0"/>
    <d v="1899-12-30T08:24:00"/>
    <n v="3"/>
    <d v="2026-04-20T00:00:00"/>
    <d v="1899-12-30T16:24:00"/>
    <n v="8"/>
    <x v="0"/>
    <s v="Accepted"/>
    <x v="0"/>
    <s v="Completed"/>
    <n v="15"/>
    <x v="0"/>
    <x v="2"/>
    <n v="2"/>
    <s v="Dr Okafor"/>
    <x v="2"/>
    <s v="Tech C"/>
    <s v="Private"/>
    <s v="Test-department mismatch"/>
  </r>
  <r>
    <s v="S1282"/>
    <s v="P26922"/>
    <s v="Male"/>
    <n v="34"/>
    <x v="5"/>
    <s v="Blood"/>
    <x v="3"/>
    <d v="2026-06-05T00:00:00"/>
    <x v="2"/>
    <d v="1899-12-30T12:24:00"/>
    <n v="4"/>
    <d v="2026-06-06T00:00:00"/>
    <d v="1899-12-30T00:24:00"/>
    <n v="12"/>
    <x v="0"/>
    <s v="Accepted"/>
    <x v="0"/>
    <s v="Completed"/>
    <n v="25"/>
    <x v="1"/>
    <x v="1"/>
    <n v="4"/>
    <s v="Dr James"/>
    <x v="0"/>
    <s v="Tech C"/>
    <s v="NHIA"/>
    <s v="Test-department mismatch"/>
  </r>
  <r>
    <s v="S1283"/>
    <s v="P90429"/>
    <s v="Male"/>
    <n v="21"/>
    <x v="0"/>
    <s v="Blood"/>
    <x v="3"/>
    <d v="2026-02-18T00:00:00"/>
    <x v="5"/>
    <d v="1899-12-30T15:24:00"/>
    <n v="5"/>
    <d v="2026-02-19T00:00:00"/>
    <d v="1899-12-30T00:24:00"/>
    <n v="9"/>
    <x v="0"/>
    <s v="Accepted"/>
    <x v="0"/>
    <s v="Completed"/>
    <n v="35"/>
    <x v="1"/>
    <x v="0"/>
    <n v="2"/>
    <s v="Dr Okafor"/>
    <x v="3"/>
    <s v="Tech B"/>
    <s v="NHIA"/>
    <s v="Test-department mismatch"/>
  </r>
  <r>
    <s v="S1284"/>
    <s v="P59915"/>
    <s v="Male"/>
    <n v="17"/>
    <x v="0"/>
    <s v="Blood"/>
    <x v="0"/>
    <d v="2026-02-17T00:00:00"/>
    <x v="5"/>
    <d v="1899-12-30T09:04:00"/>
    <n v="5"/>
    <d v="2026-02-17T00:00:00"/>
    <d v="1899-12-30T19:04:00"/>
    <n v="10"/>
    <x v="0"/>
    <s v="Accepted"/>
    <x v="0"/>
    <s v="Completed"/>
    <n v="35"/>
    <x v="1"/>
    <x v="0"/>
    <n v="1"/>
    <s v="Dr Ahmed"/>
    <x v="0"/>
    <s v="Tech B"/>
    <s v="NHIA"/>
    <s v=" "/>
  </r>
  <r>
    <s v="S1285"/>
    <s v="P27026"/>
    <s v="Female"/>
    <n v="30"/>
    <x v="1"/>
    <s v="Blood"/>
    <x v="2"/>
    <d v="2026-01-27T00:00:00"/>
    <x v="3"/>
    <d v="1899-12-30T14:17:00"/>
    <n v="3"/>
    <d v="2026-01-27T00:00:00"/>
    <d v="1899-12-30T17:17:00"/>
    <n v="3"/>
    <x v="1"/>
    <s v="Accepted"/>
    <x v="0"/>
    <s v="Completed"/>
    <n v="15"/>
    <x v="1"/>
    <x v="0"/>
    <n v="4"/>
    <s v="Dr Okafor"/>
    <x v="2"/>
    <s v="Tech A"/>
    <s v="HMO"/>
    <m/>
  </r>
  <r>
    <s v="S1286"/>
    <s v="P44332"/>
    <s v="Male"/>
    <n v="74"/>
    <x v="2"/>
    <s v="Urine"/>
    <x v="3"/>
    <d v="2026-03-06T00:00:00"/>
    <x v="1"/>
    <d v="1899-12-30T16:49:00"/>
    <n v="8"/>
    <d v="2026-03-07T00:00:00"/>
    <d v="1899-12-30T02:49:00"/>
    <n v="10"/>
    <x v="0"/>
    <s v="Accepted"/>
    <x v="0"/>
    <s v="Completed"/>
    <n v="20"/>
    <x v="1"/>
    <x v="1"/>
    <n v="3"/>
    <s v="Dr Okafor"/>
    <x v="2"/>
    <s v="Tech B"/>
    <s v="Private"/>
    <s v=" "/>
  </r>
  <r>
    <s v="S1287"/>
    <s v="P76652"/>
    <s v="Male"/>
    <n v="10"/>
    <x v="4"/>
    <s v="Blood"/>
    <x v="0"/>
    <d v="2026-05-03T00:00:00"/>
    <x v="4"/>
    <d v="1899-12-30T09:55:00"/>
    <n v="6"/>
    <d v="2026-05-03T00:00:00"/>
    <d v="1899-12-30T20:55:00"/>
    <n v="11"/>
    <x v="0"/>
    <s v="Accepted"/>
    <x v="0"/>
    <s v="Completed"/>
    <n v="40"/>
    <x v="0"/>
    <x v="1"/>
    <n v="3"/>
    <s v="Dr James"/>
    <x v="3"/>
    <s v="Tech B"/>
    <s v="HMO"/>
    <s v=" "/>
  </r>
  <r>
    <s v="S1288"/>
    <s v="P79876"/>
    <s v="Male"/>
    <n v="14"/>
    <x v="1"/>
    <s v="Blood"/>
    <x v="1"/>
    <d v="2026-02-17T00:00:00"/>
    <x v="5"/>
    <d v="1899-12-30T07:08:00"/>
    <n v="3"/>
    <d v="2026-02-17T00:00:00"/>
    <d v="1899-12-30T16:08:00"/>
    <n v="9"/>
    <x v="0"/>
    <s v="Accepted"/>
    <x v="0"/>
    <s v="Completed"/>
    <n v="15"/>
    <x v="1"/>
    <x v="2"/>
    <n v="1"/>
    <s v="Dr Okafor"/>
    <x v="2"/>
    <s v="Tech A"/>
    <s v="HMO"/>
    <s v="Test-department mismatch"/>
  </r>
  <r>
    <s v="S1289"/>
    <s v="P71934"/>
    <s v="Male"/>
    <n v="3"/>
    <x v="0"/>
    <s v="Blood"/>
    <x v="2"/>
    <d v="2026-03-22T00:00:00"/>
    <x v="1"/>
    <d v="1899-12-30T16:32:00"/>
    <n v="5"/>
    <d v="2026-03-23T00:00:00"/>
    <d v="1899-12-30T03:32:00"/>
    <n v="11"/>
    <x v="0"/>
    <s v="Accepted"/>
    <x v="0"/>
    <s v="Completed"/>
    <n v="35"/>
    <x v="0"/>
    <x v="0"/>
    <n v="3"/>
    <s v="Dr Ahmed"/>
    <x v="2"/>
    <s v="Tech A"/>
    <s v="HMO"/>
    <s v="Test-department mismatch"/>
  </r>
  <r>
    <s v="S1290"/>
    <s v="P80787"/>
    <s v="Male"/>
    <n v="12"/>
    <x v="5"/>
    <s v="Blood"/>
    <x v="3"/>
    <d v="2026-05-13T00:00:00"/>
    <x v="4"/>
    <d v="1899-12-30T14:54:00"/>
    <n v="4"/>
    <d v="2026-05-13T00:00:00"/>
    <d v="1899-12-30T17:54:00"/>
    <n v="3"/>
    <x v="1"/>
    <s v="Accepted"/>
    <x v="0"/>
    <s v="Completed"/>
    <n v="25"/>
    <x v="1"/>
    <x v="2"/>
    <n v="3"/>
    <s v="Dr Ahmed"/>
    <x v="2"/>
    <s v="Tech A"/>
    <s v="NHIA"/>
    <s v="Test-department mismatch"/>
  </r>
  <r>
    <s v="S1291"/>
    <s v="P31304"/>
    <s v="Female"/>
    <n v="27"/>
    <x v="2"/>
    <s v="Urine"/>
    <x v="3"/>
    <d v="2026-04-14T00:00:00"/>
    <x v="0"/>
    <d v="1899-12-30T09:07:00"/>
    <n v="8"/>
    <d v="2026-04-14T00:00:00"/>
    <d v="1899-12-30T16:07:00"/>
    <n v="7"/>
    <x v="1"/>
    <s v="Accepted"/>
    <x v="0"/>
    <s v="Completed"/>
    <n v="20"/>
    <x v="0"/>
    <x v="0"/>
    <n v="2"/>
    <s v="Dr Okafor"/>
    <x v="1"/>
    <s v="Tech C"/>
    <s v="NHIA"/>
    <s v=" "/>
  </r>
  <r>
    <s v="S1292"/>
    <s v="P32014"/>
    <s v="Female"/>
    <n v="86"/>
    <x v="3"/>
    <s v="Blood"/>
    <x v="2"/>
    <d v="2026-03-28T00:00:00"/>
    <x v="1"/>
    <d v="1899-12-30T13:21:00"/>
    <n v="24"/>
    <d v="2026-03-29T00:00:00"/>
    <d v="1899-12-30T12:21:00"/>
    <n v="23"/>
    <x v="1"/>
    <s v="Accepted"/>
    <x v="0"/>
    <s v="Completed"/>
    <n v="50"/>
    <x v="1"/>
    <x v="0"/>
    <n v="3"/>
    <s v="Dr James"/>
    <x v="0"/>
    <s v="Tech C"/>
    <s v="HMO"/>
    <s v="Female patient with PSA test,; Test-department mismatch"/>
  </r>
  <r>
    <s v="S1293"/>
    <s v="P46143"/>
    <s v="Male"/>
    <n v="33"/>
    <x v="1"/>
    <s v="Blood"/>
    <x v="2"/>
    <d v="2026-01-01T00:00:00"/>
    <x v="3"/>
    <d v="1899-12-30T15:12:00"/>
    <n v="3"/>
    <d v="2026-01-01T00:00:00"/>
    <d v="1899-12-30T21:12:00"/>
    <n v="6"/>
    <x v="0"/>
    <s v="Accepted"/>
    <x v="0"/>
    <s v="Completed"/>
    <n v="15"/>
    <x v="0"/>
    <x v="2"/>
    <n v="5"/>
    <s v="Dr James"/>
    <x v="1"/>
    <s v="Tech C"/>
    <s v="HMO"/>
    <m/>
  </r>
  <r>
    <s v="S1294"/>
    <s v="P30869"/>
    <s v="Female"/>
    <n v="65"/>
    <x v="3"/>
    <s v="Blood"/>
    <x v="4"/>
    <d v="2026-02-01T00:00:00"/>
    <x v="5"/>
    <d v="1899-12-30T08:48:00"/>
    <n v="24"/>
    <d v="2026-02-02T00:00:00"/>
    <d v="1899-12-30T08:48:00"/>
    <n v="24"/>
    <x v="1"/>
    <s v="Accepted"/>
    <x v="0"/>
    <s v="Completed"/>
    <n v="50"/>
    <x v="1"/>
    <x v="1"/>
    <n v="2"/>
    <s v="Dr Adebayo"/>
    <x v="2"/>
    <s v="Tech B"/>
    <s v="HMO"/>
    <s v="Female patient with PSA test"/>
  </r>
  <r>
    <s v="S1295"/>
    <s v="P84765"/>
    <s v="Male"/>
    <n v="36"/>
    <x v="3"/>
    <s v="Blood"/>
    <x v="2"/>
    <d v="2026-03-21T00:00:00"/>
    <x v="1"/>
    <d v="1899-12-30T10:47:00"/>
    <n v="24"/>
    <d v="2026-03-22T00:00:00"/>
    <d v="1899-12-30T18:47:00"/>
    <n v="32"/>
    <x v="0"/>
    <s v="Rejected"/>
    <x v="3"/>
    <s v="Completed"/>
    <n v="50"/>
    <x v="0"/>
    <x v="1"/>
    <n v="4"/>
    <s v="Dr Ahmed"/>
    <x v="3"/>
    <s v="Tech A"/>
    <s v="Private"/>
    <s v="Test-department mismatch; Sample-test status mismatch; Rejected sample with released result"/>
  </r>
  <r>
    <s v="S1296"/>
    <s v="P14592"/>
    <s v="Female"/>
    <n v="33"/>
    <x v="3"/>
    <s v="Blood"/>
    <x v="4"/>
    <d v="2026-06-14T00:00:00"/>
    <x v="2"/>
    <d v="1899-12-30T13:00:00"/>
    <n v="24"/>
    <d v="2026-06-15T00:00:00"/>
    <d v="1899-12-30T19:00:00"/>
    <n v="30"/>
    <x v="0"/>
    <s v="Accepted"/>
    <x v="0"/>
    <s v="Completed"/>
    <n v="50"/>
    <x v="0"/>
    <x v="2"/>
    <n v="1"/>
    <s v="Dr Adebayo"/>
    <x v="2"/>
    <s v="Tech B"/>
    <s v="HMO"/>
    <s v="Female patient with PSA test"/>
  </r>
  <r>
    <s v="S1297"/>
    <s v="P55514"/>
    <s v="Female"/>
    <n v="68"/>
    <x v="0"/>
    <s v="Blood"/>
    <x v="2"/>
    <d v="2026-05-03T00:00:00"/>
    <x v="4"/>
    <d v="1899-12-30T09:42:00"/>
    <n v="5"/>
    <d v="2026-05-03T00:00:00"/>
    <d v="1899-12-30T17:42:00"/>
    <n v="8"/>
    <x v="0"/>
    <s v="Accepted"/>
    <x v="0"/>
    <s v="Completed"/>
    <n v="35"/>
    <x v="1"/>
    <x v="1"/>
    <n v="2"/>
    <s v="Dr Adebayo"/>
    <x v="2"/>
    <s v="Tech B"/>
    <s v="Private"/>
    <s v="Test-department mismatch"/>
  </r>
  <r>
    <s v="S1298"/>
    <s v="P44660"/>
    <s v="Male"/>
    <n v="51"/>
    <x v="4"/>
    <s v="Blood"/>
    <x v="0"/>
    <d v="2026-04-30T00:00:00"/>
    <x v="0"/>
    <d v="1899-12-30T09:53:00"/>
    <n v="6"/>
    <d v="2026-04-30T00:00:00"/>
    <d v="1899-12-30T21:53:00"/>
    <n v="12"/>
    <x v="0"/>
    <s v="Accepted"/>
    <x v="0"/>
    <s v="Pending"/>
    <n v="40"/>
    <x v="0"/>
    <x v="1"/>
    <n v="2"/>
    <s v="Dr Adebayo"/>
    <x v="2"/>
    <s v="Tech C"/>
    <s v="Private"/>
    <s v="Pending test with released result"/>
  </r>
  <r>
    <s v="S1299"/>
    <s v="P90219"/>
    <s v="Female"/>
    <n v="77"/>
    <x v="2"/>
    <s v="Urine"/>
    <x v="3"/>
    <d v="2026-02-20T00:00:00"/>
    <x v="5"/>
    <d v="1899-12-30T14:59:00"/>
    <n v="8"/>
    <d v="2026-02-20T00:00:00"/>
    <d v="1899-12-30T23:59:00"/>
    <n v="9"/>
    <x v="0"/>
    <s v="Accepted"/>
    <x v="0"/>
    <s v="Completed"/>
    <n v="20"/>
    <x v="0"/>
    <x v="1"/>
    <n v="3"/>
    <s v="Dr Okafor"/>
    <x v="1"/>
    <s v="Tech A"/>
    <s v="Private"/>
    <s v=" "/>
  </r>
  <r>
    <s v="S1300"/>
    <s v="P84663"/>
    <s v="Female"/>
    <n v="150"/>
    <x v="1"/>
    <s v="Blood"/>
    <x v="2"/>
    <d v="2026-02-16T00:00:00"/>
    <x v="5"/>
    <d v="1899-12-30T09:46:00"/>
    <n v="3"/>
    <d v="2026-02-16T00:00:00"/>
    <d v="1899-12-30T15:46:00"/>
    <n v="6"/>
    <x v="0"/>
    <s v="Accepted"/>
    <x v="0"/>
    <s v="Completed"/>
    <n v="15"/>
    <x v="1"/>
    <x v="0"/>
    <n v="4"/>
    <s v="Dr Ahmed"/>
    <x v="2"/>
    <s v="Tech B"/>
    <s v="Private"/>
    <s v=" Invalid Age"/>
  </r>
  <r>
    <s v="S1301"/>
    <s v="P85632"/>
    <s v="Female"/>
    <n v="89"/>
    <x v="0"/>
    <s v="Blood"/>
    <x v="4"/>
    <d v="2026-06-22T00:00:00"/>
    <x v="2"/>
    <d v="1899-12-30T16:27:00"/>
    <n v="5"/>
    <d v="2026-06-22T00:00:00"/>
    <d v="1899-12-30T21:27:00"/>
    <n v="5"/>
    <x v="1"/>
    <s v="Accepted"/>
    <x v="0"/>
    <s v="Completed"/>
    <n v="35"/>
    <x v="0"/>
    <x v="1"/>
    <n v="3"/>
    <s v="Dr Ahmed"/>
    <x v="3"/>
    <s v="Tech A"/>
    <s v="HMO"/>
    <s v="Test-department mismatch"/>
  </r>
  <r>
    <s v="S1302"/>
    <s v="P14681"/>
    <s v="Female"/>
    <n v="44"/>
    <x v="4"/>
    <s v="Blood"/>
    <x v="0"/>
    <d v="2026-04-18T00:00:00"/>
    <x v="0"/>
    <d v="1899-12-30T08:31:00"/>
    <n v="6"/>
    <d v="2026-04-18T00:00:00"/>
    <d v="1899-12-30T16:31:00"/>
    <n v="8"/>
    <x v="0"/>
    <s v="Accepted"/>
    <x v="0"/>
    <s v="Completed"/>
    <n v="40"/>
    <x v="1"/>
    <x v="0"/>
    <n v="5"/>
    <s v="Dr Ahmed"/>
    <x v="1"/>
    <s v="Tech C"/>
    <s v="NHIA"/>
    <s v=" "/>
  </r>
  <r>
    <s v="S1303"/>
    <s v="P69637"/>
    <s v="Female"/>
    <n v="78"/>
    <x v="5"/>
    <s v="Blood"/>
    <x v="4"/>
    <d v="2026-03-09T00:00:00"/>
    <x v="1"/>
    <d v="1899-12-30T09:13:00"/>
    <n v="4"/>
    <d v="2026-03-09T00:00:00"/>
    <d v="1899-12-30T20:13:00"/>
    <n v="11"/>
    <x v="0"/>
    <s v="Accepted"/>
    <x v="0"/>
    <s v="Completed"/>
    <n v="25"/>
    <x v="0"/>
    <x v="1"/>
    <n v="2"/>
    <s v="Dr Adebayo"/>
    <x v="2"/>
    <s v="Tech C"/>
    <s v="NHIA"/>
    <s v="Test-department mismatch"/>
  </r>
  <r>
    <s v="S1304"/>
    <s v="P71882"/>
    <s v="Female"/>
    <n v="12"/>
    <x v="0"/>
    <s v="Blood"/>
    <x v="0"/>
    <d v="2026-04-26T00:00:00"/>
    <x v="0"/>
    <d v="1899-12-30T09:22:00"/>
    <n v="5"/>
    <d v="2026-04-26T00:00:00"/>
    <d v="1899-12-30T13:22:00"/>
    <n v="4"/>
    <x v="1"/>
    <s v="Accepted"/>
    <x v="0"/>
    <s v="Completed"/>
    <n v="35"/>
    <x v="1"/>
    <x v="2"/>
    <n v="2"/>
    <s v="Dr Adebayo"/>
    <x v="2"/>
    <s v="Tech B"/>
    <s v="HMO"/>
    <s v=" "/>
  </r>
  <r>
    <s v="S1305"/>
    <s v="P78303"/>
    <s v="Female"/>
    <n v="72"/>
    <x v="3"/>
    <s v="Blood"/>
    <x v="0"/>
    <d v="2026-01-01T00:00:00"/>
    <x v="3"/>
    <d v="1899-12-30T16:47:00"/>
    <n v="24"/>
    <d v="2026-01-02T00:00:00"/>
    <d v="1899-12-30T21:47:00"/>
    <n v="29"/>
    <x v="0"/>
    <s v="Accepted"/>
    <x v="0"/>
    <s v="Completed"/>
    <n v="50"/>
    <x v="1"/>
    <x v="2"/>
    <n v="2"/>
    <s v="Dr Adebayo"/>
    <x v="1"/>
    <s v="Tech B"/>
    <s v="Private"/>
    <s v="Female patient with PSA test; Test-department mismatch"/>
  </r>
  <r>
    <s v="S1306"/>
    <s v="P65697"/>
    <s v="Female"/>
    <n v="40"/>
    <x v="2"/>
    <s v="Urine"/>
    <x v="3"/>
    <d v="2026-05-14T00:00:00"/>
    <x v="4"/>
    <d v="1899-12-30T09:15:00"/>
    <n v="8"/>
    <d v="2026-05-15T00:00:00"/>
    <d v="1899-12-30T00:15:00"/>
    <n v="15"/>
    <x v="0"/>
    <s v="Accepted"/>
    <x v="0"/>
    <s v="Completed"/>
    <n v="20"/>
    <x v="0"/>
    <x v="1"/>
    <n v="1"/>
    <s v="Dr Okafor"/>
    <x v="2"/>
    <s v="Tech B"/>
    <s v="HMO"/>
    <s v=" "/>
  </r>
  <r>
    <s v="S1307"/>
    <s v="P47787"/>
    <s v="Female"/>
    <n v="34"/>
    <x v="5"/>
    <s v="Blood"/>
    <x v="0"/>
    <d v="2026-06-25T00:00:00"/>
    <x v="2"/>
    <d v="1899-12-30T13:32:00"/>
    <n v="4"/>
    <d v="2026-06-25T00:00:00"/>
    <d v="1899-12-30T20:32:00"/>
    <n v="7"/>
    <x v="0"/>
    <s v="Accepted"/>
    <x v="0"/>
    <s v="Completed"/>
    <n v="25"/>
    <x v="0"/>
    <x v="1"/>
    <n v="4"/>
    <s v="Dr James"/>
    <x v="2"/>
    <s v="Tech A"/>
    <s v="NHIA"/>
    <s v="Test-department mismatch"/>
  </r>
  <r>
    <s v="S1308"/>
    <s v="P38440"/>
    <s v="Female"/>
    <n v="15"/>
    <x v="4"/>
    <s v="Blood"/>
    <x v="3"/>
    <d v="2026-05-12T00:00:00"/>
    <x v="4"/>
    <d v="1899-12-30T11:14:00"/>
    <n v="6"/>
    <d v="2026-05-12T00:00:00"/>
    <d v="1899-12-30T16:14:00"/>
    <n v="5"/>
    <x v="1"/>
    <s v="Accepted"/>
    <x v="0"/>
    <s v="Completed"/>
    <n v="40"/>
    <x v="1"/>
    <x v="0"/>
    <n v="3"/>
    <s v="Dr Ahmed"/>
    <x v="0"/>
    <s v="Tech B"/>
    <s v="HMO"/>
    <s v="Test-department mismatch"/>
  </r>
  <r>
    <s v="S1309"/>
    <s v="P89364"/>
    <s v="Male"/>
    <n v="10"/>
    <x v="0"/>
    <s v="Blood"/>
    <x v="3"/>
    <d v="2026-06-04T00:00:00"/>
    <x v="2"/>
    <d v="1899-12-30T07:15:00"/>
    <n v="5"/>
    <d v="2026-06-04T00:00:00"/>
    <d v="1899-12-30T19:15:00"/>
    <n v="12"/>
    <x v="0"/>
    <s v="Accepted"/>
    <x v="0"/>
    <s v="Completed"/>
    <n v="35"/>
    <x v="1"/>
    <x v="0"/>
    <n v="3"/>
    <s v="Dr James"/>
    <x v="1"/>
    <s v="Tech B"/>
    <s v="NHIA"/>
    <s v="Test-department mismatch"/>
  </r>
  <r>
    <s v="S1310"/>
    <s v="P99025"/>
    <s v="Female"/>
    <n v="11"/>
    <x v="5"/>
    <s v="Blood"/>
    <x v="3"/>
    <d v="2026-04-12T00:00:00"/>
    <x v="0"/>
    <d v="1899-12-30T15:01:00"/>
    <n v="4"/>
    <d v="2026-04-12T00:00:00"/>
    <d v="1899-12-30T23:01:00"/>
    <n v="8"/>
    <x v="0"/>
    <s v="Accepted"/>
    <x v="0"/>
    <s v="Completed"/>
    <n v="25"/>
    <x v="1"/>
    <x v="2"/>
    <n v="2"/>
    <s v="Dr Okafor"/>
    <x v="2"/>
    <s v="Tech C"/>
    <s v="Private"/>
    <s v="Test-department mismatch"/>
  </r>
  <r>
    <s v="S1311"/>
    <s v="P73402"/>
    <s v="Female"/>
    <n v="50"/>
    <x v="3"/>
    <s v="Blood"/>
    <x v="3"/>
    <d v="2026-01-22T00:00:00"/>
    <x v="3"/>
    <d v="1899-12-30T08:08:00"/>
    <n v="24"/>
    <d v="2026-01-23T00:00:00"/>
    <d v="1899-12-30T16:08:00"/>
    <n v="32"/>
    <x v="0"/>
    <s v="Accepted"/>
    <x v="0"/>
    <s v="Completed"/>
    <n v="50"/>
    <x v="1"/>
    <x v="0"/>
    <n v="4"/>
    <s v="Dr Adebayo"/>
    <x v="0"/>
    <s v="Tech A"/>
    <s v="HMO"/>
    <s v="Female patient with PSA test; Test-department mismatch"/>
  </r>
  <r>
    <s v="S1312"/>
    <s v="P99753"/>
    <s v="Female"/>
    <n v="10"/>
    <x v="3"/>
    <s v="Blood"/>
    <x v="4"/>
    <d v="2026-06-05T00:00:00"/>
    <x v="2"/>
    <d v="1899-12-30T15:39:00"/>
    <n v="24"/>
    <d v="2026-06-06T00:00:00"/>
    <d v="1899-12-30T22:39:00"/>
    <n v="31"/>
    <x v="0"/>
    <s v="Accepted"/>
    <x v="0"/>
    <s v="Completed"/>
    <n v="50"/>
    <x v="1"/>
    <x v="0"/>
    <n v="4"/>
    <s v="Dr Okafor"/>
    <x v="0"/>
    <s v="Tech A"/>
    <s v="NHIA"/>
    <s v="Female patient with PSA test; Suspicious Test-Age Combination"/>
  </r>
  <r>
    <s v="S1313"/>
    <s v="P46617"/>
    <s v="Female"/>
    <n v="60"/>
    <x v="3"/>
    <s v="Blood"/>
    <x v="0"/>
    <d v="2026-06-19T00:00:00"/>
    <x v="2"/>
    <d v="1899-12-30T15:04:00"/>
    <n v="24"/>
    <d v="2026-06-20T00:00:00"/>
    <d v="1899-12-30T19:04:00"/>
    <n v="28"/>
    <x v="0"/>
    <s v="Rejected"/>
    <x v="4"/>
    <s v="Completed"/>
    <n v="50"/>
    <x v="0"/>
    <x v="1"/>
    <n v="2"/>
    <s v="Dr Okafor"/>
    <x v="3"/>
    <s v="Tech B"/>
    <s v="HMO"/>
    <s v="Female patient with PSA test; Sample-test status mismatch; Rejected sample with released resultTest-department mismatch"/>
  </r>
  <r>
    <s v="S1314"/>
    <s v="P52418"/>
    <s v="Female"/>
    <n v="15"/>
    <x v="0"/>
    <s v="Blood"/>
    <x v="2"/>
    <d v="2026-04-07T00:00:00"/>
    <x v="0"/>
    <d v="1899-12-30T11:56:00"/>
    <n v="5"/>
    <d v="2026-04-07T00:00:00"/>
    <d v="1899-12-30T16:56:00"/>
    <n v="5"/>
    <x v="1"/>
    <s v="Accepted"/>
    <x v="0"/>
    <s v="Completed"/>
    <n v="35"/>
    <x v="0"/>
    <x v="1"/>
    <n v="4"/>
    <s v="Dr Adebayo"/>
    <x v="3"/>
    <s v="Tech C"/>
    <s v="HMO"/>
    <s v="Test-department mismatch"/>
  </r>
  <r>
    <s v="S1315"/>
    <s v="P74899"/>
    <s v="Male"/>
    <n v="9"/>
    <x v="2"/>
    <s v="Urine"/>
    <x v="3"/>
    <d v="2026-04-16T00:00:00"/>
    <x v="0"/>
    <d v="1899-12-30T09:31:00"/>
    <n v="8"/>
    <d v="2026-04-16T00:00:00"/>
    <d v="1899-12-30T19:31:00"/>
    <n v="10"/>
    <x v="0"/>
    <s v="Accepted"/>
    <x v="0"/>
    <s v="Completed"/>
    <n v="20"/>
    <x v="1"/>
    <x v="1"/>
    <n v="2"/>
    <s v="Dr James"/>
    <x v="0"/>
    <s v="Tech B"/>
    <s v="NHIA"/>
    <s v=" "/>
  </r>
  <r>
    <s v="S1316"/>
    <s v="P70716"/>
    <s v="Male"/>
    <n v="52"/>
    <x v="3"/>
    <s v="Blood"/>
    <x v="3"/>
    <d v="2026-01-26T00:00:00"/>
    <x v="3"/>
    <d v="1899-12-30T11:57:00"/>
    <n v="24"/>
    <d v="2026-01-27T00:00:00"/>
    <d v="1899-12-30T14:57:00"/>
    <n v="27"/>
    <x v="0"/>
    <s v="Accepted"/>
    <x v="0"/>
    <s v="Completed"/>
    <n v="50"/>
    <x v="1"/>
    <x v="1"/>
    <n v="4"/>
    <s v="Dr Ahmed"/>
    <x v="0"/>
    <s v="Tech A"/>
    <s v="NHIA"/>
    <s v="Test-department mismatch"/>
  </r>
  <r>
    <s v="S1317"/>
    <s v="P39275"/>
    <s v="Female"/>
    <n v="64"/>
    <x v="3"/>
    <s v="Blood"/>
    <x v="1"/>
    <d v="2026-03-25T00:00:00"/>
    <x v="1"/>
    <d v="1899-12-30T14:32:00"/>
    <n v="24"/>
    <d v="2026-03-26T00:00:00"/>
    <d v="1899-12-30T22:32:00"/>
    <n v="32"/>
    <x v="0"/>
    <s v="Accepted"/>
    <x v="0"/>
    <s v="Completed"/>
    <n v="50"/>
    <x v="0"/>
    <x v="0"/>
    <n v="3"/>
    <s v="Dr Okafor"/>
    <x v="0"/>
    <s v="Tech A"/>
    <s v="Private"/>
    <s v="Female patient with PSA test;Test-department mismatch"/>
  </r>
  <r>
    <s v="S1318"/>
    <s v="P39321"/>
    <s v="Male"/>
    <n v="14"/>
    <x v="4"/>
    <s v="Blood"/>
    <x v="0"/>
    <d v="2026-03-18T00:00:00"/>
    <x v="1"/>
    <d v="1899-12-30T09:51:00"/>
    <n v="6"/>
    <d v="2026-03-18T00:00:00"/>
    <d v="1899-12-30T15:51:00"/>
    <n v="6"/>
    <x v="1"/>
    <s v="Accepted"/>
    <x v="0"/>
    <s v="Completed"/>
    <n v="40"/>
    <x v="1"/>
    <x v="2"/>
    <n v="1"/>
    <s v="Dr Okafor"/>
    <x v="1"/>
    <s v="Tech B"/>
    <s v="NHIA"/>
    <s v=" "/>
  </r>
  <r>
    <s v="S1319"/>
    <s v="P65098"/>
    <s v="Male"/>
    <n v="23"/>
    <x v="1"/>
    <s v="Blood"/>
    <x v="2"/>
    <d v="2026-05-21T00:00:00"/>
    <x v="4"/>
    <d v="1899-12-30T10:32:00"/>
    <n v="3"/>
    <d v="2026-05-21T00:00:00"/>
    <d v="1899-12-30T17:32:00"/>
    <n v="7"/>
    <x v="0"/>
    <s v="Accepted"/>
    <x v="0"/>
    <s v="Completed"/>
    <n v="15"/>
    <x v="0"/>
    <x v="1"/>
    <n v="3"/>
    <s v="Dr Adebayo"/>
    <x v="1"/>
    <s v="Tech B"/>
    <s v="HMO"/>
    <m/>
  </r>
  <r>
    <s v="S1320"/>
    <s v="P62410"/>
    <s v="Male"/>
    <n v="42"/>
    <x v="2"/>
    <s v="Urine"/>
    <x v="3"/>
    <d v="2026-06-14T00:00:00"/>
    <x v="2"/>
    <d v="1899-12-30T08:55:00"/>
    <n v="8"/>
    <d v="2026-06-14T00:00:00"/>
    <d v="1899-12-30T17:55:00"/>
    <n v="9"/>
    <x v="0"/>
    <s v="Accepted"/>
    <x v="0"/>
    <s v="Completed"/>
    <n v="20"/>
    <x v="1"/>
    <x v="0"/>
    <n v="2"/>
    <s v="Dr Ahmed"/>
    <x v="0"/>
    <s v="Tech A"/>
    <s v="NHIA"/>
    <s v=" "/>
  </r>
  <r>
    <s v="S1321"/>
    <s v="P32799"/>
    <s v="Female"/>
    <n v="41"/>
    <x v="1"/>
    <s v="Blood"/>
    <x v="1"/>
    <d v="2026-01-26T00:00:00"/>
    <x v="3"/>
    <d v="1899-12-30T10:03:00"/>
    <n v="3"/>
    <d v="2026-01-26T00:00:00"/>
    <d v="1899-12-30T18:03:00"/>
    <n v="8"/>
    <x v="0"/>
    <s v="Accepted"/>
    <x v="0"/>
    <s v="Completed"/>
    <n v="15"/>
    <x v="0"/>
    <x v="2"/>
    <n v="5"/>
    <s v="Dr Adebayo"/>
    <x v="2"/>
    <s v="Tech C"/>
    <s v="HMO"/>
    <s v="Test-department mismatch"/>
  </r>
  <r>
    <s v="S1322"/>
    <s v="P26611"/>
    <s v="Male"/>
    <n v="40"/>
    <x v="2"/>
    <s v="Urine"/>
    <x v="2"/>
    <d v="2026-04-13T00:00:00"/>
    <x v="0"/>
    <d v="1899-12-30T07:35:00"/>
    <n v="8"/>
    <d v="2026-04-13T00:00:00"/>
    <d v="1899-12-30T20:35:00"/>
    <n v="13"/>
    <x v="0"/>
    <s v="Accepted"/>
    <x v="0"/>
    <s v="Completed"/>
    <n v="20"/>
    <x v="0"/>
    <x v="0"/>
    <n v="4"/>
    <s v="Dr Okafor"/>
    <x v="3"/>
    <s v="Tech C"/>
    <s v="NHIA"/>
    <s v="Test-department mismatch"/>
  </r>
  <r>
    <s v="S1323"/>
    <s v="P53486"/>
    <s v="Male"/>
    <n v="77"/>
    <x v="2"/>
    <s v="Urine"/>
    <x v="3"/>
    <d v="2026-05-03T00:00:00"/>
    <x v="4"/>
    <d v="1899-12-30T12:19:00"/>
    <n v="8"/>
    <d v="2026-05-04T00:00:00"/>
    <d v="1899-12-30T00:19:00"/>
    <n v="12"/>
    <x v="0"/>
    <s v="Accepted"/>
    <x v="0"/>
    <s v="Pending"/>
    <n v="20"/>
    <x v="1"/>
    <x v="2"/>
    <n v="5"/>
    <s v="Dr Adebayo"/>
    <x v="0"/>
    <s v="Tech B"/>
    <s v="HMO"/>
    <s v="Pending test with released result"/>
  </r>
  <r>
    <s v="S1324"/>
    <s v="P50658"/>
    <s v="Male"/>
    <n v="46"/>
    <x v="0"/>
    <s v="Blood"/>
    <x v="2"/>
    <d v="2026-05-16T00:00:00"/>
    <x v="4"/>
    <d v="1899-12-30T08:11:00"/>
    <n v="5"/>
    <d v="2026-05-16T00:00:00"/>
    <d v="1899-12-30T20:11:00"/>
    <n v="12"/>
    <x v="0"/>
    <s v="Accepted"/>
    <x v="0"/>
    <s v="Pending"/>
    <n v="35"/>
    <x v="1"/>
    <x v="2"/>
    <n v="4"/>
    <s v="Dr James"/>
    <x v="3"/>
    <s v="Tech B"/>
    <s v="HMO"/>
    <s v="Test-department mismatch; Pending test with released result"/>
  </r>
  <r>
    <s v="S1325"/>
    <s v="P84297"/>
    <s v="Male"/>
    <n v="73"/>
    <x v="4"/>
    <s v="Blood"/>
    <x v="0"/>
    <d v="2026-06-29T00:00:00"/>
    <x v="2"/>
    <d v="1899-12-30T15:19:00"/>
    <n v="6"/>
    <d v="2026-06-29T00:00:00"/>
    <d v="1899-12-30T21:19:00"/>
    <n v="6"/>
    <x v="1"/>
    <s v="Accepted"/>
    <x v="0"/>
    <s v="Completed"/>
    <n v="40"/>
    <x v="1"/>
    <x v="0"/>
    <n v="3"/>
    <s v="Dr Okafor"/>
    <x v="0"/>
    <s v="Tech A"/>
    <s v="NHIA"/>
    <s v=" "/>
  </r>
  <r>
    <s v="S1326"/>
    <s v="P67637"/>
    <s v="Female"/>
    <n v="63"/>
    <x v="0"/>
    <s v="Blood"/>
    <x v="0"/>
    <d v="2026-06-24T00:00:00"/>
    <x v="2"/>
    <d v="1899-12-30T09:00:00"/>
    <n v="5"/>
    <d v="2026-06-24T00:00:00"/>
    <d v="1899-12-30T13:00:00"/>
    <n v="4"/>
    <x v="1"/>
    <s v="Accepted"/>
    <x v="0"/>
    <s v="Completed"/>
    <n v="35"/>
    <x v="1"/>
    <x v="0"/>
    <n v="5"/>
    <s v="Dr Ahmed"/>
    <x v="1"/>
    <s v="Tech C"/>
    <s v="NHIA"/>
    <s v=" "/>
  </r>
  <r>
    <s v="S1327"/>
    <s v="P87565"/>
    <s v="Male"/>
    <n v="83"/>
    <x v="0"/>
    <s v="Blood"/>
    <x v="3"/>
    <d v="2026-04-26T00:00:00"/>
    <x v="0"/>
    <d v="1899-12-30T16:28:00"/>
    <n v="5"/>
    <d v="2026-04-27T00:00:00"/>
    <d v="1899-12-30T00:28:00"/>
    <n v="8"/>
    <x v="0"/>
    <s v="Accepted"/>
    <x v="0"/>
    <s v="Completed"/>
    <n v="35"/>
    <x v="1"/>
    <x v="2"/>
    <n v="4"/>
    <s v="Dr James"/>
    <x v="3"/>
    <s v="Tech B"/>
    <s v="Private"/>
    <s v="Test-department mismatch"/>
  </r>
  <r>
    <s v="S1328"/>
    <s v="P57049"/>
    <s v="Male"/>
    <n v="47"/>
    <x v="1"/>
    <s v="Blood"/>
    <x v="2"/>
    <d v="2026-05-02T00:00:00"/>
    <x v="4"/>
    <d v="1899-12-30T16:46:00"/>
    <n v="3"/>
    <d v="2026-05-02T00:00:00"/>
    <d v="1899-12-30T21:46:00"/>
    <n v="5"/>
    <x v="0"/>
    <s v="Accepted"/>
    <x v="0"/>
    <s v="Completed"/>
    <n v="15"/>
    <x v="1"/>
    <x v="0"/>
    <n v="3"/>
    <s v="Dr Okafor"/>
    <x v="2"/>
    <s v="Tech C"/>
    <s v="Private"/>
    <m/>
  </r>
  <r>
    <s v="S1329"/>
    <s v="P86733"/>
    <s v="Male"/>
    <n v="82"/>
    <x v="4"/>
    <s v="Blood"/>
    <x v="0"/>
    <d v="2026-04-13T00:00:00"/>
    <x v="0"/>
    <d v="1899-12-30T15:03:00"/>
    <n v="6"/>
    <d v="2026-04-14T00:00:00"/>
    <d v="1899-12-30T01:03:00"/>
    <n v="10"/>
    <x v="0"/>
    <s v="Accepted"/>
    <x v="0"/>
    <s v="Completed"/>
    <n v="40"/>
    <x v="0"/>
    <x v="2"/>
    <n v="4"/>
    <s v="Dr James"/>
    <x v="0"/>
    <s v="Tech B"/>
    <s v="NHIA"/>
    <s v=" "/>
  </r>
  <r>
    <s v="S1330"/>
    <s v="P34928"/>
    <s v="Female"/>
    <n v="73"/>
    <x v="1"/>
    <s v="Blood"/>
    <x v="2"/>
    <d v="2026-02-16T00:00:00"/>
    <x v="5"/>
    <d v="1899-12-30T07:20:00"/>
    <n v="3"/>
    <d v="2026-02-16T00:00:00"/>
    <d v="1899-12-30T13:20:00"/>
    <n v="6"/>
    <x v="0"/>
    <s v="Accepted"/>
    <x v="0"/>
    <s v="Completed"/>
    <n v="15"/>
    <x v="0"/>
    <x v="1"/>
    <n v="4"/>
    <s v="Dr Adebayo"/>
    <x v="3"/>
    <s v="Tech C"/>
    <s v="Private"/>
    <m/>
  </r>
  <r>
    <s v="S1331"/>
    <s v="P23187"/>
    <s v="Male"/>
    <n v="83"/>
    <x v="5"/>
    <s v="Blood"/>
    <x v="0"/>
    <d v="2026-03-12T00:00:00"/>
    <x v="1"/>
    <d v="1899-12-30T08:36:00"/>
    <n v="4"/>
    <d v="2026-03-12T00:00:00"/>
    <d v="1899-12-30T17:36:00"/>
    <n v="9"/>
    <x v="0"/>
    <s v="Accepted"/>
    <x v="0"/>
    <s v="Completed"/>
    <n v="25"/>
    <x v="0"/>
    <x v="0"/>
    <n v="3"/>
    <s v="Dr Adebayo"/>
    <x v="2"/>
    <s v="Tech C"/>
    <s v="NHIA"/>
    <s v="Test-department mismatch"/>
  </r>
  <r>
    <s v="S1332"/>
    <s v="P75579"/>
    <s v="Female"/>
    <n v="49"/>
    <x v="5"/>
    <s v="Blood"/>
    <x v="1"/>
    <d v="2026-05-20T00:00:00"/>
    <x v="4"/>
    <d v="1899-12-30T11:28:00"/>
    <n v="4"/>
    <d v="2026-05-20T00:00:00"/>
    <d v="1899-12-30T14:28:00"/>
    <n v="3"/>
    <x v="1"/>
    <s v="Accepted"/>
    <x v="0"/>
    <s v="Completed"/>
    <n v="25"/>
    <x v="0"/>
    <x v="0"/>
    <n v="1"/>
    <s v="Dr Ahmed"/>
    <x v="3"/>
    <s v="Tech B"/>
    <s v="HMO"/>
    <s v="Test-department mismatch"/>
  </r>
  <r>
    <s v="S1333"/>
    <s v="P73660"/>
    <s v="Male"/>
    <n v="38"/>
    <x v="3"/>
    <s v="Blood"/>
    <x v="4"/>
    <d v="2026-02-02T00:00:00"/>
    <x v="5"/>
    <d v="1899-12-30T07:33:00"/>
    <n v="24"/>
    <d v="2026-02-03T00:00:00"/>
    <d v="1899-12-30T08:33:00"/>
    <n v="25"/>
    <x v="0"/>
    <s v="Accepted"/>
    <x v="0"/>
    <s v="Completed"/>
    <n v="50"/>
    <x v="1"/>
    <x v="1"/>
    <n v="3"/>
    <s v="Dr Adebayo"/>
    <x v="2"/>
    <s v="Tech A"/>
    <s v="Private"/>
    <s v=" "/>
  </r>
  <r>
    <s v="S1334"/>
    <s v="P86429"/>
    <s v="Male"/>
    <n v="88"/>
    <x v="2"/>
    <s v="Urine"/>
    <x v="1"/>
    <d v="2026-02-16T00:00:00"/>
    <x v="5"/>
    <d v="1899-12-30T16:10:00"/>
    <n v="8"/>
    <d v="2026-02-17T00:00:00"/>
    <d v="1899-12-30T04:10:00"/>
    <n v="12"/>
    <x v="0"/>
    <s v="Accepted"/>
    <x v="0"/>
    <s v="Completed"/>
    <n v="20"/>
    <x v="1"/>
    <x v="2"/>
    <n v="1"/>
    <s v="Dr Okafor"/>
    <x v="3"/>
    <s v="Tech C"/>
    <s v="NHIA"/>
    <s v="Test-department mismatch"/>
  </r>
  <r>
    <s v="S1335"/>
    <s v="P13986"/>
    <s v="Male"/>
    <n v="87"/>
    <x v="2"/>
    <s v="Urine"/>
    <x v="1"/>
    <d v="2026-04-14T00:00:00"/>
    <x v="0"/>
    <d v="1899-12-30T07:43:00"/>
    <n v="8"/>
    <d v="2026-04-14T00:00:00"/>
    <d v="1899-12-30T20:43:00"/>
    <n v="13"/>
    <x v="0"/>
    <s v="Rejected"/>
    <x v="2"/>
    <s v="Completed"/>
    <n v="20"/>
    <x v="1"/>
    <x v="2"/>
    <n v="3"/>
    <s v="Dr Okafor"/>
    <x v="0"/>
    <s v="Tech A"/>
    <s v="HMO"/>
    <s v="Test-department mismatch; Sample-test status mismatch; Rejected sample with released result"/>
  </r>
  <r>
    <s v="S1336"/>
    <s v="P18166"/>
    <s v="Male"/>
    <n v="15"/>
    <x v="0"/>
    <s v="Blood"/>
    <x v="0"/>
    <d v="2026-06-08T00:00:00"/>
    <x v="2"/>
    <d v="1899-12-30T07:41:00"/>
    <n v="5"/>
    <d v="2026-06-08T00:00:00"/>
    <d v="1899-12-30T18:41:00"/>
    <n v="11"/>
    <x v="0"/>
    <s v="Accepted"/>
    <x v="0"/>
    <s v="Completed"/>
    <n v="35"/>
    <x v="1"/>
    <x v="1"/>
    <n v="5"/>
    <s v="Dr Ahmed"/>
    <x v="3"/>
    <s v="Tech B"/>
    <s v="Private"/>
    <s v=" "/>
  </r>
  <r>
    <s v="S1337"/>
    <s v="P24262"/>
    <s v="Female"/>
    <n v="25"/>
    <x v="5"/>
    <s v="Blood"/>
    <x v="1"/>
    <d v="2026-04-06T00:00:00"/>
    <x v="0"/>
    <d v="1899-12-30T15:17:00"/>
    <n v="4"/>
    <d v="2026-04-07T00:00:00"/>
    <d v="1899-12-30T01:17:00"/>
    <n v="10"/>
    <x v="0"/>
    <s v="Accepted"/>
    <x v="0"/>
    <s v="Completed"/>
    <n v="25"/>
    <x v="1"/>
    <x v="0"/>
    <n v="2"/>
    <s v="Dr James"/>
    <x v="2"/>
    <s v="Tech A"/>
    <s v="NHIA"/>
    <s v="Test-department mismatch"/>
  </r>
  <r>
    <s v="S1338"/>
    <s v="P87342"/>
    <s v="Male"/>
    <n v="22"/>
    <x v="2"/>
    <s v="Urine"/>
    <x v="3"/>
    <d v="2026-06-19T00:00:00"/>
    <x v="2"/>
    <d v="1899-12-30T11:34:00"/>
    <n v="8"/>
    <d v="2026-06-20T00:00:00"/>
    <d v="1899-12-30T02:34:00"/>
    <n v="15"/>
    <x v="0"/>
    <s v="Accepted"/>
    <x v="0"/>
    <s v="Completed"/>
    <n v="20"/>
    <x v="0"/>
    <x v="2"/>
    <n v="4"/>
    <s v="Dr Adebayo"/>
    <x v="0"/>
    <s v="Tech A"/>
    <s v="NHIA"/>
    <s v=" "/>
  </r>
  <r>
    <s v="S1339"/>
    <s v="P28324"/>
    <s v="Female"/>
    <n v="47"/>
    <x v="2"/>
    <s v="Urine"/>
    <x v="3"/>
    <d v="2026-04-26T00:00:00"/>
    <x v="0"/>
    <d v="1899-12-30T11:43:00"/>
    <n v="8"/>
    <d v="2026-04-27T00:00:00"/>
    <d v="1899-12-30T00:43:00"/>
    <n v="13"/>
    <x v="0"/>
    <s v="Accepted"/>
    <x v="0"/>
    <s v="Completed"/>
    <n v="20"/>
    <x v="1"/>
    <x v="1"/>
    <n v="4"/>
    <s v="Dr James"/>
    <x v="0"/>
    <s v="Tech C"/>
    <s v="Private"/>
    <s v=" "/>
  </r>
  <r>
    <s v="S1340"/>
    <s v="P57982"/>
    <s v="Female"/>
    <n v="11"/>
    <x v="2"/>
    <s v="Urine"/>
    <x v="3"/>
    <d v="2026-05-01T00:00:00"/>
    <x v="4"/>
    <d v="1899-12-30T09:52:00"/>
    <n v="8"/>
    <d v="2026-05-01T00:00:00"/>
    <d v="1899-12-30T23:52:00"/>
    <n v="14"/>
    <x v="0"/>
    <s v="Accepted"/>
    <x v="0"/>
    <s v="Completed"/>
    <n v="20"/>
    <x v="1"/>
    <x v="0"/>
    <n v="1"/>
    <s v="Dr Adebayo"/>
    <x v="3"/>
    <s v="Tech B"/>
    <s v="Private"/>
    <s v=" "/>
  </r>
  <r>
    <s v="S1341"/>
    <s v="P53816"/>
    <s v="Female"/>
    <n v="66"/>
    <x v="4"/>
    <s v="Blood"/>
    <x v="0"/>
    <d v="2026-01-27T00:00:00"/>
    <x v="3"/>
    <d v="1899-12-30T15:59:00"/>
    <n v="6"/>
    <d v="2026-01-28T00:00:00"/>
    <d v="1899-12-30T00:59:00"/>
    <n v="9"/>
    <x v="0"/>
    <s v="Accepted"/>
    <x v="0"/>
    <s v="Completed"/>
    <n v="40"/>
    <x v="0"/>
    <x v="1"/>
    <n v="3"/>
    <s v="Dr James"/>
    <x v="3"/>
    <s v="Tech C"/>
    <s v="Private"/>
    <s v=" "/>
  </r>
  <r>
    <s v="S1342"/>
    <s v="P46499"/>
    <s v="Female"/>
    <n v="87"/>
    <x v="5"/>
    <s v="Blood"/>
    <x v="1"/>
    <d v="2026-02-20T00:00:00"/>
    <x v="5"/>
    <d v="1899-12-30T12:17:00"/>
    <n v="4"/>
    <d v="2026-02-20T00:00:00"/>
    <d v="1899-12-30T20:17:00"/>
    <n v="8"/>
    <x v="0"/>
    <s v="Accepted"/>
    <x v="0"/>
    <s v="Completed"/>
    <n v="25"/>
    <x v="1"/>
    <x v="0"/>
    <n v="2"/>
    <s v="Dr Okafor"/>
    <x v="3"/>
    <s v="Tech A"/>
    <s v="HMO"/>
    <s v="Test-department mismatch"/>
  </r>
  <r>
    <s v="S1343"/>
    <s v="P34058"/>
    <s v="Female"/>
    <n v="56"/>
    <x v="3"/>
    <s v="Blood"/>
    <x v="4"/>
    <d v="2026-06-17T00:00:00"/>
    <x v="2"/>
    <d v="1899-12-30T07:42:00"/>
    <n v="24"/>
    <d v="2026-06-18T00:00:00"/>
    <d v="1899-12-30T12:42:00"/>
    <n v="29"/>
    <x v="0"/>
    <s v="Rejected"/>
    <x v="1"/>
    <s v="Completed"/>
    <n v="50"/>
    <x v="1"/>
    <x v="2"/>
    <n v="2"/>
    <s v="Dr Okafor"/>
    <x v="2"/>
    <s v="Tech B"/>
    <s v="NHIA"/>
    <s v="Female patient with PSA test; Sample-test status mismatch; Rejected sample with released result"/>
  </r>
  <r>
    <s v="S1344"/>
    <s v="P55915"/>
    <s v="Female"/>
    <n v="3"/>
    <x v="0"/>
    <s v="Blood"/>
    <x v="2"/>
    <d v="2026-05-31T00:00:00"/>
    <x v="4"/>
    <d v="1899-12-30T10:25:00"/>
    <n v="5"/>
    <d v="2026-05-31T00:00:00"/>
    <d v="1899-12-30T21:25:00"/>
    <n v="11"/>
    <x v="0"/>
    <s v="Accepted"/>
    <x v="0"/>
    <s v="Completed"/>
    <n v="35"/>
    <x v="0"/>
    <x v="2"/>
    <n v="3"/>
    <s v="Dr James"/>
    <x v="0"/>
    <s v="Tech A"/>
    <s v="Private"/>
    <s v="Test-department mismatch"/>
  </r>
  <r>
    <s v="S1345"/>
    <s v="P55335"/>
    <s v="Female"/>
    <n v="17"/>
    <x v="0"/>
    <s v="Blood"/>
    <x v="0"/>
    <d v="2026-05-06T00:00:00"/>
    <x v="4"/>
    <d v="1899-12-30T16:46:00"/>
    <n v="5"/>
    <d v="2026-05-07T00:00:00"/>
    <d v="1899-12-30T02:46:00"/>
    <n v="10"/>
    <x v="0"/>
    <s v="Accepted"/>
    <x v="0"/>
    <s v="Completed"/>
    <n v="35"/>
    <x v="1"/>
    <x v="0"/>
    <n v="2"/>
    <s v="Dr Okafor"/>
    <x v="1"/>
    <s v="Tech B"/>
    <s v="Private"/>
    <s v=" "/>
  </r>
  <r>
    <s v="S1346"/>
    <s v="P12782"/>
    <s v="Female"/>
    <n v="5"/>
    <x v="2"/>
    <s v="Urine"/>
    <x v="1"/>
    <d v="2026-06-09T00:00:00"/>
    <x v="2"/>
    <d v="1899-12-30T12:46:00"/>
    <n v="8"/>
    <d v="2026-06-10T00:00:00"/>
    <d v="1899-12-30T02:46:00"/>
    <n v="14"/>
    <x v="0"/>
    <s v="Accepted"/>
    <x v="0"/>
    <s v="Completed"/>
    <n v="20"/>
    <x v="1"/>
    <x v="1"/>
    <n v="5"/>
    <s v="Dr Okafor"/>
    <x v="1"/>
    <s v="Tech A"/>
    <s v="NHIA"/>
    <s v="Test-department mismatch"/>
  </r>
  <r>
    <s v="S1347"/>
    <s v="P84502"/>
    <s v="Female"/>
    <n v="56"/>
    <x v="4"/>
    <s v="Blood"/>
    <x v="0"/>
    <d v="2026-02-17T00:00:00"/>
    <x v="5"/>
    <d v="1899-12-30T13:25:00"/>
    <n v="6"/>
    <d v="2026-02-18T00:00:00"/>
    <d v="1899-12-30T03:25:00"/>
    <n v="14"/>
    <x v="0"/>
    <s v="Accepted"/>
    <x v="0"/>
    <s v="Completed"/>
    <n v="40"/>
    <x v="1"/>
    <x v="0"/>
    <n v="3"/>
    <s v="Dr Ahmed"/>
    <x v="2"/>
    <s v="Tech C"/>
    <s v="Private"/>
    <s v=" "/>
  </r>
  <r>
    <s v="S1348"/>
    <s v="P53601"/>
    <s v="Female"/>
    <n v="52"/>
    <x v="0"/>
    <s v="Blood"/>
    <x v="1"/>
    <d v="2026-02-20T00:00:00"/>
    <x v="5"/>
    <d v="1899-12-30T12:12:00"/>
    <n v="5"/>
    <d v="2026-02-20T00:00:00"/>
    <d v="1899-12-30T17:12:00"/>
    <n v="5"/>
    <x v="1"/>
    <s v="Accepted"/>
    <x v="0"/>
    <s v="Completed"/>
    <n v="35"/>
    <x v="1"/>
    <x v="2"/>
    <n v="1"/>
    <s v="Dr Adebayo"/>
    <x v="3"/>
    <s v="Tech B"/>
    <s v="NHIA"/>
    <s v="Test-department mismatch"/>
  </r>
  <r>
    <s v="S1349"/>
    <s v="P35094"/>
    <s v="Male"/>
    <n v="89"/>
    <x v="1"/>
    <s v="Blood"/>
    <x v="2"/>
    <d v="2026-05-13T00:00:00"/>
    <x v="4"/>
    <d v="1899-12-30T08:51:00"/>
    <n v="3"/>
    <d v="2026-05-13T00:00:00"/>
    <d v="1899-12-30T19:51:00"/>
    <n v="11"/>
    <x v="0"/>
    <s v="Accepted"/>
    <x v="0"/>
    <s v="Completed"/>
    <n v="15"/>
    <x v="1"/>
    <x v="2"/>
    <n v="3"/>
    <s v="Dr James"/>
    <x v="0"/>
    <s v="Tech C"/>
    <s v="HMO"/>
    <m/>
  </r>
  <r>
    <s v="S1350"/>
    <s v="P52589"/>
    <s v="Male"/>
    <n v="5"/>
    <x v="3"/>
    <s v="Blood"/>
    <x v="0"/>
    <d v="2026-05-13T00:00:00"/>
    <x v="4"/>
    <d v="1899-12-30T13:36:00"/>
    <n v="24"/>
    <d v="2026-05-14T00:00:00"/>
    <d v="1899-12-30T19:36:00"/>
    <n v="30"/>
    <x v="0"/>
    <s v="Accepted"/>
    <x v="0"/>
    <s v="Completed"/>
    <n v="-20"/>
    <x v="1"/>
    <x v="1"/>
    <n v="1"/>
    <s v="Dr Okafor"/>
    <x v="2"/>
    <s v="Tech B"/>
    <s v="Private"/>
    <s v="Suspicious Test-Age Combination; Test-department mismatch"/>
  </r>
  <r>
    <s v="S1351"/>
    <s v="P12029"/>
    <s v="Female"/>
    <n v="81"/>
    <x v="1"/>
    <s v="Blood"/>
    <x v="4"/>
    <d v="2026-04-18T00:00:00"/>
    <x v="0"/>
    <d v="1899-12-30T07:01:00"/>
    <n v="3"/>
    <d v="2026-04-18T00:00:00"/>
    <d v="1899-12-30T09:01:00"/>
    <n v="2"/>
    <x v="1"/>
    <s v="Accepted"/>
    <x v="0"/>
    <s v="Completed"/>
    <n v="15"/>
    <x v="0"/>
    <x v="0"/>
    <n v="5"/>
    <s v="Dr James"/>
    <x v="1"/>
    <s v="Tech B"/>
    <s v="Private"/>
    <s v="Test-department mismatch"/>
  </r>
  <r>
    <s v="S1352"/>
    <s v="P53527"/>
    <s v="Female"/>
    <n v="51"/>
    <x v="1"/>
    <s v="Blood"/>
    <x v="2"/>
    <d v="2026-01-14T00:00:00"/>
    <x v="3"/>
    <d v="1899-12-30T07:53:00"/>
    <n v="3"/>
    <d v="2026-01-14T00:00:00"/>
    <d v="1899-12-30T14:53:00"/>
    <n v="7"/>
    <x v="0"/>
    <s v="Accepted"/>
    <x v="0"/>
    <s v="Completed"/>
    <n v="15"/>
    <x v="0"/>
    <x v="1"/>
    <n v="5"/>
    <s v="Dr Ahmed"/>
    <x v="2"/>
    <s v="Tech A"/>
    <s v="HMO"/>
    <m/>
  </r>
  <r>
    <s v="S1353"/>
    <s v="P49152"/>
    <s v="Female"/>
    <n v="69"/>
    <x v="4"/>
    <s v="Blood"/>
    <x v="1"/>
    <d v="2026-04-07T00:00:00"/>
    <x v="0"/>
    <d v="1899-12-30T07:12:00"/>
    <n v="6"/>
    <d v="2026-04-07T00:00:00"/>
    <d v="1899-12-30T18:12:00"/>
    <n v="11"/>
    <x v="0"/>
    <s v="Accepted"/>
    <x v="0"/>
    <s v="Completed"/>
    <n v="40"/>
    <x v="1"/>
    <x v="0"/>
    <n v="4"/>
    <s v="Dr Okafor"/>
    <x v="2"/>
    <s v="Tech C"/>
    <s v="NHIA"/>
    <s v="Test-department mismatch"/>
  </r>
  <r>
    <s v="S1354"/>
    <s v="P12877"/>
    <s v="Female"/>
    <n v="10"/>
    <x v="2"/>
    <s v="Urine"/>
    <x v="4"/>
    <d v="2026-02-28T00:00:00"/>
    <x v="5"/>
    <d v="1899-12-30T09:54:00"/>
    <n v="8"/>
    <d v="2026-02-28T00:00:00"/>
    <d v="1899-12-30T18:54:00"/>
    <n v="9"/>
    <x v="0"/>
    <s v="Accepted"/>
    <x v="0"/>
    <s v="Completed"/>
    <n v="20"/>
    <x v="1"/>
    <x v="2"/>
    <n v="3"/>
    <s v="Dr Ahmed"/>
    <x v="0"/>
    <s v="Tech A"/>
    <s v="NHIA"/>
    <s v="Test-department mismatch"/>
  </r>
  <r>
    <s v="S1355"/>
    <s v="P49681"/>
    <s v="Female"/>
    <n v="55"/>
    <x v="2"/>
    <s v="Urine"/>
    <x v="3"/>
    <d v="2026-02-14T00:00:00"/>
    <x v="5"/>
    <d v="1899-12-30T16:10:00"/>
    <n v="8"/>
    <d v="2026-02-14T00:00:00"/>
    <d v="1899-12-30T23:10:00"/>
    <n v="7"/>
    <x v="1"/>
    <s v="Accepted"/>
    <x v="0"/>
    <s v="Completed"/>
    <n v="20"/>
    <x v="1"/>
    <x v="1"/>
    <n v="5"/>
    <s v="Dr Okafor"/>
    <x v="1"/>
    <s v="Tech C"/>
    <s v="HMO"/>
    <s v=" "/>
  </r>
  <r>
    <s v="S1356"/>
    <s v="P79996"/>
    <s v="Female"/>
    <n v="7"/>
    <x v="0"/>
    <s v="Blood"/>
    <x v="0"/>
    <d v="2026-01-15T00:00:00"/>
    <x v="3"/>
    <d v="1899-12-30T14:25:00"/>
    <n v="5"/>
    <d v="2026-01-15T00:00:00"/>
    <d v="1899-12-30T22:25:00"/>
    <n v="8"/>
    <x v="0"/>
    <s v="Accepted"/>
    <x v="0"/>
    <s v="Completed"/>
    <n v="35"/>
    <x v="1"/>
    <x v="0"/>
    <n v="4"/>
    <s v="Dr Ahmed"/>
    <x v="2"/>
    <s v="Tech A"/>
    <s v="Private"/>
    <s v=" "/>
  </r>
  <r>
    <s v="S1357"/>
    <s v="P60663"/>
    <s v="Male"/>
    <n v="67"/>
    <x v="4"/>
    <s v="Blood"/>
    <x v="0"/>
    <d v="2026-04-06T00:00:00"/>
    <x v="0"/>
    <d v="1899-12-30T14:03:00"/>
    <n v="6"/>
    <d v="2026-04-07T00:00:00"/>
    <d v="1899-12-30T01:03:00"/>
    <n v="11"/>
    <x v="0"/>
    <s v="Accepted"/>
    <x v="0"/>
    <s v="Completed"/>
    <n v="40"/>
    <x v="0"/>
    <x v="0"/>
    <n v="3"/>
    <s v="Dr Okafor"/>
    <x v="3"/>
    <s v="Tech C"/>
    <s v="NHIA"/>
    <s v=" "/>
  </r>
  <r>
    <s v="S1358"/>
    <s v="P31521"/>
    <s v="Male"/>
    <n v="21"/>
    <x v="1"/>
    <s v="Blood"/>
    <x v="2"/>
    <d v="2026-01-15T00:00:00"/>
    <x v="3"/>
    <d v="1899-12-30T09:31:00"/>
    <n v="3"/>
    <d v="2026-01-15T00:00:00"/>
    <d v="1899-12-30T14:31:00"/>
    <n v="5"/>
    <x v="0"/>
    <s v="Accepted"/>
    <x v="0"/>
    <s v="Pending"/>
    <n v="15"/>
    <x v="1"/>
    <x v="1"/>
    <n v="2"/>
    <s v="Dr Okafor"/>
    <x v="0"/>
    <s v="Tech C"/>
    <s v="NHIA"/>
    <s v=" Pending test with released result"/>
  </r>
  <r>
    <s v="S1359"/>
    <s v="P29716"/>
    <s v="Female"/>
    <n v="57"/>
    <x v="0"/>
    <s v="Blood"/>
    <x v="0"/>
    <d v="2026-03-21T00:00:00"/>
    <x v="1"/>
    <d v="1899-12-30T15:37:00"/>
    <n v="5"/>
    <d v="2026-03-21T00:00:00"/>
    <d v="1899-12-30T21:37:00"/>
    <n v="6"/>
    <x v="0"/>
    <s v="Accepted"/>
    <x v="0"/>
    <s v="Completed"/>
    <n v="35"/>
    <x v="1"/>
    <x v="1"/>
    <n v="4"/>
    <s v="Dr Ahmed"/>
    <x v="2"/>
    <s v="Tech C"/>
    <s v="HMO"/>
    <s v=" "/>
  </r>
  <r>
    <s v="S1360"/>
    <s v="P82656"/>
    <s v="Male"/>
    <n v="34"/>
    <x v="5"/>
    <s v="Blood"/>
    <x v="1"/>
    <d v="2026-06-08T00:00:00"/>
    <x v="2"/>
    <d v="1899-12-30T15:55:00"/>
    <n v="4"/>
    <d v="2026-06-08T00:00:00"/>
    <d v="1899-12-30T21:55:00"/>
    <n v="6"/>
    <x v="0"/>
    <s v="Accepted"/>
    <x v="0"/>
    <s v="Completed"/>
    <n v="25"/>
    <x v="0"/>
    <x v="0"/>
    <n v="1"/>
    <s v="Dr Ahmed"/>
    <x v="0"/>
    <s v="Tech B"/>
    <s v="NHIA"/>
    <s v="Test-department mismatch"/>
  </r>
  <r>
    <s v="S1361"/>
    <s v="P51141"/>
    <s v="Male"/>
    <n v="5"/>
    <x v="0"/>
    <s v="Blood"/>
    <x v="0"/>
    <d v="2026-02-07T00:00:00"/>
    <x v="5"/>
    <d v="1899-12-30T09:44:00"/>
    <n v="5"/>
    <d v="2026-02-07T00:00:00"/>
    <d v="1899-12-30T13:44:00"/>
    <n v="4"/>
    <x v="1"/>
    <s v="Accepted"/>
    <x v="0"/>
    <s v="Completed"/>
    <n v="35"/>
    <x v="1"/>
    <x v="1"/>
    <n v="2"/>
    <s v="Dr James"/>
    <x v="0"/>
    <s v="Tech C"/>
    <s v="HMO"/>
    <s v=" "/>
  </r>
  <r>
    <s v="S1362"/>
    <s v="P45405"/>
    <s v="Male"/>
    <n v="42"/>
    <x v="3"/>
    <s v="Blood"/>
    <x v="4"/>
    <d v="2026-06-10T00:00:00"/>
    <x v="2"/>
    <d v="1899-12-30T07:22:00"/>
    <n v="24"/>
    <d v="2026-06-11T00:00:00"/>
    <d v="1899-12-30T12:22:00"/>
    <n v="29"/>
    <x v="0"/>
    <s v="Accepted"/>
    <x v="0"/>
    <s v="Completed"/>
    <n v="50"/>
    <x v="0"/>
    <x v="2"/>
    <n v="3"/>
    <s v="Dr Okafor"/>
    <x v="3"/>
    <s v="Tech C"/>
    <s v="Private"/>
    <s v=" "/>
  </r>
  <r>
    <s v="S1363"/>
    <s v="P71022"/>
    <s v="Male"/>
    <n v="77"/>
    <x v="1"/>
    <s v="Blood"/>
    <x v="2"/>
    <d v="2026-01-20T00:00:00"/>
    <x v="3"/>
    <d v="1899-12-30T12:03:00"/>
    <n v="3"/>
    <d v="2026-01-20T00:00:00"/>
    <d v="1899-12-30T20:03:00"/>
    <n v="8"/>
    <x v="0"/>
    <s v="Accepted"/>
    <x v="0"/>
    <s v="Completed"/>
    <n v="15"/>
    <x v="0"/>
    <x v="0"/>
    <n v="1"/>
    <s v="Dr Okafor"/>
    <x v="2"/>
    <s v="Tech A"/>
    <s v="NHIA"/>
    <m/>
  </r>
  <r>
    <s v="S1364"/>
    <s v="P45492"/>
    <s v="Female"/>
    <n v="31"/>
    <x v="1"/>
    <s v="Blood"/>
    <x v="2"/>
    <d v="2026-05-09T00:00:00"/>
    <x v="4"/>
    <d v="1899-12-30T16:30:00"/>
    <n v="3"/>
    <d v="2026-05-09T00:00:00"/>
    <d v="1899-12-30T23:30:00"/>
    <n v="7"/>
    <x v="0"/>
    <s v="Accepted"/>
    <x v="0"/>
    <s v="Completed"/>
    <n v="15"/>
    <x v="1"/>
    <x v="0"/>
    <n v="5"/>
    <s v="Dr Adebayo"/>
    <x v="0"/>
    <s v="Tech B"/>
    <s v="HMO"/>
    <m/>
  </r>
  <r>
    <s v="S1365"/>
    <s v="P86627"/>
    <s v="Female"/>
    <n v="46"/>
    <x v="5"/>
    <s v="Blood"/>
    <x v="1"/>
    <d v="2026-04-29T00:00:00"/>
    <x v="0"/>
    <d v="1899-12-30T07:23:00"/>
    <n v="4"/>
    <d v="2026-04-29T00:00:00"/>
    <d v="1899-12-30T18:23:00"/>
    <n v="11"/>
    <x v="0"/>
    <s v="Accepted"/>
    <x v="0"/>
    <s v="Completed"/>
    <n v="25"/>
    <x v="0"/>
    <x v="1"/>
    <n v="2"/>
    <s v="Dr Adebayo"/>
    <x v="1"/>
    <s v="Tech C"/>
    <s v="HMO"/>
    <s v="Test-department mismatch"/>
  </r>
  <r>
    <s v="S1366"/>
    <s v="P27038"/>
    <s v="Male"/>
    <n v="26"/>
    <x v="1"/>
    <s v="Blood"/>
    <x v="2"/>
    <d v="2026-01-16T00:00:00"/>
    <x v="3"/>
    <d v="1899-12-30T08:39:00"/>
    <n v="3"/>
    <d v="2026-01-16T00:00:00"/>
    <d v="1899-12-30T16:39:00"/>
    <n v="8"/>
    <x v="0"/>
    <s v="Accepted"/>
    <x v="0"/>
    <s v="Completed"/>
    <n v="15"/>
    <x v="1"/>
    <x v="1"/>
    <n v="5"/>
    <s v="Dr Adebayo"/>
    <x v="1"/>
    <s v="Tech B"/>
    <s v="Private"/>
    <m/>
  </r>
  <r>
    <s v="S1367"/>
    <s v="P88285"/>
    <s v="Male"/>
    <n v="71"/>
    <x v="0"/>
    <s v="Blood"/>
    <x v="2"/>
    <d v="2026-04-04T00:00:00"/>
    <x v="0"/>
    <d v="1899-12-30T14:33:00"/>
    <n v="5"/>
    <d v="2026-04-05T00:00:00"/>
    <d v="1899-12-30T02:33:00"/>
    <n v="12"/>
    <x v="0"/>
    <s v="Accepted"/>
    <x v="0"/>
    <s v="Completed"/>
    <n v="35"/>
    <x v="0"/>
    <x v="2"/>
    <n v="4"/>
    <s v="Dr Okafor"/>
    <x v="1"/>
    <s v="Tech A"/>
    <s v="NHIA"/>
    <s v="Test-department mismatch"/>
  </r>
  <r>
    <s v="S1368"/>
    <s v="P50173"/>
    <s v="Male"/>
    <n v="83"/>
    <x v="2"/>
    <s v="Urine"/>
    <x v="1"/>
    <d v="2026-02-14T00:00:00"/>
    <x v="5"/>
    <d v="1899-12-30T08:08:00"/>
    <n v="8"/>
    <d v="2026-02-14T00:00:00"/>
    <d v="1899-12-30T17:08:00"/>
    <n v="9"/>
    <x v="0"/>
    <s v="Accepted"/>
    <x v="0"/>
    <s v="Completed"/>
    <n v="20"/>
    <x v="1"/>
    <x v="1"/>
    <n v="2"/>
    <s v="Dr Adebayo"/>
    <x v="0"/>
    <s v="Tech A"/>
    <s v="Private"/>
    <s v="Test-department mismatch"/>
  </r>
  <r>
    <s v="S1369"/>
    <s v="P94431"/>
    <s v="Male"/>
    <n v="72"/>
    <x v="3"/>
    <s v="Blood"/>
    <x v="4"/>
    <d v="2026-03-10T00:00:00"/>
    <x v="1"/>
    <d v="1899-12-30T15:19:00"/>
    <n v="24"/>
    <d v="2026-03-11T00:00:00"/>
    <d v="1899-12-30T16:19:00"/>
    <n v="25"/>
    <x v="0"/>
    <s v="Accepted"/>
    <x v="0"/>
    <s v="Completed"/>
    <n v="50"/>
    <x v="0"/>
    <x v="2"/>
    <n v="2"/>
    <s v="Dr Okafor"/>
    <x v="0"/>
    <s v="Tech B"/>
    <s v="HMO"/>
    <s v=" "/>
  </r>
  <r>
    <s v="S1370"/>
    <s v="P34454"/>
    <s v="Male"/>
    <n v="1"/>
    <x v="1"/>
    <s v="Blood"/>
    <x v="2"/>
    <d v="2026-03-22T00:00:00"/>
    <x v="1"/>
    <d v="1899-12-30T13:20:00"/>
    <n v="3"/>
    <d v="2026-03-22T00:00:00"/>
    <d v="1899-12-30T23:20:00"/>
    <n v="10"/>
    <x v="0"/>
    <s v="Accepted"/>
    <x v="0"/>
    <s v="Completed"/>
    <n v="15"/>
    <x v="1"/>
    <x v="0"/>
    <n v="2"/>
    <s v="Dr Ahmed"/>
    <x v="2"/>
    <s v="Tech A"/>
    <s v="NHIA"/>
    <m/>
  </r>
  <r>
    <s v="S1371"/>
    <s v="P29428"/>
    <s v="Male"/>
    <n v="49"/>
    <x v="1"/>
    <s v="Blood"/>
    <x v="2"/>
    <d v="2026-06-08T00:00:00"/>
    <x v="2"/>
    <d v="1899-12-30T08:58:00"/>
    <n v="3"/>
    <d v="2026-06-08T00:00:00"/>
    <d v="1899-12-30T13:58:00"/>
    <n v="5"/>
    <x v="0"/>
    <s v="Rejected"/>
    <x v="3"/>
    <s v="Completed"/>
    <n v="15"/>
    <x v="1"/>
    <x v="0"/>
    <n v="1"/>
    <s v="Dr Adebayo"/>
    <x v="0"/>
    <s v="Tech A"/>
    <s v="NHIA"/>
    <s v=" Sample-test status mismatch; Rejected sample with released result"/>
  </r>
  <r>
    <s v="S1372"/>
    <s v="P65306"/>
    <s v="Male"/>
    <n v="54"/>
    <x v="4"/>
    <s v="Blood"/>
    <x v="3"/>
    <d v="2026-05-10T00:00:00"/>
    <x v="4"/>
    <d v="1899-12-30T14:53:00"/>
    <n v="6"/>
    <d v="2026-05-10T00:00:00"/>
    <d v="1899-12-30T19:53:00"/>
    <n v="5"/>
    <x v="1"/>
    <s v="Accepted"/>
    <x v="0"/>
    <s v="Completed"/>
    <n v="40"/>
    <x v="1"/>
    <x v="0"/>
    <n v="5"/>
    <s v="Dr Okafor"/>
    <x v="2"/>
    <s v="Tech B"/>
    <s v="NHIA"/>
    <s v="Test-department mismatch"/>
  </r>
  <r>
    <s v="S1373"/>
    <s v="P73054"/>
    <s v="Male"/>
    <n v="68"/>
    <x v="3"/>
    <s v="Blood"/>
    <x v="1"/>
    <d v="2026-05-19T00:00:00"/>
    <x v="4"/>
    <d v="1899-12-30T12:54:00"/>
    <n v="24"/>
    <d v="2026-05-20T00:00:00"/>
    <d v="1899-12-30T12:54:00"/>
    <n v="24"/>
    <x v="1"/>
    <s v="Accepted"/>
    <x v="0"/>
    <s v="Completed"/>
    <n v="50"/>
    <x v="0"/>
    <x v="1"/>
    <n v="1"/>
    <s v="Dr Okafor"/>
    <x v="2"/>
    <s v="Tech B"/>
    <s v="Private"/>
    <s v="Test-department mismatch"/>
  </r>
  <r>
    <s v="S1374"/>
    <s v="P39877"/>
    <s v="Male"/>
    <n v="3"/>
    <x v="2"/>
    <s v="Urine"/>
    <x v="3"/>
    <d v="2026-05-14T00:00:00"/>
    <x v="4"/>
    <d v="1899-12-30T12:48:00"/>
    <n v="8"/>
    <d v="2026-05-15T00:00:00"/>
    <d v="1899-12-30T04:48:00"/>
    <n v="16"/>
    <x v="0"/>
    <s v="Accepted"/>
    <x v="0"/>
    <s v="Completed"/>
    <n v="20"/>
    <x v="1"/>
    <x v="0"/>
    <n v="4"/>
    <s v="Dr Adebayo"/>
    <x v="2"/>
    <s v="Tech B"/>
    <s v="NHIA"/>
    <s v=" "/>
  </r>
  <r>
    <s v="S1375"/>
    <s v="P79789"/>
    <s v="Male"/>
    <n v="33"/>
    <x v="4"/>
    <s v="Blood"/>
    <x v="0"/>
    <d v="2026-05-05T00:00:00"/>
    <x v="4"/>
    <d v="1899-12-30T07:47:00"/>
    <n v="6"/>
    <d v="2026-05-05T00:00:00"/>
    <d v="1899-12-30T20:47:00"/>
    <n v="13"/>
    <x v="0"/>
    <s v="Accepted"/>
    <x v="0"/>
    <s v="Completed"/>
    <n v="40"/>
    <x v="1"/>
    <x v="1"/>
    <n v="5"/>
    <s v="Dr Adebayo"/>
    <x v="1"/>
    <s v="Tech B"/>
    <s v="NHIA"/>
    <s v=" "/>
  </r>
  <r>
    <s v="S1376"/>
    <s v="P82948"/>
    <s v="Female"/>
    <n v="6"/>
    <x v="1"/>
    <s v="Blood"/>
    <x v="3"/>
    <d v="2026-03-14T00:00:00"/>
    <x v="1"/>
    <d v="1899-12-30T08:27:00"/>
    <n v="3"/>
    <d v="2026-03-14T00:00:00"/>
    <d v="1899-12-30T17:27:00"/>
    <n v="9"/>
    <x v="0"/>
    <s v="Accepted"/>
    <x v="0"/>
    <s v="Completed"/>
    <n v="15"/>
    <x v="1"/>
    <x v="2"/>
    <n v="3"/>
    <s v="Dr James"/>
    <x v="3"/>
    <s v="Tech A"/>
    <s v="Private"/>
    <s v="Test-department mismatch"/>
  </r>
  <r>
    <s v="S1377"/>
    <s v="P15839"/>
    <s v="Female"/>
    <n v="51"/>
    <x v="0"/>
    <s v="Blood"/>
    <x v="0"/>
    <d v="2026-03-29T00:00:00"/>
    <x v="1"/>
    <d v="1899-12-30T12:43:00"/>
    <n v="5"/>
    <d v="2026-03-29T00:00:00"/>
    <d v="1899-12-30T22:43:00"/>
    <n v="10"/>
    <x v="0"/>
    <s v="Accepted"/>
    <x v="0"/>
    <s v="Completed"/>
    <n v="35"/>
    <x v="0"/>
    <x v="0"/>
    <n v="2"/>
    <s v="Dr Ahmed"/>
    <x v="3"/>
    <s v="Tech A"/>
    <s v="NHIA"/>
    <s v=" "/>
  </r>
  <r>
    <s v="S1378"/>
    <s v="P77689"/>
    <s v="Male"/>
    <n v="41"/>
    <x v="4"/>
    <s v="Blood"/>
    <x v="1"/>
    <d v="2026-06-26T00:00:00"/>
    <x v="2"/>
    <d v="1899-12-30T09:44:00"/>
    <n v="6"/>
    <d v="2026-06-26T00:00:00"/>
    <d v="1899-12-30T21:44:00"/>
    <n v="12"/>
    <x v="0"/>
    <s v="Accepted"/>
    <x v="0"/>
    <s v="Completed"/>
    <n v="40"/>
    <x v="1"/>
    <x v="2"/>
    <n v="3"/>
    <s v="Dr Okafor"/>
    <x v="3"/>
    <s v="Tech A"/>
    <s v="NHIA"/>
    <s v="Test-department mismatch"/>
  </r>
  <r>
    <s v="S1379"/>
    <s v="P51849"/>
    <s v="Female"/>
    <n v="27"/>
    <x v="2"/>
    <s v="Urine"/>
    <x v="2"/>
    <d v="2026-05-18T00:00:00"/>
    <x v="4"/>
    <d v="1899-12-30T10:56:00"/>
    <n v="8"/>
    <d v="2026-05-18T00:00:00"/>
    <d v="1899-12-30T20:56:00"/>
    <n v="10"/>
    <x v="0"/>
    <s v="Accepted"/>
    <x v="0"/>
    <s v="Completed"/>
    <n v="20"/>
    <x v="1"/>
    <x v="2"/>
    <n v="5"/>
    <s v="Dr James"/>
    <x v="3"/>
    <s v="Tech B"/>
    <s v="Private"/>
    <s v="Test-department mismatch"/>
  </r>
  <r>
    <s v="S1380"/>
    <s v="P69096"/>
    <s v="Female"/>
    <n v="55"/>
    <x v="0"/>
    <s v="Blood"/>
    <x v="0"/>
    <d v="2026-03-22T00:00:00"/>
    <x v="1"/>
    <d v="1899-12-30T11:15:00"/>
    <n v="5"/>
    <d v="2026-03-22T00:00:00"/>
    <d v="1899-12-30T20:15:00"/>
    <n v="9"/>
    <x v="0"/>
    <s v="Accepted"/>
    <x v="0"/>
    <s v="Completed"/>
    <n v="35"/>
    <x v="1"/>
    <x v="0"/>
    <n v="4"/>
    <s v="Dr Okafor"/>
    <x v="1"/>
    <s v="Tech A"/>
    <s v="HMO"/>
    <s v=" "/>
  </r>
  <r>
    <s v="S1381"/>
    <s v="P47195"/>
    <s v="Female"/>
    <n v="76"/>
    <x v="5"/>
    <s v="Blood"/>
    <x v="1"/>
    <d v="2026-03-27T00:00:00"/>
    <x v="1"/>
    <d v="1899-12-30T11:20:00"/>
    <n v="4"/>
    <d v="2026-03-27T00:00:00"/>
    <d v="1899-12-30T15:20:00"/>
    <n v="4"/>
    <x v="1"/>
    <s v="Accepted"/>
    <x v="0"/>
    <s v="Completed"/>
    <n v="25"/>
    <x v="0"/>
    <x v="1"/>
    <n v="1"/>
    <s v="Dr James"/>
    <x v="3"/>
    <s v="Tech B"/>
    <s v="HMO"/>
    <s v="Test-department mismatch"/>
  </r>
  <r>
    <s v="S1382"/>
    <s v="P63794"/>
    <s v="Male"/>
    <n v="90"/>
    <x v="2"/>
    <s v="Urine"/>
    <x v="3"/>
    <d v="2026-04-29T00:00:00"/>
    <x v="0"/>
    <d v="1899-12-30T14:49:00"/>
    <n v="8"/>
    <d v="2026-04-30T00:00:00"/>
    <d v="1899-12-30T01:49:00"/>
    <n v="11"/>
    <x v="0"/>
    <s v="Accepted"/>
    <x v="0"/>
    <s v="Completed"/>
    <n v="20"/>
    <x v="0"/>
    <x v="0"/>
    <n v="2"/>
    <s v="Dr James"/>
    <x v="1"/>
    <s v="Tech A"/>
    <s v="Private"/>
    <s v=" "/>
  </r>
  <r>
    <s v="S1383"/>
    <s v="P62696"/>
    <s v="Male"/>
    <n v="33"/>
    <x v="0"/>
    <s v="Blood"/>
    <x v="0"/>
    <d v="2026-05-23T00:00:00"/>
    <x v="4"/>
    <d v="1899-12-30T11:33:00"/>
    <n v="5"/>
    <d v="2026-05-24T00:00:00"/>
    <d v="1899-12-30T00:33:00"/>
    <n v="13"/>
    <x v="0"/>
    <s v="Accepted"/>
    <x v="0"/>
    <s v="Completed"/>
    <n v="35"/>
    <x v="1"/>
    <x v="1"/>
    <n v="4"/>
    <s v="Dr James"/>
    <x v="2"/>
    <s v="Tech B"/>
    <s v="HMO"/>
    <s v=" "/>
  </r>
  <r>
    <s v="S1384"/>
    <s v="P25255"/>
    <s v="Male"/>
    <n v="2"/>
    <x v="4"/>
    <s v="Blood"/>
    <x v="1"/>
    <d v="2026-04-15T00:00:00"/>
    <x v="0"/>
    <d v="1899-12-30T10:20:00"/>
    <n v="6"/>
    <d v="2026-04-15T00:00:00"/>
    <d v="1899-12-30T22:20:00"/>
    <n v="12"/>
    <x v="0"/>
    <s v="Accepted"/>
    <x v="0"/>
    <s v="Completed"/>
    <n v="40"/>
    <x v="1"/>
    <x v="2"/>
    <n v="4"/>
    <s v="Dr Adebayo"/>
    <x v="1"/>
    <s v="Tech C"/>
    <s v="HMO"/>
    <s v="Test-department mismatch"/>
  </r>
  <r>
    <s v="S1385"/>
    <s v="P21685"/>
    <s v="Female"/>
    <n v="20"/>
    <x v="1"/>
    <s v="Blood"/>
    <x v="2"/>
    <d v="2026-02-26T00:00:00"/>
    <x v="5"/>
    <d v="1899-12-30T14:18:00"/>
    <n v="3"/>
    <d v="2026-02-26T00:00:00"/>
    <d v="1899-12-30T22:18:00"/>
    <n v="8"/>
    <x v="0"/>
    <s v="Accepted"/>
    <x v="0"/>
    <s v="Pending"/>
    <n v="15"/>
    <x v="1"/>
    <x v="1"/>
    <n v="3"/>
    <s v="Dr Okafor"/>
    <x v="0"/>
    <s v="Tech B"/>
    <s v="NHIA"/>
    <s v="Pending test with released result"/>
  </r>
  <r>
    <s v="S1386"/>
    <s v="P69261"/>
    <s v="Male"/>
    <n v="24"/>
    <x v="2"/>
    <s v="Urine"/>
    <x v="3"/>
    <d v="2026-01-01T00:00:00"/>
    <x v="3"/>
    <d v="1899-12-30T10:48:00"/>
    <n v="8"/>
    <d v="2026-01-01T00:00:00"/>
    <d v="1899-12-30T21:48:00"/>
    <n v="11"/>
    <x v="0"/>
    <s v="Accepted"/>
    <x v="0"/>
    <s v="Completed"/>
    <n v="20"/>
    <x v="1"/>
    <x v="2"/>
    <n v="3"/>
    <s v="Dr Adebayo"/>
    <x v="3"/>
    <s v="Tech A"/>
    <s v="NHIA"/>
    <s v=" "/>
  </r>
  <r>
    <s v="S1387"/>
    <s v="P20626"/>
    <s v="Male"/>
    <n v="27"/>
    <x v="3"/>
    <s v="Blood"/>
    <x v="0"/>
    <d v="2026-02-27T00:00:00"/>
    <x v="5"/>
    <d v="1899-12-30T11:19:00"/>
    <n v="24"/>
    <d v="2026-02-28T00:00:00"/>
    <d v="1899-12-30T13:19:00"/>
    <n v="26"/>
    <x v="0"/>
    <s v="Accepted"/>
    <x v="0"/>
    <s v="Completed"/>
    <n v="50"/>
    <x v="1"/>
    <x v="0"/>
    <n v="3"/>
    <s v="Dr James"/>
    <x v="2"/>
    <s v="Tech B"/>
    <s v="NHIA"/>
    <s v="Test-department mismatch"/>
  </r>
  <r>
    <s v="S1388"/>
    <s v="P78118"/>
    <s v="Female"/>
    <n v="29"/>
    <x v="5"/>
    <s v="Blood"/>
    <x v="1"/>
    <d v="2026-05-18T00:00:00"/>
    <x v="4"/>
    <d v="1899-12-30T10:58:00"/>
    <n v="4"/>
    <d v="2026-05-18T00:00:00"/>
    <d v="1899-12-30T20:58:00"/>
    <n v="10"/>
    <x v="0"/>
    <s v="Accepted"/>
    <x v="0"/>
    <s v="Completed"/>
    <n v="25"/>
    <x v="1"/>
    <x v="2"/>
    <n v="1"/>
    <s v="Dr Adebayo"/>
    <x v="0"/>
    <s v="Tech B"/>
    <s v="NHIA"/>
    <s v="Test-department mismatch"/>
  </r>
  <r>
    <s v="S1389"/>
    <s v="P19829"/>
    <s v="Male"/>
    <n v="32"/>
    <x v="0"/>
    <s v="Blood"/>
    <x v="0"/>
    <d v="2026-05-30T00:00:00"/>
    <x v="4"/>
    <d v="1899-12-30T10:13:00"/>
    <n v="5"/>
    <d v="2026-05-30T00:00:00"/>
    <d v="1899-12-30T16:13:00"/>
    <n v="6"/>
    <x v="0"/>
    <s v="Accepted"/>
    <x v="0"/>
    <s v="Completed"/>
    <n v="35"/>
    <x v="0"/>
    <x v="1"/>
    <n v="3"/>
    <s v="Dr Ahmed"/>
    <x v="0"/>
    <s v="Tech B"/>
    <s v="Private"/>
    <s v=" "/>
  </r>
  <r>
    <s v="S1390"/>
    <s v="P22516"/>
    <s v="Male"/>
    <n v="84"/>
    <x v="0"/>
    <s v="Blood"/>
    <x v="0"/>
    <d v="2026-06-20T00:00:00"/>
    <x v="2"/>
    <d v="1899-12-30T10:11:00"/>
    <n v="5"/>
    <d v="2026-06-20T00:00:00"/>
    <d v="1899-12-30T16:11:00"/>
    <n v="6"/>
    <x v="0"/>
    <s v="Accepted"/>
    <x v="0"/>
    <s v="Completed"/>
    <n v="35"/>
    <x v="1"/>
    <x v="1"/>
    <n v="1"/>
    <s v="Dr Adebayo"/>
    <x v="0"/>
    <s v="Tech A"/>
    <s v="HMO"/>
    <s v=" "/>
  </r>
  <r>
    <s v="S1391"/>
    <s v="P81898"/>
    <s v="Female"/>
    <n v="2"/>
    <x v="3"/>
    <s v="Blood"/>
    <x v="4"/>
    <d v="2026-01-16T00:00:00"/>
    <x v="3"/>
    <d v="1899-12-30T14:39:00"/>
    <n v="24"/>
    <d v="2026-01-17T00:00:00"/>
    <d v="1899-12-30T18:39:00"/>
    <n v="28"/>
    <x v="0"/>
    <s v="Accepted"/>
    <x v="0"/>
    <s v="Completed"/>
    <n v="50"/>
    <x v="1"/>
    <x v="2"/>
    <n v="2"/>
    <s v="Dr Adebayo"/>
    <x v="3"/>
    <s v="Tech B"/>
    <s v="NHIA"/>
    <s v="Female patient with PSA test; Suspicious Test-Age Combination"/>
  </r>
  <r>
    <s v="S1392"/>
    <s v="P20873"/>
    <s v="Male"/>
    <n v="35"/>
    <x v="4"/>
    <s v="Blood"/>
    <x v="3"/>
    <d v="2026-01-15T00:00:00"/>
    <x v="3"/>
    <d v="1899-12-30T09:00:00"/>
    <n v="6"/>
    <d v="2026-01-15T00:00:00"/>
    <d v="1899-12-30T20:00:00"/>
    <n v="11"/>
    <x v="0"/>
    <s v="Accepted"/>
    <x v="0"/>
    <s v="Completed"/>
    <n v="40"/>
    <x v="1"/>
    <x v="1"/>
    <n v="1"/>
    <s v="Dr Okafor"/>
    <x v="2"/>
    <s v="Tech A"/>
    <s v="Private"/>
    <s v="Test-department mismatch"/>
  </r>
  <r>
    <s v="S1393"/>
    <s v="P44283"/>
    <s v="Female"/>
    <n v="36"/>
    <x v="1"/>
    <s v="Blood"/>
    <x v="1"/>
    <d v="2026-05-01T00:00:00"/>
    <x v="4"/>
    <d v="1899-12-30T14:56:00"/>
    <n v="3"/>
    <d v="2026-05-01T00:00:00"/>
    <d v="1899-12-30T20:56:00"/>
    <n v="6"/>
    <x v="0"/>
    <s v="Accepted"/>
    <x v="0"/>
    <s v="Completed"/>
    <n v="15"/>
    <x v="0"/>
    <x v="2"/>
    <n v="3"/>
    <s v="Dr James"/>
    <x v="0"/>
    <s v="Tech B"/>
    <s v="Private"/>
    <s v="Test-department mismatch"/>
  </r>
  <r>
    <s v="S1394"/>
    <s v="P91302"/>
    <s v="Male"/>
    <n v="73"/>
    <x v="3"/>
    <s v="Blood"/>
    <x v="4"/>
    <d v="2026-06-28T00:00:00"/>
    <x v="2"/>
    <d v="1899-12-30T15:07:00"/>
    <n v="24"/>
    <d v="2026-06-29T00:00:00"/>
    <d v="1899-12-30T23:07:00"/>
    <n v="32"/>
    <x v="0"/>
    <s v="Accepted"/>
    <x v="0"/>
    <s v="Completed"/>
    <n v="50"/>
    <x v="0"/>
    <x v="1"/>
    <n v="1"/>
    <s v="Dr Adebayo"/>
    <x v="2"/>
    <s v="Tech A"/>
    <s v="NHIA"/>
    <s v=" "/>
  </r>
  <r>
    <s v="S1395"/>
    <s v="P84655"/>
    <s v="Male"/>
    <n v="33"/>
    <x v="0"/>
    <s v="Blood"/>
    <x v="2"/>
    <d v="2026-02-18T00:00:00"/>
    <x v="5"/>
    <d v="1899-12-30T14:03:00"/>
    <n v="5"/>
    <d v="2026-02-18T00:00:00"/>
    <d v="1899-12-30T20:03:00"/>
    <n v="6"/>
    <x v="0"/>
    <s v="Accepted"/>
    <x v="0"/>
    <s v="Completed"/>
    <n v="35"/>
    <x v="0"/>
    <x v="0"/>
    <n v="1"/>
    <s v="Dr Ahmed"/>
    <x v="0"/>
    <s v="Tech B"/>
    <s v="HMO"/>
    <s v="Test-department mismatch"/>
  </r>
  <r>
    <s v="S1396"/>
    <s v="P23174"/>
    <s v="Male"/>
    <n v="67"/>
    <x v="2"/>
    <s v="Urine"/>
    <x v="4"/>
    <d v="2026-01-30T00:00:00"/>
    <x v="3"/>
    <d v="1899-12-30T15:14:00"/>
    <n v="8"/>
    <d v="2026-01-31T00:00:00"/>
    <d v="1899-12-30T02:14:00"/>
    <n v="11"/>
    <x v="0"/>
    <s v="Accepted"/>
    <x v="0"/>
    <s v="Completed"/>
    <n v="20"/>
    <x v="1"/>
    <x v="2"/>
    <n v="4"/>
    <s v="Dr Okafor"/>
    <x v="2"/>
    <s v="Tech A"/>
    <s v="NHIA"/>
    <s v="Test-department mismatch"/>
  </r>
  <r>
    <s v="S1397"/>
    <s v="P81252"/>
    <s v="Female"/>
    <n v="34"/>
    <x v="3"/>
    <s v="Blood"/>
    <x v="1"/>
    <d v="2026-01-20T00:00:00"/>
    <x v="3"/>
    <d v="1899-12-30T11:41:00"/>
    <n v="24"/>
    <d v="2026-01-21T00:00:00"/>
    <d v="1899-12-30T10:41:00"/>
    <n v="23"/>
    <x v="1"/>
    <s v="Accepted"/>
    <x v="0"/>
    <s v="Completed"/>
    <n v="50"/>
    <x v="0"/>
    <x v="0"/>
    <n v="5"/>
    <s v="Dr James"/>
    <x v="3"/>
    <s v="Tech A"/>
    <s v="Private"/>
    <s v="Female patient with PSA test; Test-department mismatch"/>
  </r>
  <r>
    <s v="S1398"/>
    <s v="P30290"/>
    <s v="Male"/>
    <n v="11"/>
    <x v="2"/>
    <s v="Urine"/>
    <x v="3"/>
    <d v="2026-06-17T00:00:00"/>
    <x v="2"/>
    <d v="1899-12-30T15:40:00"/>
    <n v="8"/>
    <d v="2026-06-18T00:00:00"/>
    <d v="1899-12-30T00:40:00"/>
    <n v="9"/>
    <x v="0"/>
    <s v="Accepted"/>
    <x v="0"/>
    <s v="Completed"/>
    <n v="20"/>
    <x v="1"/>
    <x v="2"/>
    <n v="1"/>
    <s v="Dr Okafor"/>
    <x v="2"/>
    <s v="Tech B"/>
    <s v="Private"/>
    <s v=" "/>
  </r>
  <r>
    <s v="S1399"/>
    <s v="P93151"/>
    <s v="Female"/>
    <n v="8"/>
    <x v="0"/>
    <s v="Blood"/>
    <x v="3"/>
    <d v="2026-05-24T00:00:00"/>
    <x v="4"/>
    <d v="1899-12-30T09:03:00"/>
    <n v="5"/>
    <d v="2026-05-24T00:00:00"/>
    <d v="1899-12-30T19:03:00"/>
    <n v="10"/>
    <x v="0"/>
    <s v="Accepted"/>
    <x v="0"/>
    <s v="Completed"/>
    <m/>
    <x v="1"/>
    <x v="1"/>
    <n v="4"/>
    <s v="Dr Adebayo"/>
    <x v="2"/>
    <s v="Tech B"/>
    <s v="Private"/>
    <s v="Test-department mismatch"/>
  </r>
  <r>
    <s v="S1005"/>
    <s v="P14037"/>
    <s v="Female"/>
    <n v="10"/>
    <x v="1"/>
    <s v="Blood"/>
    <x v="3"/>
    <d v="2026-06-10T00:00:00"/>
    <x v="2"/>
    <d v="1899-12-30T07:11:00"/>
    <n v="3"/>
    <d v="2026-06-10T00:00:00"/>
    <d v="1899-12-30T15:11:00"/>
    <n v="8"/>
    <x v="0"/>
    <s v="Rejected"/>
    <x v="3"/>
    <s v="Completed"/>
    <n v="15"/>
    <x v="0"/>
    <x v="1"/>
    <n v="1"/>
    <s v="Dr Okafor"/>
    <x v="1"/>
    <s v="Tech B"/>
    <s v="NHIA"/>
    <s v="Duplicate Sample ID; Sample-test status mismatch; Rejected sample with released result; Test-department mismatch"/>
  </r>
  <r>
    <s v="S1401"/>
    <s v="P65555"/>
    <s v="Female"/>
    <n v="79"/>
    <x v="2"/>
    <s v="Urine"/>
    <x v="3"/>
    <d v="2026-02-15T00:00:00"/>
    <x v="5"/>
    <d v="1899-12-30T15:15:00"/>
    <n v="8"/>
    <d v="2026-02-15T00:00:00"/>
    <d v="1899-12-30T23:15:00"/>
    <n v="8"/>
    <x v="1"/>
    <s v="Accepted"/>
    <x v="0"/>
    <s v="Completed"/>
    <n v="20"/>
    <x v="1"/>
    <x v="2"/>
    <n v="2"/>
    <s v="Dr Okafor"/>
    <x v="3"/>
    <s v="Tech B"/>
    <s v="HMO"/>
    <s v=" "/>
  </r>
  <r>
    <s v="S1402"/>
    <s v="P77819"/>
    <s v="Female"/>
    <n v="51"/>
    <x v="4"/>
    <s v="Blood"/>
    <x v="3"/>
    <d v="2026-06-14T00:00:00"/>
    <x v="2"/>
    <d v="1899-12-30T08:14:00"/>
    <n v="6"/>
    <d v="2026-06-14T00:00:00"/>
    <d v="1899-12-30T20:14:00"/>
    <n v="12"/>
    <x v="0"/>
    <s v="Accepted"/>
    <x v="0"/>
    <s v="Completed"/>
    <n v="40"/>
    <x v="1"/>
    <x v="2"/>
    <n v="1"/>
    <s v="Dr James"/>
    <x v="0"/>
    <s v="Tech B"/>
    <s v="HMO"/>
    <s v="Test-department mismatch"/>
  </r>
  <r>
    <s v="S1403"/>
    <s v="P45847"/>
    <s v="Female"/>
    <n v="4"/>
    <x v="0"/>
    <s v="Blood"/>
    <x v="0"/>
    <d v="2026-01-25T00:00:00"/>
    <x v="3"/>
    <d v="1899-12-30T15:00:00"/>
    <n v="5"/>
    <d v="2026-01-25T00:00:00"/>
    <d v="1899-12-30T23:00:00"/>
    <n v="8"/>
    <x v="0"/>
    <s v="Accepted"/>
    <x v="0"/>
    <s v="Completed"/>
    <n v="35"/>
    <x v="1"/>
    <x v="0"/>
    <n v="3"/>
    <s v="Dr Adebayo"/>
    <x v="3"/>
    <s v="Tech B"/>
    <s v="HMO"/>
    <s v=" "/>
  </r>
  <r>
    <s v="S1404"/>
    <s v="P60768"/>
    <s v="Female"/>
    <n v="11"/>
    <x v="3"/>
    <s v="Blood"/>
    <x v="3"/>
    <d v="2026-02-11T00:00:00"/>
    <x v="5"/>
    <d v="1899-12-30T12:24:00"/>
    <n v="24"/>
    <d v="2026-02-12T00:00:00"/>
    <d v="1899-12-30T14:24:00"/>
    <n v="26"/>
    <x v="0"/>
    <s v="Accepted"/>
    <x v="0"/>
    <s v="Completed"/>
    <n v="50"/>
    <x v="1"/>
    <x v="0"/>
    <n v="4"/>
    <s v="Dr Ahmed"/>
    <x v="2"/>
    <s v="Tech B"/>
    <s v="NHIA"/>
    <s v="Female patient with PSA test; Suspicious Test-Age Combination;Test-department mismatch"/>
  </r>
  <r>
    <s v="S1405"/>
    <s v="P62205"/>
    <s v="Female"/>
    <n v="48"/>
    <x v="1"/>
    <s v="Blood"/>
    <x v="2"/>
    <d v="2026-05-29T00:00:00"/>
    <x v="4"/>
    <d v="1899-12-30T16:12:00"/>
    <n v="3"/>
    <d v="2026-05-30T00:00:00"/>
    <d v="1899-12-30T03:12:00"/>
    <n v="11"/>
    <x v="0"/>
    <s v="Accepted"/>
    <x v="0"/>
    <s v="Completed"/>
    <n v="15"/>
    <x v="1"/>
    <x v="1"/>
    <n v="2"/>
    <s v="Dr Ahmed"/>
    <x v="2"/>
    <s v="Tech C"/>
    <s v="NHIA"/>
    <m/>
  </r>
  <r>
    <s v="S1406"/>
    <s v="P84240"/>
    <s v="Male"/>
    <n v="42"/>
    <x v="3"/>
    <s v="Blood"/>
    <x v="1"/>
    <d v="2026-02-09T00:00:00"/>
    <x v="5"/>
    <d v="1899-12-30T14:01:00"/>
    <n v="24"/>
    <d v="2026-02-10T00:00:00"/>
    <d v="1899-12-30T15:01:00"/>
    <n v="25"/>
    <x v="0"/>
    <s v="Accepted"/>
    <x v="0"/>
    <s v="Completed"/>
    <n v="50"/>
    <x v="0"/>
    <x v="0"/>
    <n v="1"/>
    <s v="Dr Ahmed"/>
    <x v="3"/>
    <s v="Tech A"/>
    <s v="Private"/>
    <s v="Test-department mismatch"/>
  </r>
  <r>
    <s v="S1407"/>
    <s v="P35592"/>
    <s v="Female"/>
    <n v="57"/>
    <x v="4"/>
    <s v="Blood"/>
    <x v="1"/>
    <d v="2026-01-05T00:00:00"/>
    <x v="3"/>
    <d v="1899-12-30T16:15:00"/>
    <n v="6"/>
    <d v="2026-01-06T00:00:00"/>
    <d v="1899-12-30T06:15:00"/>
    <n v="14"/>
    <x v="0"/>
    <s v="Accepted"/>
    <x v="0"/>
    <s v="Completed"/>
    <n v="40"/>
    <x v="1"/>
    <x v="2"/>
    <n v="5"/>
    <s v="Dr James"/>
    <x v="0"/>
    <s v="Tech A"/>
    <s v="HMO"/>
    <s v="Test-department mismatch"/>
  </r>
  <r>
    <s v="S1408"/>
    <s v="P37747"/>
    <s v="Male"/>
    <n v="1"/>
    <x v="3"/>
    <s v="Blood"/>
    <x v="4"/>
    <d v="2026-01-01T00:00:00"/>
    <x v="3"/>
    <d v="1899-12-30T10:52:00"/>
    <n v="24"/>
    <d v="2026-01-02T00:00:00"/>
    <d v="1899-12-30T12:52:00"/>
    <n v="26"/>
    <x v="0"/>
    <s v="Accepted"/>
    <x v="0"/>
    <s v="Completed"/>
    <n v="50"/>
    <x v="0"/>
    <x v="0"/>
    <n v="5"/>
    <s v="Dr Ahmed"/>
    <x v="2"/>
    <s v="Tech C"/>
    <s v="NHIA"/>
    <s v="Suspicious Test-Age Combination"/>
  </r>
  <r>
    <s v="S1409"/>
    <s v="P11589"/>
    <s v="Male"/>
    <n v="35"/>
    <x v="3"/>
    <s v="Blood"/>
    <x v="4"/>
    <d v="2026-01-29T00:00:00"/>
    <x v="3"/>
    <d v="1899-12-30T08:32:00"/>
    <n v="24"/>
    <d v="2026-01-30T00:00:00"/>
    <d v="1899-12-30T13:32:00"/>
    <n v="29"/>
    <x v="0"/>
    <s v="Accepted"/>
    <x v="0"/>
    <s v="Completed"/>
    <n v="50"/>
    <x v="1"/>
    <x v="0"/>
    <n v="2"/>
    <s v="Dr James"/>
    <x v="2"/>
    <s v="Tech A"/>
    <s v="NHIA"/>
    <s v=" "/>
  </r>
  <r>
    <s v="S1410"/>
    <s v="P80344"/>
    <s v="Female"/>
    <n v="72"/>
    <x v="1"/>
    <s v="Blood"/>
    <x v="1"/>
    <d v="2026-02-03T00:00:00"/>
    <x v="5"/>
    <d v="1899-12-30T16:27:00"/>
    <n v="3"/>
    <d v="2026-02-03T00:00:00"/>
    <d v="1899-12-30T23:27:00"/>
    <n v="7"/>
    <x v="0"/>
    <s v="Accepted"/>
    <x v="0"/>
    <s v="Completed"/>
    <n v="15"/>
    <x v="1"/>
    <x v="2"/>
    <n v="2"/>
    <s v="Dr James"/>
    <x v="3"/>
    <s v="Tech B"/>
    <s v="Private"/>
    <s v="Test-department mismatch"/>
  </r>
  <r>
    <s v="S1411"/>
    <s v="P10897"/>
    <s v="Female"/>
    <n v="4"/>
    <x v="5"/>
    <s v="Blood"/>
    <x v="3"/>
    <d v="2026-02-15T00:00:00"/>
    <x v="5"/>
    <d v="1899-12-30T07:14:00"/>
    <n v="4"/>
    <d v="2026-02-15T00:00:00"/>
    <d v="1899-12-30T15:14:00"/>
    <n v="8"/>
    <x v="0"/>
    <s v="Rejected"/>
    <x v="2"/>
    <s v="Completed"/>
    <n v="25"/>
    <x v="1"/>
    <x v="1"/>
    <n v="1"/>
    <s v="Dr James"/>
    <x v="0"/>
    <s v="Tech C"/>
    <s v="Private"/>
    <s v="Test-department mismatch; Sample-test status mismatch; Rejected sample with released result"/>
  </r>
  <r>
    <s v="S1412"/>
    <s v="P36347"/>
    <s v="Male"/>
    <n v="56"/>
    <x v="3"/>
    <s v="Blood"/>
    <x v="3"/>
    <d v="2026-06-11T00:00:00"/>
    <x v="2"/>
    <d v="1899-12-30T07:31:00"/>
    <n v="24"/>
    <d v="2026-06-12T00:00:00"/>
    <d v="1899-12-30T15:31:00"/>
    <n v="32"/>
    <x v="0"/>
    <s v="Accepted"/>
    <x v="0"/>
    <s v="Completed"/>
    <n v="50"/>
    <x v="1"/>
    <x v="0"/>
    <n v="2"/>
    <s v="Dr Okafor"/>
    <x v="1"/>
    <s v="Tech C"/>
    <s v="Private"/>
    <s v="Test-department mismatch"/>
  </r>
  <r>
    <s v="S1413"/>
    <s v="P99695"/>
    <s v="Female"/>
    <n v="78"/>
    <x v="1"/>
    <s v="Blood"/>
    <x v="1"/>
    <d v="2026-01-29T00:00:00"/>
    <x v="3"/>
    <d v="1899-12-30T08:28:00"/>
    <n v="3"/>
    <d v="2026-01-29T00:00:00"/>
    <d v="1899-12-30T14:28:00"/>
    <n v="6"/>
    <x v="0"/>
    <s v="Accepted"/>
    <x v="0"/>
    <s v="Completed"/>
    <n v="15"/>
    <x v="0"/>
    <x v="1"/>
    <n v="1"/>
    <s v="Dr Okafor"/>
    <x v="1"/>
    <s v="Tech C"/>
    <s v="HMO"/>
    <s v="Test-department mismatch"/>
  </r>
  <r>
    <s v="S1414"/>
    <s v="P78771"/>
    <s v="Female"/>
    <n v="52"/>
    <x v="4"/>
    <s v="Blood"/>
    <x v="0"/>
    <d v="2026-05-03T00:00:00"/>
    <x v="4"/>
    <d v="1899-12-30T12:13:00"/>
    <n v="6"/>
    <d v="2026-05-03T00:00:00"/>
    <d v="1899-12-30T20:13:00"/>
    <n v="8"/>
    <x v="0"/>
    <s v="Accepted"/>
    <x v="0"/>
    <s v="Completed"/>
    <n v="40"/>
    <x v="1"/>
    <x v="0"/>
    <n v="5"/>
    <s v="Dr Adebayo"/>
    <x v="1"/>
    <s v="Tech A"/>
    <s v="HMO"/>
    <s v=" "/>
  </r>
  <r>
    <s v="S1415"/>
    <s v="P93009"/>
    <s v="Male"/>
    <n v="61"/>
    <x v="3"/>
    <s v="Blood"/>
    <x v="4"/>
    <d v="2026-02-03T00:00:00"/>
    <x v="5"/>
    <d v="1899-12-30T15:08:00"/>
    <n v="24"/>
    <d v="2026-02-04T00:00:00"/>
    <d v="1899-12-30T15:08:00"/>
    <n v="24"/>
    <x v="1"/>
    <s v="Accepted"/>
    <x v="0"/>
    <s v="Completed"/>
    <n v="50"/>
    <x v="1"/>
    <x v="0"/>
    <n v="4"/>
    <s v="Dr Ahmed"/>
    <x v="2"/>
    <s v="Tech B"/>
    <s v="Private"/>
    <s v=" "/>
  </r>
  <r>
    <s v="S1416"/>
    <s v="P32578"/>
    <s v="Male"/>
    <n v="52"/>
    <x v="1"/>
    <s v="Blood"/>
    <x v="1"/>
    <d v="2026-06-12T00:00:00"/>
    <x v="2"/>
    <d v="1899-12-30T11:36:00"/>
    <n v="3"/>
    <d v="2026-06-12T00:00:00"/>
    <d v="1899-12-30T13:36:00"/>
    <n v="2"/>
    <x v="1"/>
    <s v="Accepted"/>
    <x v="0"/>
    <s v="Completed"/>
    <n v="15"/>
    <x v="1"/>
    <x v="0"/>
    <n v="3"/>
    <s v="Dr Ahmed"/>
    <x v="1"/>
    <s v="Tech C"/>
    <s v="NHIA"/>
    <s v="Test-department mismatch"/>
  </r>
  <r>
    <s v="S1417"/>
    <s v="P79431"/>
    <s v="Male"/>
    <n v="76"/>
    <x v="0"/>
    <s v="Blood"/>
    <x v="0"/>
    <d v="2026-02-28T00:00:00"/>
    <x v="5"/>
    <d v="1899-12-30T14:10:00"/>
    <n v="5"/>
    <d v="2026-02-28T00:00:00"/>
    <d v="1899-12-30T20:10:00"/>
    <n v="6"/>
    <x v="0"/>
    <s v="Accepted"/>
    <x v="0"/>
    <s v="Completed"/>
    <n v="35"/>
    <x v="1"/>
    <x v="0"/>
    <n v="3"/>
    <s v="Dr Okafor"/>
    <x v="2"/>
    <s v="Tech B"/>
    <s v="HMO"/>
    <s v=" "/>
  </r>
  <r>
    <s v="S1418"/>
    <s v="P42513"/>
    <s v="Female"/>
    <n v="42"/>
    <x v="2"/>
    <s v="Urine"/>
    <x v="3"/>
    <d v="2026-06-22T00:00:00"/>
    <x v="2"/>
    <d v="1899-12-30T16:16:00"/>
    <n v="8"/>
    <d v="2026-06-23T00:00:00"/>
    <d v="1899-12-30T07:16:00"/>
    <n v="15"/>
    <x v="0"/>
    <s v="Accepted"/>
    <x v="0"/>
    <s v="Completed"/>
    <n v="20"/>
    <x v="1"/>
    <x v="0"/>
    <n v="1"/>
    <s v="Dr James"/>
    <x v="2"/>
    <s v="Tech B"/>
    <s v="HMO"/>
    <s v=" "/>
  </r>
  <r>
    <s v="S1419"/>
    <s v="P71327"/>
    <s v="Male"/>
    <n v="49"/>
    <x v="2"/>
    <s v="Urine"/>
    <x v="3"/>
    <d v="2026-01-30T00:00:00"/>
    <x v="3"/>
    <d v="1899-12-30T07:52:00"/>
    <n v="8"/>
    <d v="2026-01-30T00:00:00"/>
    <d v="1899-12-30T18:52:00"/>
    <n v="11"/>
    <x v="0"/>
    <s v="Accepted"/>
    <x v="0"/>
    <s v="Completed"/>
    <n v="20"/>
    <x v="0"/>
    <x v="2"/>
    <n v="4"/>
    <s v="Dr Okafor"/>
    <x v="1"/>
    <s v="Tech B"/>
    <s v="NHIA"/>
    <s v=" "/>
  </r>
  <r>
    <s v="S1420"/>
    <s v="P59107"/>
    <s v="Male"/>
    <n v="66"/>
    <x v="0"/>
    <s v="Blood"/>
    <x v="0"/>
    <d v="2026-03-12T00:00:00"/>
    <x v="1"/>
    <d v="1899-12-30T12:13:00"/>
    <n v="5"/>
    <d v="2026-03-12T00:00:00"/>
    <d v="1899-12-30T20:13:00"/>
    <n v="8"/>
    <x v="0"/>
    <s v="Accepted"/>
    <x v="0"/>
    <s v="Completed"/>
    <n v="35"/>
    <x v="1"/>
    <x v="2"/>
    <n v="1"/>
    <s v="Dr Ahmed"/>
    <x v="1"/>
    <s v="Tech B"/>
    <s v="Private"/>
    <s v="Patient ID with Conflicting Age &amp; Gender"/>
  </r>
  <r>
    <s v="S1421"/>
    <s v="P94769"/>
    <s v="Female"/>
    <n v="13"/>
    <x v="0"/>
    <s v="Blood"/>
    <x v="3"/>
    <d v="2026-02-11T00:00:00"/>
    <x v="5"/>
    <d v="1899-12-30T13:23:00"/>
    <n v="5"/>
    <d v="2026-02-12T00:00:00"/>
    <d v="1899-12-30T01:23:00"/>
    <n v="12"/>
    <x v="0"/>
    <s v="Accepted"/>
    <x v="0"/>
    <s v="Completed"/>
    <n v="35"/>
    <x v="1"/>
    <x v="1"/>
    <n v="1"/>
    <s v="Dr Okafor"/>
    <x v="3"/>
    <s v="Tech B"/>
    <s v="Private"/>
    <s v="Test-department mismatch"/>
  </r>
  <r>
    <s v="S1422"/>
    <s v="P87821"/>
    <s v="Male"/>
    <n v="12"/>
    <x v="3"/>
    <s v="Blood"/>
    <x v="1"/>
    <d v="2026-04-02T00:00:00"/>
    <x v="0"/>
    <d v="1899-12-30T11:05:00"/>
    <n v="24"/>
    <d v="2026-04-03T00:00:00"/>
    <d v="1899-12-30T12:05:00"/>
    <n v="25"/>
    <x v="0"/>
    <s v="Rejected"/>
    <x v="2"/>
    <s v="Completed"/>
    <n v="50"/>
    <x v="1"/>
    <x v="0"/>
    <n v="5"/>
    <s v="Dr Adebayo"/>
    <x v="0"/>
    <s v="Tech A"/>
    <s v="Private"/>
    <s v="Suspicious Test-Age Combination; Sample-test status mismatch; Rejected sample with released resultTest-department mismatch"/>
  </r>
  <r>
    <s v="S1423"/>
    <s v="P48699"/>
    <s v="Male"/>
    <n v="56"/>
    <x v="3"/>
    <s v="Blood"/>
    <x v="3"/>
    <d v="2026-06-16T00:00:00"/>
    <x v="2"/>
    <d v="1899-12-30T16:55:00"/>
    <n v="24"/>
    <d v="2026-06-17T00:00:00"/>
    <d v="1899-12-30T21:55:00"/>
    <n v="29"/>
    <x v="0"/>
    <s v="Rejected"/>
    <x v="4"/>
    <s v="Completed"/>
    <n v="50"/>
    <x v="0"/>
    <x v="0"/>
    <n v="3"/>
    <s v="Dr Adebayo"/>
    <x v="1"/>
    <s v="Tech B"/>
    <s v="Private"/>
    <s v="Test-department mismatch; Sample-test status mismatch; Rejected sample with released result"/>
  </r>
  <r>
    <s v="S1424"/>
    <s v="P73479"/>
    <s v="Male"/>
    <n v="23"/>
    <x v="2"/>
    <s v="Urine"/>
    <x v="3"/>
    <d v="2026-02-22T00:00:00"/>
    <x v="5"/>
    <d v="1899-12-30T07:06:00"/>
    <n v="8"/>
    <d v="2026-02-22T00:00:00"/>
    <d v="1899-12-30T17:06:00"/>
    <n v="10"/>
    <x v="0"/>
    <s v="Rejected"/>
    <x v="3"/>
    <s v="Completed"/>
    <n v="20"/>
    <x v="1"/>
    <x v="0"/>
    <n v="5"/>
    <s v="Dr Okafor"/>
    <x v="3"/>
    <s v="Tech A"/>
    <s v="NHIA"/>
    <s v="Sample-test status mismatch; Rejected sample with released result"/>
  </r>
  <r>
    <s v="S1425"/>
    <s v="P25588"/>
    <s v="Female"/>
    <n v="73"/>
    <x v="5"/>
    <s v="Blood"/>
    <x v="1"/>
    <d v="2026-05-16T00:00:00"/>
    <x v="4"/>
    <d v="1899-12-30T08:03:00"/>
    <n v="4"/>
    <d v="2026-05-16T00:00:00"/>
    <d v="1899-12-30T20:03:00"/>
    <n v="12"/>
    <x v="0"/>
    <s v="Accepted"/>
    <x v="0"/>
    <s v="Completed"/>
    <n v="25"/>
    <x v="1"/>
    <x v="0"/>
    <n v="1"/>
    <s v="Dr James"/>
    <x v="2"/>
    <s v="Tech A"/>
    <s v="NHIA"/>
    <s v="Test-department mismatch"/>
  </r>
  <r>
    <s v="S1426"/>
    <s v="P23436"/>
    <s v="Male"/>
    <n v="54"/>
    <x v="3"/>
    <s v="Blood"/>
    <x v="2"/>
    <d v="2026-05-29T00:00:00"/>
    <x v="4"/>
    <d v="1899-12-30T08:47:00"/>
    <n v="24"/>
    <d v="2026-05-30T00:00:00"/>
    <d v="1899-12-30T15:47:00"/>
    <n v="31"/>
    <x v="0"/>
    <s v="Rejected"/>
    <x v="4"/>
    <s v="Completed"/>
    <n v="50"/>
    <x v="1"/>
    <x v="2"/>
    <n v="3"/>
    <s v="Dr Adebayo"/>
    <x v="3"/>
    <s v="Tech B"/>
    <s v="Private"/>
    <s v="Test-department mismatch; Sample-test status mismatch; Rejected sample with released result"/>
  </r>
  <r>
    <s v="S1427"/>
    <s v="P91998"/>
    <s v="Female"/>
    <n v="41"/>
    <x v="1"/>
    <s v="Blood"/>
    <x v="3"/>
    <d v="2026-03-19T00:00:00"/>
    <x v="1"/>
    <d v="1899-12-30T07:04:00"/>
    <n v="3"/>
    <d v="2026-03-19T00:00:00"/>
    <d v="1899-12-30T15:04:00"/>
    <n v="8"/>
    <x v="0"/>
    <s v="Accepted"/>
    <x v="0"/>
    <s v="Completed"/>
    <n v="15"/>
    <x v="1"/>
    <x v="2"/>
    <n v="4"/>
    <s v="Dr Ahmed"/>
    <x v="2"/>
    <s v="Tech A"/>
    <s v="NHIA"/>
    <s v="Test-department mismatch"/>
  </r>
  <r>
    <s v="S1428"/>
    <s v="P77722"/>
    <s v="Male"/>
    <n v="26"/>
    <x v="0"/>
    <s v="Blood"/>
    <x v="1"/>
    <d v="2026-01-14T00:00:00"/>
    <x v="3"/>
    <d v="1899-12-30T13:10:00"/>
    <n v="5"/>
    <d v="2026-01-15T00:00:00"/>
    <d v="1899-12-30T01:10:00"/>
    <n v="12"/>
    <x v="0"/>
    <s v="Accepted"/>
    <x v="0"/>
    <s v="Completed"/>
    <n v="35"/>
    <x v="0"/>
    <x v="1"/>
    <n v="1"/>
    <s v="Dr James"/>
    <x v="3"/>
    <s v="Tech A"/>
    <s v="Private"/>
    <s v="Test-department mismatch"/>
  </r>
  <r>
    <s v="S1429"/>
    <s v="P19776"/>
    <s v="Male"/>
    <n v="28"/>
    <x v="0"/>
    <s v="Blood"/>
    <x v="1"/>
    <d v="2026-02-04T00:00:00"/>
    <x v="5"/>
    <d v="1899-12-30T12:42:00"/>
    <n v="5"/>
    <d v="2026-02-04T00:00:00"/>
    <d v="1899-12-30T17:42:00"/>
    <n v="5"/>
    <x v="1"/>
    <s v="Accepted"/>
    <x v="0"/>
    <s v="Completed"/>
    <n v="35"/>
    <x v="1"/>
    <x v="1"/>
    <n v="1"/>
    <s v="Dr Okafor"/>
    <x v="2"/>
    <s v="Tech B"/>
    <s v="Private"/>
    <s v="Test-department mismatch"/>
  </r>
  <r>
    <s v="S1430"/>
    <s v="P23682"/>
    <s v="Female"/>
    <n v="39"/>
    <x v="4"/>
    <s v="Blood"/>
    <x v="3"/>
    <d v="2026-03-30T00:00:00"/>
    <x v="1"/>
    <d v="1899-12-30T15:52:00"/>
    <n v="6"/>
    <d v="2026-03-31T00:00:00"/>
    <d v="1899-12-30T04:52:00"/>
    <n v="13"/>
    <x v="0"/>
    <s v="Accepted"/>
    <x v="0"/>
    <s v="Completed"/>
    <n v="40"/>
    <x v="0"/>
    <x v="2"/>
    <n v="1"/>
    <s v="Dr Okafor"/>
    <x v="2"/>
    <s v="Tech B"/>
    <s v="NHIA"/>
    <s v="Test-department mismatch"/>
  </r>
  <r>
    <s v="S1431"/>
    <s v="P75499"/>
    <s v="Female"/>
    <n v="75"/>
    <x v="5"/>
    <s v="Blood"/>
    <x v="3"/>
    <d v="2026-03-04T00:00:00"/>
    <x v="1"/>
    <d v="1899-12-30T16:07:00"/>
    <n v="4"/>
    <d v="2026-03-05T00:00:00"/>
    <d v="1899-12-30T03:07:00"/>
    <n v="11"/>
    <x v="0"/>
    <s v="Accepted"/>
    <x v="0"/>
    <s v="Completed"/>
    <n v="25"/>
    <x v="1"/>
    <x v="0"/>
    <n v="3"/>
    <s v="Dr James"/>
    <x v="3"/>
    <s v="Tech B"/>
    <s v="HMO"/>
    <s v="Test-department mismatch"/>
  </r>
  <r>
    <s v="S1432"/>
    <s v="P65577"/>
    <s v="Female"/>
    <n v="18"/>
    <x v="1"/>
    <s v="Blood"/>
    <x v="1"/>
    <d v="2026-03-27T00:00:00"/>
    <x v="1"/>
    <d v="1899-12-30T10:53:00"/>
    <n v="3"/>
    <d v="2026-03-27T00:00:00"/>
    <d v="1899-12-30T15:53:00"/>
    <n v="5"/>
    <x v="0"/>
    <s v="Accepted"/>
    <x v="0"/>
    <s v="Completed"/>
    <n v="15"/>
    <x v="1"/>
    <x v="2"/>
    <n v="4"/>
    <s v="Dr James"/>
    <x v="1"/>
    <s v="Tech B"/>
    <s v="HMO"/>
    <s v="Test-department mismatch"/>
  </r>
  <r>
    <s v="S1433"/>
    <s v="P24997"/>
    <s v="Female"/>
    <n v="18"/>
    <x v="4"/>
    <s v="Blood"/>
    <x v="0"/>
    <d v="2026-05-14T00:00:00"/>
    <x v="4"/>
    <d v="1899-12-30T11:15:00"/>
    <n v="6"/>
    <d v="2026-05-14T00:00:00"/>
    <d v="1899-12-30T22:15:00"/>
    <n v="11"/>
    <x v="0"/>
    <s v="Accepted"/>
    <x v="0"/>
    <s v="Completed"/>
    <n v="40"/>
    <x v="1"/>
    <x v="1"/>
    <n v="5"/>
    <s v="Dr Okafor"/>
    <x v="1"/>
    <s v="Tech C"/>
    <s v="HMO"/>
    <s v=" "/>
  </r>
  <r>
    <s v="S1434"/>
    <s v="P83535"/>
    <s v="Female"/>
    <n v="90"/>
    <x v="1"/>
    <s v="Blood"/>
    <x v="2"/>
    <d v="2026-03-13T00:00:00"/>
    <x v="1"/>
    <d v="1899-12-30T12:59:00"/>
    <n v="3"/>
    <d v="2026-03-13T00:00:00"/>
    <d v="1899-12-30T20:59:00"/>
    <n v="8"/>
    <x v="0"/>
    <s v="Accepted"/>
    <x v="0"/>
    <s v="Completed"/>
    <n v="15"/>
    <x v="1"/>
    <x v="0"/>
    <n v="1"/>
    <s v="Dr Okafor"/>
    <x v="3"/>
    <s v="Tech C"/>
    <s v="HMO"/>
    <m/>
  </r>
  <r>
    <s v="S1435"/>
    <s v="P60441"/>
    <s v="Female"/>
    <n v="83"/>
    <x v="4"/>
    <s v="Blood"/>
    <x v="1"/>
    <d v="2026-03-09T00:00:00"/>
    <x v="1"/>
    <d v="1899-12-30T12:34:00"/>
    <n v="6"/>
    <d v="2026-03-09T00:00:00"/>
    <d v="1899-12-30T17:34:00"/>
    <n v="5"/>
    <x v="1"/>
    <s v="Accepted"/>
    <x v="0"/>
    <s v="Completed"/>
    <n v="40"/>
    <x v="0"/>
    <x v="1"/>
    <n v="2"/>
    <s v="Dr Ahmed"/>
    <x v="0"/>
    <s v="Tech B"/>
    <s v="Private"/>
    <s v="Test-department mismatch"/>
  </r>
  <r>
    <s v="S1436"/>
    <s v="P19712"/>
    <s v="Male"/>
    <n v="77"/>
    <x v="3"/>
    <s v="Blood"/>
    <x v="4"/>
    <d v="2026-04-24T00:00:00"/>
    <x v="0"/>
    <d v="1899-12-30T14:47:00"/>
    <n v="24"/>
    <d v="2026-04-25T00:00:00"/>
    <d v="1899-12-30T22:47:00"/>
    <n v="32"/>
    <x v="0"/>
    <s v="Accepted"/>
    <x v="0"/>
    <s v="Pending"/>
    <n v="50"/>
    <x v="0"/>
    <x v="1"/>
    <n v="1"/>
    <s v="Dr Okafor"/>
    <x v="2"/>
    <s v="Tech B"/>
    <s v="NHIA"/>
    <s v="Pending test with released result"/>
  </r>
  <r>
    <s v="S1437"/>
    <s v="P12290"/>
    <s v="Female"/>
    <n v="28"/>
    <x v="0"/>
    <s v="Blood"/>
    <x v="0"/>
    <d v="2026-02-20T00:00:00"/>
    <x v="5"/>
    <d v="1899-12-30T13:41:00"/>
    <n v="5"/>
    <d v="2026-02-20T00:00:00"/>
    <d v="1899-12-30T23:41:00"/>
    <n v="10"/>
    <x v="0"/>
    <s v="Accepted"/>
    <x v="0"/>
    <s v="Completed"/>
    <n v="35"/>
    <x v="1"/>
    <x v="1"/>
    <n v="2"/>
    <s v="Dr James"/>
    <x v="0"/>
    <s v="Tech A"/>
    <s v="NHIA"/>
    <s v=" "/>
  </r>
  <r>
    <s v="S1438"/>
    <s v="P78765"/>
    <s v="Female"/>
    <n v="23"/>
    <x v="2"/>
    <s v="Urine"/>
    <x v="1"/>
    <d v="2026-03-13T00:00:00"/>
    <x v="1"/>
    <d v="1899-12-30T11:28:00"/>
    <n v="8"/>
    <d v="2026-03-13T00:00:00"/>
    <d v="1899-12-30T20:28:00"/>
    <n v="9"/>
    <x v="0"/>
    <s v="Accepted"/>
    <x v="0"/>
    <s v="Pending"/>
    <n v="20"/>
    <x v="1"/>
    <x v="0"/>
    <n v="4"/>
    <s v="Dr Ahmed"/>
    <x v="2"/>
    <s v="Tech C"/>
    <s v="Private"/>
    <s v="Test-department mismatch; Pending test with released result"/>
  </r>
  <r>
    <s v="S1439"/>
    <s v="P29965"/>
    <s v="Male"/>
    <n v="20"/>
    <x v="2"/>
    <s v="Urine"/>
    <x v="3"/>
    <d v="2026-02-23T00:00:00"/>
    <x v="5"/>
    <d v="1899-12-30T08:14:00"/>
    <n v="8"/>
    <d v="2026-02-23T00:00:00"/>
    <d v="1899-12-30T16:14:00"/>
    <n v="8"/>
    <x v="1"/>
    <s v="Accepted"/>
    <x v="0"/>
    <s v="Completed"/>
    <n v="20"/>
    <x v="1"/>
    <x v="1"/>
    <n v="1"/>
    <s v="Dr Ahmed"/>
    <x v="1"/>
    <s v="Tech A"/>
    <s v="HMO"/>
    <s v=" "/>
  </r>
  <r>
    <s v="S1440"/>
    <s v="P20235"/>
    <s v="Female"/>
    <n v="46"/>
    <x v="4"/>
    <s v="Blood"/>
    <x v="3"/>
    <d v="2026-01-27T00:00:00"/>
    <x v="3"/>
    <d v="1899-12-30T11:22:00"/>
    <n v="6"/>
    <d v="2026-01-27T00:00:00"/>
    <d v="1899-12-30T20:22:00"/>
    <n v="9"/>
    <x v="0"/>
    <s v="Accepted"/>
    <x v="0"/>
    <s v="Completed"/>
    <n v="40"/>
    <x v="1"/>
    <x v="0"/>
    <n v="5"/>
    <s v="Dr Adebayo"/>
    <x v="3"/>
    <s v="Tech B"/>
    <s v="HMO"/>
    <s v="Test-department mismatch"/>
  </r>
  <r>
    <s v="S1441"/>
    <s v="P39462"/>
    <s v="Male"/>
    <n v="20"/>
    <x v="2"/>
    <s v="Urine"/>
    <x v="0"/>
    <d v="2026-02-06T00:00:00"/>
    <x v="5"/>
    <d v="1899-12-30T11:42:00"/>
    <n v="8"/>
    <d v="2026-02-06T00:00:00"/>
    <d v="1899-12-30T21:42:00"/>
    <n v="10"/>
    <x v="0"/>
    <s v="Accepted"/>
    <x v="0"/>
    <s v="Completed"/>
    <n v="20"/>
    <x v="0"/>
    <x v="0"/>
    <n v="4"/>
    <s v="Dr Adebayo"/>
    <x v="0"/>
    <s v="Tech B"/>
    <s v="Private"/>
    <s v="Test-department mismatch"/>
  </r>
  <r>
    <s v="S1442"/>
    <s v="P27531"/>
    <s v="Female"/>
    <n v="7"/>
    <x v="0"/>
    <s v="Blood"/>
    <x v="0"/>
    <d v="2026-05-31T00:00:00"/>
    <x v="4"/>
    <d v="1899-12-30T12:34:00"/>
    <n v="5"/>
    <d v="2026-05-31T00:00:00"/>
    <d v="1899-12-30T23:34:00"/>
    <n v="11"/>
    <x v="0"/>
    <s v="Accepted"/>
    <x v="0"/>
    <s v="Completed"/>
    <n v="35"/>
    <x v="1"/>
    <x v="1"/>
    <n v="1"/>
    <s v="Dr James"/>
    <x v="2"/>
    <s v="Tech C"/>
    <s v="NHIA"/>
    <s v=" "/>
  </r>
  <r>
    <s v="S1443"/>
    <s v="P31647"/>
    <s v="Female"/>
    <n v="64"/>
    <x v="0"/>
    <s v="Blood"/>
    <x v="1"/>
    <d v="2026-06-23T00:00:00"/>
    <x v="2"/>
    <d v="1899-12-30T10:42:00"/>
    <n v="5"/>
    <d v="2026-06-23T00:00:00"/>
    <d v="1899-12-30T22:42:00"/>
    <n v="12"/>
    <x v="0"/>
    <s v="Accepted"/>
    <x v="0"/>
    <s v="Completed"/>
    <n v="35"/>
    <x v="1"/>
    <x v="2"/>
    <n v="3"/>
    <s v="Dr Adebayo"/>
    <x v="2"/>
    <s v="Tech A"/>
    <s v="NHIA"/>
    <s v="Test-department mismatch"/>
  </r>
  <r>
    <s v="S1444"/>
    <s v="P32510"/>
    <s v="Female"/>
    <n v="18"/>
    <x v="3"/>
    <s v="Blood"/>
    <x v="4"/>
    <d v="2026-01-19T00:00:00"/>
    <x v="3"/>
    <d v="1899-12-30T11:52:00"/>
    <n v="24"/>
    <d v="2026-01-20T00:00:00"/>
    <d v="1899-12-30T18:52:00"/>
    <n v="31"/>
    <x v="0"/>
    <s v="Accepted"/>
    <x v="0"/>
    <s v="Completed"/>
    <n v="50"/>
    <x v="1"/>
    <x v="2"/>
    <n v="3"/>
    <s v="Dr Adebayo"/>
    <x v="0"/>
    <s v="Tech A"/>
    <s v="NHIA"/>
    <s v="Female patient with PSA test; Suspicious Test-Age Combination"/>
  </r>
  <r>
    <s v="S1445"/>
    <s v="P75094"/>
    <s v="Male"/>
    <n v="22"/>
    <x v="5"/>
    <s v="Blood"/>
    <x v="3"/>
    <d v="2026-02-14T00:00:00"/>
    <x v="5"/>
    <d v="1899-12-30T07:02:00"/>
    <n v="4"/>
    <d v="2026-02-14T00:00:00"/>
    <d v="1899-12-30T16:02:00"/>
    <n v="9"/>
    <x v="0"/>
    <s v="Rejected"/>
    <x v="1"/>
    <s v="Completed"/>
    <n v="25"/>
    <x v="1"/>
    <x v="0"/>
    <n v="3"/>
    <s v="Dr Okafor"/>
    <x v="0"/>
    <s v="Tech B"/>
    <s v="NHIA"/>
    <s v="Test-department mismatch; Sample-test status mismatch; Rejected sample with released result"/>
  </r>
  <r>
    <s v="S1446"/>
    <s v="P50246"/>
    <s v="Male"/>
    <n v="70"/>
    <x v="3"/>
    <s v="Blood"/>
    <x v="0"/>
    <d v="2026-02-05T00:00:00"/>
    <x v="5"/>
    <d v="1899-12-30T09:06:00"/>
    <n v="24"/>
    <d v="2026-02-06T00:00:00"/>
    <d v="1899-12-30T12:06:00"/>
    <n v="27"/>
    <x v="0"/>
    <s v="Accepted"/>
    <x v="0"/>
    <s v="Completed"/>
    <n v="50"/>
    <x v="1"/>
    <x v="1"/>
    <n v="5"/>
    <s v="Dr Ahmed"/>
    <x v="0"/>
    <s v="Tech C"/>
    <s v="HMO"/>
    <s v="Test-department mismatch"/>
  </r>
  <r>
    <s v="S1447"/>
    <s v="P52141"/>
    <s v="Female"/>
    <n v="59"/>
    <x v="1"/>
    <s v="Blood"/>
    <x v="2"/>
    <d v="2026-02-04T00:00:00"/>
    <x v="5"/>
    <d v="1899-12-30T10:47:00"/>
    <n v="3"/>
    <d v="2026-02-04T00:00:00"/>
    <d v="1899-12-30T14:47:00"/>
    <n v="4"/>
    <x v="0"/>
    <s v="Accepted"/>
    <x v="0"/>
    <s v="Completed"/>
    <n v="15"/>
    <x v="1"/>
    <x v="2"/>
    <n v="1"/>
    <s v="Dr Okafor"/>
    <x v="1"/>
    <s v="Tech A"/>
    <s v="NHIA"/>
    <m/>
  </r>
  <r>
    <s v="S1448"/>
    <s v="P34814"/>
    <s v="Male"/>
    <n v="7"/>
    <x v="5"/>
    <s v="Blood"/>
    <x v="1"/>
    <d v="2026-04-19T00:00:00"/>
    <x v="0"/>
    <d v="1899-12-30T09:14:00"/>
    <n v="4"/>
    <d v="2026-04-19T00:00:00"/>
    <d v="1899-12-30T15:14:00"/>
    <n v="6"/>
    <x v="0"/>
    <s v="Rejected"/>
    <x v="1"/>
    <s v="Completed"/>
    <n v="25"/>
    <x v="1"/>
    <x v="1"/>
    <n v="3"/>
    <s v="Dr James"/>
    <x v="2"/>
    <s v="Tech C"/>
    <s v="NHIA"/>
    <s v="Test-department mismatch; Sample-test status mismatch; Rejected sample with released result"/>
  </r>
  <r>
    <s v="S1449"/>
    <s v="P38212"/>
    <s v="Female"/>
    <n v="58"/>
    <x v="0"/>
    <s v="Blood"/>
    <x v="3"/>
    <d v="2026-05-23T00:00:00"/>
    <x v="4"/>
    <d v="1899-12-30T15:39:00"/>
    <n v="5"/>
    <d v="2026-05-24T00:00:00"/>
    <d v="1899-12-30T00:39:00"/>
    <n v="9"/>
    <x v="0"/>
    <s v="Accepted"/>
    <x v="0"/>
    <s v="Completed"/>
    <n v="35"/>
    <x v="0"/>
    <x v="2"/>
    <n v="5"/>
    <s v="Dr Adebayo"/>
    <x v="1"/>
    <s v="Tech A"/>
    <s v="HMO"/>
    <s v="Test-department mismatch"/>
  </r>
  <r>
    <s v="S1450"/>
    <s v="P28590"/>
    <s v="Male"/>
    <n v="150"/>
    <x v="1"/>
    <s v="Blood"/>
    <x v="2"/>
    <d v="2026-03-21T00:00:00"/>
    <x v="1"/>
    <d v="1899-12-30T14:55:00"/>
    <n v="3"/>
    <d v="2026-03-21T00:00:00"/>
    <d v="1899-12-30T23:55:00"/>
    <n v="9"/>
    <x v="0"/>
    <s v="Accepted"/>
    <x v="0"/>
    <s v="Completed"/>
    <n v="15"/>
    <x v="0"/>
    <x v="0"/>
    <n v="5"/>
    <s v="Dr Okafor"/>
    <x v="2"/>
    <s v="Tech B"/>
    <s v="HMO"/>
    <s v=" Invalid Age"/>
  </r>
  <r>
    <s v="S1451"/>
    <s v="P31714"/>
    <s v="Female"/>
    <n v="53"/>
    <x v="5"/>
    <s v="Blood"/>
    <x v="1"/>
    <d v="2026-05-18T00:00:00"/>
    <x v="4"/>
    <d v="1899-12-30T16:06:00"/>
    <n v="4"/>
    <d v="2026-05-19T00:00:00"/>
    <d v="1899-12-30T00:06:00"/>
    <n v="8"/>
    <x v="0"/>
    <s v="Accepted"/>
    <x v="0"/>
    <s v="Completed"/>
    <n v="25"/>
    <x v="0"/>
    <x v="2"/>
    <n v="2"/>
    <s v="Dr Adebayo"/>
    <x v="3"/>
    <s v="Tech B"/>
    <s v="NHIA"/>
    <s v="Test-department mismatch"/>
  </r>
  <r>
    <s v="S1452"/>
    <s v="P66297"/>
    <s v="Male"/>
    <n v="71"/>
    <x v="2"/>
    <s v="Urine"/>
    <x v="3"/>
    <d v="2026-04-23T00:00:00"/>
    <x v="0"/>
    <d v="1899-12-30T08:43:00"/>
    <n v="8"/>
    <d v="2026-04-23T00:00:00"/>
    <d v="1899-12-30T15:43:00"/>
    <n v="7"/>
    <x v="1"/>
    <s v="Accepted"/>
    <x v="0"/>
    <s v="Completed"/>
    <n v="20"/>
    <x v="1"/>
    <x v="2"/>
    <n v="2"/>
    <s v="Dr Adebayo"/>
    <x v="2"/>
    <s v="Tech A"/>
    <s v="Private"/>
    <s v=" "/>
  </r>
  <r>
    <s v="S1453"/>
    <s v="P50487"/>
    <s v="Female"/>
    <n v="47"/>
    <x v="4"/>
    <s v="Blood"/>
    <x v="3"/>
    <d v="2026-03-06T00:00:00"/>
    <x v="1"/>
    <d v="1899-12-30T13:27:00"/>
    <n v="6"/>
    <d v="2026-03-06T00:00:00"/>
    <d v="1899-12-30T19:27:00"/>
    <n v="6"/>
    <x v="1"/>
    <s v="Accepted"/>
    <x v="0"/>
    <s v="Completed"/>
    <n v="40"/>
    <x v="1"/>
    <x v="0"/>
    <n v="1"/>
    <s v="Dr James"/>
    <x v="2"/>
    <s v="Tech C"/>
    <s v="NHIA"/>
    <s v="Test-department mismatch"/>
  </r>
  <r>
    <s v="S1454"/>
    <s v="P93634"/>
    <s v="Female"/>
    <n v="68"/>
    <x v="3"/>
    <s v="Blood"/>
    <x v="3"/>
    <d v="2026-04-30T00:00:00"/>
    <x v="0"/>
    <d v="1899-12-30T16:09:00"/>
    <n v="24"/>
    <d v="2026-05-01T00:00:00"/>
    <d v="1899-12-30T16:09:00"/>
    <n v="24"/>
    <x v="1"/>
    <s v="Accepted"/>
    <x v="0"/>
    <s v="Completed"/>
    <n v="50"/>
    <x v="1"/>
    <x v="2"/>
    <n v="2"/>
    <s v="Dr Adebayo"/>
    <x v="3"/>
    <s v="Tech A"/>
    <s v="Private"/>
    <s v="Female patient with PSA test; Test-department mismatch"/>
  </r>
  <r>
    <s v="S1455"/>
    <s v="P66689"/>
    <s v="Male"/>
    <n v="6"/>
    <x v="4"/>
    <s v="Blood"/>
    <x v="0"/>
    <d v="2026-06-09T00:00:00"/>
    <x v="2"/>
    <d v="1899-12-30T08:56:00"/>
    <n v="6"/>
    <d v="2026-06-09T00:00:00"/>
    <d v="1899-12-30T19:56:00"/>
    <n v="11"/>
    <x v="0"/>
    <s v="Accepted"/>
    <x v="0"/>
    <s v="Completed"/>
    <n v="40"/>
    <x v="1"/>
    <x v="0"/>
    <n v="2"/>
    <s v="Dr Ahmed"/>
    <x v="2"/>
    <s v="Tech B"/>
    <s v="NHIA"/>
    <s v=" "/>
  </r>
  <r>
    <s v="S1456"/>
    <s v="P31023"/>
    <s v="Female"/>
    <n v="26"/>
    <x v="2"/>
    <s v="Urine"/>
    <x v="3"/>
    <d v="2026-03-03T00:00:00"/>
    <x v="1"/>
    <d v="1899-12-30T16:09:00"/>
    <n v="8"/>
    <d v="2026-03-04T00:00:00"/>
    <d v="1899-12-30T01:09:00"/>
    <n v="9"/>
    <x v="0"/>
    <s v="Accepted"/>
    <x v="0"/>
    <s v="Completed"/>
    <n v="20"/>
    <x v="0"/>
    <x v="1"/>
    <n v="5"/>
    <s v="Dr Adebayo"/>
    <x v="2"/>
    <s v="Tech A"/>
    <s v="Private"/>
    <s v=" "/>
  </r>
  <r>
    <s v="S1457"/>
    <s v="P25245"/>
    <s v="Female"/>
    <n v="31"/>
    <x v="2"/>
    <s v="Urine"/>
    <x v="3"/>
    <d v="2026-03-11T00:00:00"/>
    <x v="1"/>
    <d v="1899-12-30T14:48:00"/>
    <n v="8"/>
    <d v="2026-03-12T00:00:00"/>
    <d v="1899-12-30T06:48:00"/>
    <n v="16"/>
    <x v="0"/>
    <s v="Accepted"/>
    <x v="0"/>
    <s v="Completed"/>
    <n v="20"/>
    <x v="0"/>
    <x v="1"/>
    <n v="3"/>
    <s v="Dr Ahmed"/>
    <x v="2"/>
    <s v="Tech C"/>
    <s v="Private"/>
    <s v=" "/>
  </r>
  <r>
    <s v="S1458"/>
    <s v="P71615"/>
    <s v="Male"/>
    <n v="13"/>
    <x v="0"/>
    <s v="Blood"/>
    <x v="3"/>
    <d v="2026-05-28T00:00:00"/>
    <x v="4"/>
    <d v="1899-12-30T10:10:00"/>
    <n v="5"/>
    <d v="2026-05-28T00:00:00"/>
    <d v="1899-12-30T21:10:00"/>
    <n v="11"/>
    <x v="0"/>
    <s v="Accepted"/>
    <x v="0"/>
    <s v="Completed"/>
    <n v="35"/>
    <x v="0"/>
    <x v="1"/>
    <n v="5"/>
    <s v="Dr James"/>
    <x v="1"/>
    <s v="Tech C"/>
    <s v="HMO"/>
    <s v="Test-department mismatch"/>
  </r>
  <r>
    <s v="S1459"/>
    <s v="P11194"/>
    <s v="Female"/>
    <n v="10"/>
    <x v="2"/>
    <s v="Urine"/>
    <x v="3"/>
    <d v="2026-03-11T00:00:00"/>
    <x v="1"/>
    <d v="1899-12-30T10:14:00"/>
    <n v="8"/>
    <d v="2026-03-12T00:00:00"/>
    <d v="1899-12-30T00:14:00"/>
    <n v="14"/>
    <x v="0"/>
    <s v="Accepted"/>
    <x v="0"/>
    <s v="Completed"/>
    <n v="20"/>
    <x v="1"/>
    <x v="0"/>
    <n v="4"/>
    <s v="Dr Okafor"/>
    <x v="2"/>
    <s v="Tech A"/>
    <s v="Private"/>
    <s v=" "/>
  </r>
  <r>
    <s v="S1460"/>
    <s v="P74362"/>
    <s v="Female"/>
    <n v="60"/>
    <x v="1"/>
    <s v="Blood"/>
    <x v="2"/>
    <d v="2026-01-02T00:00:00"/>
    <x v="3"/>
    <d v="1899-12-30T16:14:00"/>
    <n v="3"/>
    <d v="2026-01-02T00:00:00"/>
    <d v="1899-12-30T19:14:00"/>
    <n v="3"/>
    <x v="1"/>
    <s v="Accepted"/>
    <x v="0"/>
    <s v="Completed"/>
    <n v="15"/>
    <x v="1"/>
    <x v="0"/>
    <n v="2"/>
    <s v="Dr Adebayo"/>
    <x v="3"/>
    <s v="Tech C"/>
    <s v="HMO"/>
    <m/>
  </r>
  <r>
    <s v="S1461"/>
    <s v="P48322"/>
    <s v="Male"/>
    <n v="60"/>
    <x v="2"/>
    <s v="Urine"/>
    <x v="3"/>
    <d v="2026-05-22T00:00:00"/>
    <x v="4"/>
    <d v="1899-12-30T09:06:00"/>
    <n v="8"/>
    <d v="2026-05-22T00:00:00"/>
    <d v="1899-12-30T19:06:00"/>
    <n v="10"/>
    <x v="0"/>
    <s v="Accepted"/>
    <x v="0"/>
    <s v="Completed"/>
    <n v="20"/>
    <x v="1"/>
    <x v="2"/>
    <n v="5"/>
    <s v="Dr James"/>
    <x v="1"/>
    <s v="Tech B"/>
    <s v="NHIA"/>
    <s v=" "/>
  </r>
  <r>
    <s v="S1462"/>
    <s v="P66761"/>
    <s v="Male"/>
    <n v="59"/>
    <x v="3"/>
    <s v="Blood"/>
    <x v="3"/>
    <d v="2026-04-01T00:00:00"/>
    <x v="0"/>
    <d v="1899-12-30T15:22:00"/>
    <n v="24"/>
    <d v="2026-04-02T00:00:00"/>
    <d v="1899-12-30T14:22:00"/>
    <n v="23"/>
    <x v="1"/>
    <s v="Accepted"/>
    <x v="0"/>
    <s v="Completed"/>
    <n v="50"/>
    <x v="0"/>
    <x v="2"/>
    <n v="4"/>
    <s v="Dr James"/>
    <x v="0"/>
    <s v="Tech A"/>
    <s v="Private"/>
    <s v="Test-department mismatch"/>
  </r>
  <r>
    <s v="S1463"/>
    <s v="P29344"/>
    <s v="Male"/>
    <n v="59"/>
    <x v="4"/>
    <s v="Blood"/>
    <x v="3"/>
    <d v="2026-06-06T00:00:00"/>
    <x v="2"/>
    <d v="1899-12-30T08:05:00"/>
    <n v="6"/>
    <d v="2026-06-06T00:00:00"/>
    <d v="1899-12-30T20:05:00"/>
    <n v="12"/>
    <x v="0"/>
    <s v="Rejected"/>
    <x v="3"/>
    <s v="Completed"/>
    <n v="40"/>
    <x v="1"/>
    <x v="0"/>
    <n v="5"/>
    <s v="Dr James"/>
    <x v="1"/>
    <s v="Tech A"/>
    <s v="Private"/>
    <s v="Test-department mismatch; Sample-test status mismatch; Rejected sample with released result"/>
  </r>
  <r>
    <s v="S1464"/>
    <s v="P23911"/>
    <s v="Male"/>
    <n v="85"/>
    <x v="0"/>
    <s v="Blood"/>
    <x v="0"/>
    <d v="2026-02-17T00:00:00"/>
    <x v="5"/>
    <d v="1899-12-30T14:44:00"/>
    <n v="5"/>
    <d v="2026-02-18T00:00:00"/>
    <d v="1899-12-30T01:44:00"/>
    <n v="11"/>
    <x v="0"/>
    <s v="Accepted"/>
    <x v="0"/>
    <s v="Completed"/>
    <n v="35"/>
    <x v="0"/>
    <x v="2"/>
    <n v="4"/>
    <s v="Dr Ahmed"/>
    <x v="2"/>
    <s v="Tech B"/>
    <s v="NHIA"/>
    <s v=" "/>
  </r>
  <r>
    <s v="S1465"/>
    <s v="P16028"/>
    <s v="Male"/>
    <n v="54"/>
    <x v="3"/>
    <s v="Blood"/>
    <x v="1"/>
    <d v="2026-02-22T00:00:00"/>
    <x v="5"/>
    <d v="1899-12-30T14:36:00"/>
    <n v="24"/>
    <d v="2026-02-23T00:00:00"/>
    <d v="1899-12-30T18:36:00"/>
    <n v="28"/>
    <x v="0"/>
    <s v="Accepted"/>
    <x v="0"/>
    <s v="Completed"/>
    <n v="50"/>
    <x v="1"/>
    <x v="0"/>
    <n v="4"/>
    <s v="Dr James"/>
    <x v="1"/>
    <s v="Tech C"/>
    <s v="NHIA"/>
    <s v="Test-department mismatch"/>
  </r>
  <r>
    <s v="S1466"/>
    <s v="P12099"/>
    <s v="Male"/>
    <n v="70"/>
    <x v="5"/>
    <s v="Blood"/>
    <x v="1"/>
    <d v="2026-02-09T00:00:00"/>
    <x v="5"/>
    <d v="1899-12-30T10:01:00"/>
    <n v="4"/>
    <d v="2026-02-09T00:00:00"/>
    <d v="1899-12-30T18:01:00"/>
    <n v="8"/>
    <x v="0"/>
    <s v="Accepted"/>
    <x v="0"/>
    <s v="Completed"/>
    <n v="25"/>
    <x v="1"/>
    <x v="2"/>
    <n v="3"/>
    <s v="Dr James"/>
    <x v="0"/>
    <s v="Tech C"/>
    <s v="HMO"/>
    <s v="Test-department mismatch"/>
  </r>
  <r>
    <s v="S1467"/>
    <s v="P67315"/>
    <s v="Male"/>
    <n v="80"/>
    <x v="3"/>
    <s v="Blood"/>
    <x v="4"/>
    <d v="2026-01-15T00:00:00"/>
    <x v="3"/>
    <d v="1899-12-30T12:39:00"/>
    <n v="24"/>
    <d v="2026-01-16T00:00:00"/>
    <d v="1899-12-30T15:39:00"/>
    <n v="27"/>
    <x v="0"/>
    <s v="Accepted"/>
    <x v="0"/>
    <s v="Completed"/>
    <n v="50"/>
    <x v="0"/>
    <x v="1"/>
    <n v="5"/>
    <s v="Dr Ahmed"/>
    <x v="0"/>
    <s v="Tech C"/>
    <s v="NHIA"/>
    <s v=" "/>
  </r>
  <r>
    <s v="S1468"/>
    <s v="P31849"/>
    <s v="Male"/>
    <n v="7"/>
    <x v="0"/>
    <s v="Blood"/>
    <x v="0"/>
    <d v="2026-03-10T00:00:00"/>
    <x v="1"/>
    <d v="1899-12-30T07:59:00"/>
    <n v="5"/>
    <d v="2026-03-10T00:00:00"/>
    <d v="1899-12-30T19:59:00"/>
    <n v="12"/>
    <x v="0"/>
    <s v="Accepted"/>
    <x v="0"/>
    <s v="Completed"/>
    <n v="35"/>
    <x v="0"/>
    <x v="0"/>
    <n v="3"/>
    <s v="Dr James"/>
    <x v="3"/>
    <s v="Tech C"/>
    <s v="NHIA"/>
    <s v=" "/>
  </r>
  <r>
    <s v="S1469"/>
    <s v="P83999"/>
    <s v="Female"/>
    <n v="61"/>
    <x v="2"/>
    <s v="Urine"/>
    <x v="3"/>
    <d v="2026-01-01T00:00:00"/>
    <x v="3"/>
    <d v="1899-12-30T11:34:00"/>
    <n v="8"/>
    <d v="2026-01-01T00:00:00"/>
    <d v="1899-12-30T19:34:00"/>
    <n v="8"/>
    <x v="1"/>
    <s v="Accepted"/>
    <x v="0"/>
    <s v="Completed"/>
    <n v="20"/>
    <x v="0"/>
    <x v="1"/>
    <n v="2"/>
    <s v="Dr Adebayo"/>
    <x v="1"/>
    <s v="Tech B"/>
    <s v="Private"/>
    <s v=" "/>
  </r>
  <r>
    <s v="S1470"/>
    <s v="P31964"/>
    <s v="Female"/>
    <n v="69"/>
    <x v="2"/>
    <s v="Urine"/>
    <x v="3"/>
    <d v="2026-04-20T00:00:00"/>
    <x v="0"/>
    <d v="1899-12-30T11:35:00"/>
    <n v="8"/>
    <d v="2026-04-20T00:00:00"/>
    <d v="1899-12-30T20:35:00"/>
    <n v="9"/>
    <x v="0"/>
    <s v="Accepted"/>
    <x v="0"/>
    <s v="Completed"/>
    <n v="20"/>
    <x v="0"/>
    <x v="2"/>
    <n v="3"/>
    <s v="Dr Okafor"/>
    <x v="3"/>
    <s v="Tech A"/>
    <s v="HMO"/>
    <s v=" "/>
  </r>
  <r>
    <s v="S1471"/>
    <s v="P67793"/>
    <s v="Male"/>
    <n v="19"/>
    <x v="1"/>
    <s v="Blood"/>
    <x v="2"/>
    <d v="2026-01-25T00:00:00"/>
    <x v="3"/>
    <d v="1899-12-30T10:50:00"/>
    <n v="3"/>
    <d v="2026-01-25T00:00:00"/>
    <d v="1899-12-30T16:50:00"/>
    <n v="6"/>
    <x v="0"/>
    <s v="Accepted"/>
    <x v="0"/>
    <s v="Completed"/>
    <n v="15"/>
    <x v="0"/>
    <x v="1"/>
    <n v="3"/>
    <s v="Dr Adebayo"/>
    <x v="2"/>
    <s v="Tech B"/>
    <s v="Private"/>
    <m/>
  </r>
  <r>
    <s v="S1472"/>
    <s v="P12007"/>
    <s v="Female"/>
    <n v="27"/>
    <x v="2"/>
    <s v="Urine"/>
    <x v="3"/>
    <d v="2026-03-24T00:00:00"/>
    <x v="1"/>
    <d v="1899-12-30T10:31:00"/>
    <n v="8"/>
    <d v="2026-03-24T00:00:00"/>
    <d v="1899-12-30T21:31:00"/>
    <n v="11"/>
    <x v="0"/>
    <s v="Accepted"/>
    <x v="0"/>
    <s v="Completed"/>
    <n v="20"/>
    <x v="0"/>
    <x v="2"/>
    <n v="1"/>
    <s v="Dr Adebayo"/>
    <x v="0"/>
    <s v="Tech C"/>
    <s v="Private"/>
    <s v=" "/>
  </r>
  <r>
    <s v="S1473"/>
    <s v="P98095"/>
    <s v="Female"/>
    <n v="28"/>
    <x v="4"/>
    <s v="Blood"/>
    <x v="0"/>
    <d v="2026-01-28T00:00:00"/>
    <x v="3"/>
    <d v="1899-12-30T13:31:00"/>
    <n v="6"/>
    <d v="2026-01-28T00:00:00"/>
    <d v="1899-12-30T20:31:00"/>
    <n v="7"/>
    <x v="0"/>
    <s v="Accepted"/>
    <x v="0"/>
    <s v="Completed"/>
    <n v="40"/>
    <x v="0"/>
    <x v="1"/>
    <n v="5"/>
    <s v="Dr Adebayo"/>
    <x v="0"/>
    <s v="Tech B"/>
    <s v="HMO"/>
    <s v=" "/>
  </r>
  <r>
    <s v="S1474"/>
    <s v="P27999"/>
    <s v="Male"/>
    <n v="15"/>
    <x v="2"/>
    <s v="Urine"/>
    <x v="3"/>
    <d v="2026-03-08T00:00:00"/>
    <x v="1"/>
    <d v="1899-12-30T14:40:00"/>
    <n v="8"/>
    <d v="2026-03-08T00:00:00"/>
    <d v="1899-12-30T23:40:00"/>
    <n v="9"/>
    <x v="0"/>
    <s v="Accepted"/>
    <x v="0"/>
    <s v="Completed"/>
    <n v="20"/>
    <x v="1"/>
    <x v="0"/>
    <n v="4"/>
    <s v="Dr Okafor"/>
    <x v="2"/>
    <s v="Tech C"/>
    <s v="NHIA"/>
    <s v=" "/>
  </r>
  <r>
    <s v="S1475"/>
    <s v="P11063"/>
    <s v="Female"/>
    <n v="7"/>
    <x v="3"/>
    <s v="Blood"/>
    <x v="3"/>
    <d v="2026-04-16T00:00:00"/>
    <x v="0"/>
    <d v="1899-12-30T15:53:00"/>
    <n v="24"/>
    <d v="2026-04-17T00:00:00"/>
    <d v="1899-12-30T20:53:00"/>
    <n v="29"/>
    <x v="0"/>
    <s v="Accepted"/>
    <x v="0"/>
    <s v="Completed"/>
    <n v="50"/>
    <x v="1"/>
    <x v="1"/>
    <n v="3"/>
    <s v="Dr James"/>
    <x v="1"/>
    <s v="Tech A"/>
    <s v="Private"/>
    <s v="Female patient with PSA test; Suspicious Test-Age Combination;Test-department mismatch"/>
  </r>
  <r>
    <s v="S1476"/>
    <s v="P37246"/>
    <s v="Male"/>
    <n v="33"/>
    <x v="1"/>
    <s v="Blood"/>
    <x v="1"/>
    <d v="2026-05-15T00:00:00"/>
    <x v="4"/>
    <d v="1899-12-30T10:34:00"/>
    <n v="3"/>
    <d v="2026-05-15T00:00:00"/>
    <d v="1899-12-30T12:34:00"/>
    <n v="2"/>
    <x v="1"/>
    <s v="Accepted"/>
    <x v="0"/>
    <s v="Completed"/>
    <n v="15"/>
    <x v="0"/>
    <x v="0"/>
    <n v="3"/>
    <s v="Dr James"/>
    <x v="3"/>
    <s v="Tech C"/>
    <s v="NHIA"/>
    <s v="Test-department mismatch"/>
  </r>
  <r>
    <s v="S1477"/>
    <s v="P61101"/>
    <s v="Male"/>
    <n v="63"/>
    <x v="0"/>
    <s v="Blood"/>
    <x v="0"/>
    <d v="2026-06-20T00:00:00"/>
    <x v="2"/>
    <d v="1899-12-30T14:52:00"/>
    <n v="5"/>
    <d v="2026-06-20T00:00:00"/>
    <d v="1899-12-30T21:52:00"/>
    <n v="7"/>
    <x v="0"/>
    <s v="Accepted"/>
    <x v="0"/>
    <s v="Completed"/>
    <n v="35"/>
    <x v="1"/>
    <x v="1"/>
    <n v="1"/>
    <s v="Dr Okafor"/>
    <x v="0"/>
    <s v="Tech B"/>
    <s v="Private"/>
    <s v=" "/>
  </r>
  <r>
    <s v="S1478"/>
    <s v="P73209"/>
    <s v="Male"/>
    <n v="52"/>
    <x v="0"/>
    <s v="Blood"/>
    <x v="2"/>
    <d v="2026-02-01T00:00:00"/>
    <x v="5"/>
    <d v="1899-12-30T11:36:00"/>
    <n v="5"/>
    <d v="2026-02-01T00:00:00"/>
    <d v="1899-12-30T15:36:00"/>
    <n v="4"/>
    <x v="1"/>
    <s v="Accepted"/>
    <x v="0"/>
    <s v="Completed"/>
    <n v="35"/>
    <x v="1"/>
    <x v="1"/>
    <n v="2"/>
    <s v="Dr Okafor"/>
    <x v="3"/>
    <s v="Tech A"/>
    <s v="Private"/>
    <s v="Test-department mismatch"/>
  </r>
  <r>
    <s v="S1479"/>
    <s v="P48803"/>
    <s v="Female"/>
    <n v="2"/>
    <x v="0"/>
    <s v="Blood"/>
    <x v="3"/>
    <d v="2026-01-13T00:00:00"/>
    <x v="3"/>
    <d v="1899-12-30T10:39:00"/>
    <n v="5"/>
    <d v="2026-01-13T00:00:00"/>
    <d v="1899-12-30T17:39:00"/>
    <n v="7"/>
    <x v="0"/>
    <s v="Accepted"/>
    <x v="0"/>
    <s v="Pending"/>
    <n v="35"/>
    <x v="1"/>
    <x v="2"/>
    <n v="4"/>
    <s v="Dr Okafor"/>
    <x v="1"/>
    <s v="Tech C"/>
    <s v="Private"/>
    <s v="Test-department mismatch; Pending test with released result"/>
  </r>
  <r>
    <s v="S1480"/>
    <s v="P53810"/>
    <s v="Male"/>
    <n v="85"/>
    <x v="0"/>
    <s v="Blood"/>
    <x v="0"/>
    <d v="2026-06-04T00:00:00"/>
    <x v="2"/>
    <d v="1899-12-30T16:51:00"/>
    <n v="5"/>
    <d v="2026-06-05T00:00:00"/>
    <d v="1899-12-30T05:51:00"/>
    <n v="13"/>
    <x v="0"/>
    <s v="Accepted"/>
    <x v="0"/>
    <s v="Completed"/>
    <n v="35"/>
    <x v="0"/>
    <x v="0"/>
    <n v="4"/>
    <s v="Dr Okafor"/>
    <x v="1"/>
    <s v="Tech A"/>
    <s v="HMO"/>
    <s v=" "/>
  </r>
  <r>
    <s v="S1481"/>
    <s v="P70190"/>
    <s v="Female"/>
    <n v="60"/>
    <x v="3"/>
    <s v="Blood"/>
    <x v="3"/>
    <d v="2026-02-17T00:00:00"/>
    <x v="5"/>
    <d v="1899-12-30T12:13:00"/>
    <n v="24"/>
    <d v="2026-02-18T00:00:00"/>
    <d v="1899-12-30T20:13:00"/>
    <n v="32"/>
    <x v="0"/>
    <s v="Accepted"/>
    <x v="0"/>
    <s v="Completed"/>
    <n v="50"/>
    <x v="1"/>
    <x v="1"/>
    <n v="3"/>
    <s v="Dr James"/>
    <x v="3"/>
    <s v="Tech A"/>
    <s v="Private"/>
    <s v="Female patient with PSA test;Test-department mismatch"/>
  </r>
  <r>
    <s v="S1482"/>
    <s v="P12818"/>
    <s v="Male"/>
    <n v="70"/>
    <x v="1"/>
    <s v="Blood"/>
    <x v="2"/>
    <d v="2026-01-27T00:00:00"/>
    <x v="3"/>
    <d v="1899-12-30T15:39:00"/>
    <n v="3"/>
    <d v="2026-01-27T00:00:00"/>
    <d v="1899-12-30T22:39:00"/>
    <n v="7"/>
    <x v="0"/>
    <s v="Accepted"/>
    <x v="0"/>
    <s v="Completed"/>
    <n v="15"/>
    <x v="1"/>
    <x v="2"/>
    <n v="4"/>
    <s v="Dr James"/>
    <x v="0"/>
    <s v="Tech A"/>
    <s v="Private"/>
    <m/>
  </r>
  <r>
    <s v="S1483"/>
    <s v="P10909"/>
    <s v="Female"/>
    <n v="51"/>
    <x v="4"/>
    <s v="Blood"/>
    <x v="0"/>
    <d v="2026-01-11T00:00:00"/>
    <x v="3"/>
    <d v="1899-12-30T12:00:00"/>
    <n v="6"/>
    <d v="2026-01-11T00:00:00"/>
    <d v="1899-12-30T20:00:00"/>
    <n v="8"/>
    <x v="0"/>
    <s v="Accepted"/>
    <x v="0"/>
    <s v="Completed"/>
    <n v="40"/>
    <x v="0"/>
    <x v="1"/>
    <n v="4"/>
    <s v="Dr Ahmed"/>
    <x v="0"/>
    <s v="Tech B"/>
    <s v="HMO"/>
    <s v=" "/>
  </r>
  <r>
    <s v="S1484"/>
    <s v="P87320"/>
    <s v="Male"/>
    <n v="14"/>
    <x v="0"/>
    <s v="Blood"/>
    <x v="0"/>
    <d v="2026-01-17T00:00:00"/>
    <x v="3"/>
    <d v="1899-12-30T12:40:00"/>
    <n v="5"/>
    <d v="2026-01-17T00:00:00"/>
    <d v="1899-12-30T17:40:00"/>
    <n v="5"/>
    <x v="1"/>
    <s v="Accepted"/>
    <x v="0"/>
    <s v="Completed"/>
    <n v="35"/>
    <x v="0"/>
    <x v="2"/>
    <n v="5"/>
    <s v="Dr Ahmed"/>
    <x v="3"/>
    <s v="Tech B"/>
    <s v="Private"/>
    <s v=" "/>
  </r>
  <r>
    <s v="S1485"/>
    <s v="P97496"/>
    <s v="Female"/>
    <n v="70"/>
    <x v="2"/>
    <s v="Urine"/>
    <x v="3"/>
    <d v="2026-03-01T00:00:00"/>
    <x v="1"/>
    <d v="1899-12-30T07:47:00"/>
    <n v="8"/>
    <d v="2026-03-01T00:00:00"/>
    <d v="1899-12-30T20:47:00"/>
    <n v="13"/>
    <x v="0"/>
    <s v="Accepted"/>
    <x v="0"/>
    <s v="Completed"/>
    <n v="20"/>
    <x v="1"/>
    <x v="1"/>
    <n v="1"/>
    <s v="Dr Okafor"/>
    <x v="0"/>
    <s v="Tech B"/>
    <s v="NHIA"/>
    <s v=" "/>
  </r>
  <r>
    <s v="S1486"/>
    <s v="P98392"/>
    <s v="Female"/>
    <n v="45"/>
    <x v="0"/>
    <s v="Blood"/>
    <x v="0"/>
    <d v="2026-05-04T00:00:00"/>
    <x v="4"/>
    <d v="1899-12-30T13:10:00"/>
    <n v="5"/>
    <d v="2026-05-05T00:00:00"/>
    <d v="1899-12-30T00:10:00"/>
    <n v="11"/>
    <x v="0"/>
    <s v="Accepted"/>
    <x v="0"/>
    <s v="Completed"/>
    <n v="35"/>
    <x v="0"/>
    <x v="2"/>
    <n v="2"/>
    <s v="Dr Ahmed"/>
    <x v="1"/>
    <s v="Tech B"/>
    <s v="NHIA"/>
    <s v=" "/>
  </r>
  <r>
    <s v="S1487"/>
    <s v="P38194"/>
    <s v="Female"/>
    <n v="60"/>
    <x v="5"/>
    <s v="Blood"/>
    <x v="1"/>
    <d v="2026-03-31T00:00:00"/>
    <x v="1"/>
    <d v="1899-12-30T11:47:00"/>
    <n v="4"/>
    <d v="2026-03-31T00:00:00"/>
    <d v="1899-12-30T18:47:00"/>
    <n v="7"/>
    <x v="0"/>
    <s v="Accepted"/>
    <x v="0"/>
    <s v="Pending"/>
    <n v="25"/>
    <x v="1"/>
    <x v="1"/>
    <n v="4"/>
    <s v="Dr James"/>
    <x v="0"/>
    <s v="Tech B"/>
    <s v="HMO"/>
    <s v="Test-department mismatch; Pending test with released result"/>
  </r>
  <r>
    <s v="S1488"/>
    <s v="P88032"/>
    <s v="Female"/>
    <n v="78"/>
    <x v="2"/>
    <s v="Urine"/>
    <x v="0"/>
    <d v="2026-03-30T00:00:00"/>
    <x v="1"/>
    <d v="1899-12-30T13:37:00"/>
    <n v="8"/>
    <d v="2026-03-30T00:00:00"/>
    <d v="1899-12-30T23:37:00"/>
    <n v="10"/>
    <x v="0"/>
    <s v="Accepted"/>
    <x v="0"/>
    <s v="Completed"/>
    <n v="20"/>
    <x v="0"/>
    <x v="1"/>
    <n v="4"/>
    <s v="Dr Ahmed"/>
    <x v="3"/>
    <s v="Tech C"/>
    <s v="HMO"/>
    <s v="Test-department mismatch"/>
  </r>
  <r>
    <s v="S1489"/>
    <s v="P60862"/>
    <s v="Female"/>
    <n v="43"/>
    <x v="3"/>
    <s v="Blood"/>
    <x v="4"/>
    <d v="2026-03-25T00:00:00"/>
    <x v="1"/>
    <d v="1899-12-30T15:13:00"/>
    <n v="24"/>
    <d v="2026-03-26T00:00:00"/>
    <d v="1899-12-30T22:13:00"/>
    <n v="31"/>
    <x v="0"/>
    <s v="Rejected"/>
    <x v="1"/>
    <s v="Completed"/>
    <n v="50"/>
    <x v="0"/>
    <x v="2"/>
    <n v="1"/>
    <s v="Dr Ahmed"/>
    <x v="0"/>
    <s v="Tech B"/>
    <s v="Private"/>
    <s v="Female patient with PSA test; Sample-test status mismatch; Rejected sample with released result"/>
  </r>
  <r>
    <s v="S1490"/>
    <s v="P84651"/>
    <s v="Female"/>
    <n v="45"/>
    <x v="2"/>
    <s v="Urine"/>
    <x v="4"/>
    <d v="2026-03-07T00:00:00"/>
    <x v="1"/>
    <d v="1899-12-30T10:01:00"/>
    <n v="8"/>
    <d v="2026-03-07T00:00:00"/>
    <d v="1899-12-30T23:01:00"/>
    <n v="13"/>
    <x v="0"/>
    <s v="Accepted"/>
    <x v="0"/>
    <s v="Completed"/>
    <n v="20"/>
    <x v="1"/>
    <x v="0"/>
    <n v="2"/>
    <s v="Dr Okafor"/>
    <x v="3"/>
    <s v="Tech B"/>
    <s v="NHIA"/>
    <s v="Test-department mismatch"/>
  </r>
  <r>
    <s v="S1491"/>
    <s v="P32817"/>
    <s v="Female"/>
    <n v="48"/>
    <x v="0"/>
    <s v="Blood"/>
    <x v="3"/>
    <d v="2026-03-10T00:00:00"/>
    <x v="1"/>
    <d v="1899-12-30T07:44:00"/>
    <n v="5"/>
    <d v="2026-03-10T00:00:00"/>
    <d v="1899-12-30T17:44:00"/>
    <n v="10"/>
    <x v="0"/>
    <s v="Accepted"/>
    <x v="0"/>
    <s v="Completed"/>
    <n v="35"/>
    <x v="0"/>
    <x v="2"/>
    <n v="3"/>
    <s v="Dr James"/>
    <x v="2"/>
    <s v="Tech C"/>
    <s v="Private"/>
    <s v="Test-department mismatch"/>
  </r>
  <r>
    <s v="S1492"/>
    <s v="P13844"/>
    <s v="Male"/>
    <n v="36"/>
    <x v="1"/>
    <s v="Blood"/>
    <x v="2"/>
    <d v="2026-01-29T00:00:00"/>
    <x v="3"/>
    <d v="1899-12-30T14:00:00"/>
    <n v="3"/>
    <d v="2026-01-30T00:00:00"/>
    <d v="1899-12-30T01:00:00"/>
    <n v="11"/>
    <x v="0"/>
    <s v="Accepted"/>
    <x v="0"/>
    <s v="Completed"/>
    <n v="15"/>
    <x v="1"/>
    <x v="1"/>
    <n v="4"/>
    <s v="Dr Adebayo"/>
    <x v="1"/>
    <s v="Tech A"/>
    <s v="Private"/>
    <m/>
  </r>
  <r>
    <s v="S1493"/>
    <s v="P23350"/>
    <s v="Female"/>
    <n v="9"/>
    <x v="2"/>
    <s v="Urine"/>
    <x v="3"/>
    <d v="2026-03-06T00:00:00"/>
    <x v="1"/>
    <d v="1899-12-30T13:55:00"/>
    <n v="8"/>
    <d v="2026-03-06T00:00:00"/>
    <d v="1899-12-30T21:55:00"/>
    <n v="8"/>
    <x v="1"/>
    <s v="Accepted"/>
    <x v="0"/>
    <s v="Completed"/>
    <n v="20"/>
    <x v="1"/>
    <x v="1"/>
    <n v="2"/>
    <s v="Dr Ahmed"/>
    <x v="3"/>
    <s v="Tech C"/>
    <s v="Private"/>
    <s v=" "/>
  </r>
  <r>
    <s v="S1494"/>
    <s v="P71725"/>
    <s v="Male"/>
    <n v="53"/>
    <x v="1"/>
    <s v="Blood"/>
    <x v="2"/>
    <d v="2026-02-23T00:00:00"/>
    <x v="5"/>
    <d v="1899-12-30T13:23:00"/>
    <n v="3"/>
    <d v="2026-02-23T00:00:00"/>
    <d v="1899-12-30T22:23:00"/>
    <n v="9"/>
    <x v="0"/>
    <s v="Accepted"/>
    <x v="0"/>
    <s v="Completed"/>
    <n v="15"/>
    <x v="1"/>
    <x v="2"/>
    <n v="2"/>
    <s v="Dr Adebayo"/>
    <x v="3"/>
    <s v="Tech B"/>
    <s v="NHIA"/>
    <m/>
  </r>
  <r>
    <s v="S1495"/>
    <s v="P72976"/>
    <s v="Male"/>
    <n v="46"/>
    <x v="4"/>
    <s v="Blood"/>
    <x v="0"/>
    <d v="2026-05-20T00:00:00"/>
    <x v="4"/>
    <d v="1899-12-30T10:33:00"/>
    <n v="6"/>
    <d v="2026-05-20T00:00:00"/>
    <d v="1899-12-30T22:33:00"/>
    <n v="12"/>
    <x v="0"/>
    <s v="Accepted"/>
    <x v="0"/>
    <s v="Completed"/>
    <n v="40"/>
    <x v="1"/>
    <x v="1"/>
    <n v="1"/>
    <s v="Dr James"/>
    <x v="0"/>
    <s v="Tech B"/>
    <s v="HMO"/>
    <s v=" "/>
  </r>
  <r>
    <s v="S1496"/>
    <s v="P91869"/>
    <s v="Female"/>
    <n v="53"/>
    <x v="4"/>
    <s v="Blood"/>
    <x v="2"/>
    <d v="2026-04-30T00:00:00"/>
    <x v="0"/>
    <d v="1899-12-30T16:24:00"/>
    <n v="6"/>
    <d v="2026-05-01T00:00:00"/>
    <d v="1899-12-30T02:24:00"/>
    <n v="10"/>
    <x v="0"/>
    <s v="Accepted"/>
    <x v="0"/>
    <s v="Completed"/>
    <n v="40"/>
    <x v="1"/>
    <x v="1"/>
    <n v="3"/>
    <s v="Dr Adebayo"/>
    <x v="3"/>
    <s v="Tech C"/>
    <s v="Private"/>
    <s v="Test-department mismatch"/>
  </r>
  <r>
    <s v="S1497"/>
    <s v="P74455"/>
    <s v="Male"/>
    <n v="81"/>
    <x v="1"/>
    <s v="Blood"/>
    <x v="3"/>
    <d v="2026-06-18T00:00:00"/>
    <x v="2"/>
    <d v="1899-12-30T15:25:00"/>
    <n v="3"/>
    <d v="2026-06-18T00:00:00"/>
    <d v="1899-12-30T20:25:00"/>
    <n v="5"/>
    <x v="0"/>
    <s v="Accepted"/>
    <x v="0"/>
    <s v="Completed"/>
    <n v="15"/>
    <x v="0"/>
    <x v="2"/>
    <n v="3"/>
    <s v="Dr James"/>
    <x v="3"/>
    <s v="Tech A"/>
    <s v="Private"/>
    <s v="Test-department mismatch"/>
  </r>
  <r>
    <s v="S1498"/>
    <s v="P67951"/>
    <s v="Male"/>
    <n v="71"/>
    <x v="5"/>
    <s v="Blood"/>
    <x v="1"/>
    <d v="2026-05-18T00:00:00"/>
    <x v="4"/>
    <d v="1899-12-30T15:32:00"/>
    <n v="4"/>
    <d v="2026-05-18T00:00:00"/>
    <d v="1899-12-30T18:32:00"/>
    <n v="3"/>
    <x v="1"/>
    <s v="Accepted"/>
    <x v="0"/>
    <s v="Completed"/>
    <n v="25"/>
    <x v="1"/>
    <x v="0"/>
    <n v="4"/>
    <s v="Dr Adebayo"/>
    <x v="3"/>
    <s v="Tech C"/>
    <s v="HMO"/>
    <s v="Test-department mismatch"/>
  </r>
  <r>
    <s v="S1499"/>
    <s v="P62077"/>
    <s v="Male"/>
    <n v="32"/>
    <x v="3"/>
    <s v="Blood"/>
    <x v="1"/>
    <d v="2026-05-29T00:00:00"/>
    <x v="4"/>
    <d v="1899-12-30T07:47:00"/>
    <n v="24"/>
    <d v="2026-05-30T00:00:00"/>
    <d v="1899-12-30T07:47:00"/>
    <n v="24"/>
    <x v="1"/>
    <s v="Accepted"/>
    <x v="0"/>
    <s v="Completed"/>
    <n v="50"/>
    <x v="1"/>
    <x v="1"/>
    <n v="1"/>
    <s v="Dr Adebayo"/>
    <x v="3"/>
    <s v="Tech C"/>
    <s v="Private"/>
    <s v="Test-department mismatch"/>
  </r>
  <r>
    <s v="S1500"/>
    <s v="P84364"/>
    <s v="Male"/>
    <n v="49"/>
    <x v="3"/>
    <s v="Blood"/>
    <x v="3"/>
    <d v="2026-01-30T00:00:00"/>
    <x v="3"/>
    <d v="1899-12-30T07:04:00"/>
    <n v="24"/>
    <d v="2026-01-31T00:00:00"/>
    <d v="1899-12-30T14:04:00"/>
    <n v="31"/>
    <x v="0"/>
    <s v="Accepted"/>
    <x v="0"/>
    <s v="Completed"/>
    <n v="50"/>
    <x v="1"/>
    <x v="1"/>
    <n v="4"/>
    <s v="Dr Ahmed"/>
    <x v="2"/>
    <s v="Tech C"/>
    <s v="NHIA"/>
    <s v="Test-department mismatch"/>
  </r>
  <r>
    <s v="S1501"/>
    <s v="P21761"/>
    <s v="Male"/>
    <n v="42"/>
    <x v="1"/>
    <s v="Blood"/>
    <x v="2"/>
    <d v="2026-05-08T00:00:00"/>
    <x v="4"/>
    <d v="1899-12-30T15:22:00"/>
    <n v="3"/>
    <d v="2026-05-08T00:00:00"/>
    <d v="1899-12-30T17:22:00"/>
    <n v="2"/>
    <x v="1"/>
    <s v="Accepted"/>
    <x v="0"/>
    <s v="Pending"/>
    <n v="15"/>
    <x v="1"/>
    <x v="0"/>
    <n v="2"/>
    <s v="Dr James"/>
    <x v="2"/>
    <s v="Tech B"/>
    <s v="HMO"/>
    <s v=" Pending test with released result"/>
  </r>
  <r>
    <s v="S1502"/>
    <s v="P56130"/>
    <s v="Male"/>
    <n v="79"/>
    <x v="2"/>
    <s v="Urine"/>
    <x v="1"/>
    <d v="2026-01-09T00:00:00"/>
    <x v="3"/>
    <d v="1899-12-30T10:28:00"/>
    <n v="8"/>
    <d v="2026-01-09T00:00:00"/>
    <d v="1899-12-30T19:28:00"/>
    <n v="9"/>
    <x v="0"/>
    <s v="Accepted"/>
    <x v="0"/>
    <s v="Pending"/>
    <n v="20"/>
    <x v="1"/>
    <x v="2"/>
    <n v="3"/>
    <s v="Dr Okafor"/>
    <x v="2"/>
    <s v="Tech B"/>
    <s v="HMO"/>
    <s v="Test-department mismatch; Pending test with released result"/>
  </r>
  <r>
    <s v="S1503"/>
    <s v="P53074"/>
    <s v="Male"/>
    <n v="59"/>
    <x v="1"/>
    <s v="Blood"/>
    <x v="1"/>
    <d v="2026-04-03T00:00:00"/>
    <x v="0"/>
    <d v="1899-12-30T12:53:00"/>
    <n v="3"/>
    <d v="2026-04-03T00:00:00"/>
    <d v="1899-12-30T16:53:00"/>
    <n v="4"/>
    <x v="0"/>
    <s v="Accepted"/>
    <x v="0"/>
    <s v="Completed"/>
    <n v="15"/>
    <x v="1"/>
    <x v="0"/>
    <n v="1"/>
    <s v="Dr Adebayo"/>
    <x v="2"/>
    <s v="Tech A"/>
    <s v="NHIA"/>
    <s v="Test-department mismatch"/>
  </r>
  <r>
    <s v="S1504"/>
    <s v="P70682"/>
    <s v="Male"/>
    <n v="56"/>
    <x v="2"/>
    <s v="Urine"/>
    <x v="3"/>
    <d v="2026-05-26T00:00:00"/>
    <x v="4"/>
    <d v="1899-12-30T08:19:00"/>
    <n v="8"/>
    <d v="2026-05-26T00:00:00"/>
    <d v="1899-12-30T21:19:00"/>
    <n v="13"/>
    <x v="0"/>
    <s v="Accepted"/>
    <x v="0"/>
    <s v="Completed"/>
    <n v="20"/>
    <x v="0"/>
    <x v="2"/>
    <n v="2"/>
    <s v="Dr Adebayo"/>
    <x v="1"/>
    <s v="Tech A"/>
    <s v="HMO"/>
    <s v=" "/>
  </r>
  <r>
    <s v="S1505"/>
    <s v="P62985"/>
    <s v="Male"/>
    <n v="66"/>
    <x v="3"/>
    <s v="Blood"/>
    <x v="4"/>
    <d v="2026-02-25T00:00:00"/>
    <x v="5"/>
    <d v="1899-12-30T11:37:00"/>
    <n v="24"/>
    <d v="2026-02-26T00:00:00"/>
    <d v="1899-12-30T18:37:00"/>
    <n v="31"/>
    <x v="0"/>
    <s v="Accepted"/>
    <x v="0"/>
    <s v="Completed"/>
    <n v="50"/>
    <x v="1"/>
    <x v="0"/>
    <n v="1"/>
    <s v="Dr Okafor"/>
    <x v="3"/>
    <s v="Tech C"/>
    <s v="NHIA"/>
    <s v=" "/>
  </r>
  <r>
    <s v="S1506"/>
    <s v="P36041"/>
    <s v="Male"/>
    <n v="1"/>
    <x v="2"/>
    <s v="Urine"/>
    <x v="3"/>
    <d v="2026-06-19T00:00:00"/>
    <x v="2"/>
    <d v="1899-12-30T11:55:00"/>
    <n v="8"/>
    <d v="2026-06-20T00:00:00"/>
    <d v="1899-12-30T02:55:00"/>
    <n v="15"/>
    <x v="0"/>
    <s v="Accepted"/>
    <x v="0"/>
    <s v="Completed"/>
    <n v="20"/>
    <x v="0"/>
    <x v="2"/>
    <n v="3"/>
    <s v="Dr Ahmed"/>
    <x v="3"/>
    <s v="Tech C"/>
    <s v="Private"/>
    <s v=" "/>
  </r>
  <r>
    <s v="S1507"/>
    <s v="P79387"/>
    <s v="Female"/>
    <n v="22"/>
    <x v="1"/>
    <s v="Blood"/>
    <x v="4"/>
    <d v="2026-06-06T00:00:00"/>
    <x v="2"/>
    <d v="1899-12-30T07:46:00"/>
    <n v="3"/>
    <d v="2026-06-06T00:00:00"/>
    <d v="1899-12-30T17:46:00"/>
    <n v="10"/>
    <x v="0"/>
    <s v="Accepted"/>
    <x v="0"/>
    <s v="Pending"/>
    <n v="15"/>
    <x v="1"/>
    <x v="1"/>
    <n v="2"/>
    <s v="Dr James"/>
    <x v="3"/>
    <s v="Tech B"/>
    <s v="NHIA"/>
    <s v="Test-department mismatch; Pending test with released result"/>
  </r>
  <r>
    <s v="S1508"/>
    <s v="P89575"/>
    <s v="Male"/>
    <n v="13"/>
    <x v="2"/>
    <s v="Urine"/>
    <x v="2"/>
    <d v="2026-04-19T00:00:00"/>
    <x v="0"/>
    <d v="1899-12-30T10:21:00"/>
    <n v="8"/>
    <d v="2026-04-19T00:00:00"/>
    <d v="1899-12-30T21:21:00"/>
    <n v="11"/>
    <x v="0"/>
    <s v="Accepted"/>
    <x v="0"/>
    <s v="Completed"/>
    <n v="20"/>
    <x v="1"/>
    <x v="0"/>
    <n v="2"/>
    <s v="Dr James"/>
    <x v="1"/>
    <s v="Tech B"/>
    <s v="NHIA"/>
    <s v="Test-department mismatch"/>
  </r>
  <r>
    <s v="S1509"/>
    <s v="P48138"/>
    <s v="Female"/>
    <n v="16"/>
    <x v="4"/>
    <s v="Blood"/>
    <x v="1"/>
    <d v="2026-02-12T00:00:00"/>
    <x v="5"/>
    <d v="1899-12-30T13:21:00"/>
    <n v="6"/>
    <d v="2026-02-12T00:00:00"/>
    <d v="1899-12-30T20:21:00"/>
    <n v="7"/>
    <x v="0"/>
    <s v="Accepted"/>
    <x v="0"/>
    <s v="Completed"/>
    <n v="40"/>
    <x v="1"/>
    <x v="1"/>
    <n v="4"/>
    <s v="Dr Adebayo"/>
    <x v="0"/>
    <s v="Tech A"/>
    <s v="HMO"/>
    <s v="Test-department mismatch"/>
  </r>
  <r>
    <s v="S1510"/>
    <s v="P92781"/>
    <s v="Female"/>
    <n v="84"/>
    <x v="3"/>
    <s v="Blood"/>
    <x v="3"/>
    <d v="2026-03-19T00:00:00"/>
    <x v="1"/>
    <d v="1899-12-30T14:07:00"/>
    <n v="24"/>
    <d v="2026-03-20T00:00:00"/>
    <d v="1899-12-30T17:07:00"/>
    <n v="27"/>
    <x v="0"/>
    <s v="Accepted"/>
    <x v="0"/>
    <s v="Completed"/>
    <n v="50"/>
    <x v="1"/>
    <x v="2"/>
    <n v="5"/>
    <s v="Dr Adebayo"/>
    <x v="3"/>
    <s v="Tech C"/>
    <s v="Private"/>
    <s v="Female patient with PSA test"/>
  </r>
  <r>
    <s v="S1511"/>
    <s v="P91233"/>
    <s v="Male"/>
    <n v="39"/>
    <x v="4"/>
    <s v="Blood"/>
    <x v="0"/>
    <d v="2026-05-14T00:00:00"/>
    <x v="4"/>
    <d v="1899-12-30T08:35:00"/>
    <n v="6"/>
    <d v="2026-05-14T00:00:00"/>
    <d v="1899-12-30T13:35:00"/>
    <n v="5"/>
    <x v="1"/>
    <s v="Accepted"/>
    <x v="0"/>
    <s v="Completed"/>
    <n v="40"/>
    <x v="1"/>
    <x v="0"/>
    <n v="1"/>
    <s v="Dr Okafor"/>
    <x v="3"/>
    <s v="Tech A"/>
    <s v="HMO"/>
    <s v=" "/>
  </r>
  <r>
    <s v="S1512"/>
    <s v="P78798"/>
    <s v="Male"/>
    <n v="66"/>
    <x v="4"/>
    <s v="Blood"/>
    <x v="3"/>
    <d v="2026-03-17T00:00:00"/>
    <x v="1"/>
    <d v="1899-12-30T08:05:00"/>
    <n v="6"/>
    <d v="2026-03-17T00:00:00"/>
    <d v="1899-12-30T16:05:00"/>
    <n v="8"/>
    <x v="0"/>
    <s v="Accepted"/>
    <x v="0"/>
    <s v="Completed"/>
    <n v="40"/>
    <x v="0"/>
    <x v="1"/>
    <n v="2"/>
    <s v="Dr Ahmed"/>
    <x v="0"/>
    <s v="Tech C"/>
    <s v="NHIA"/>
    <s v=" "/>
  </r>
  <r>
    <s v="S1513"/>
    <s v="P85297"/>
    <s v="Female"/>
    <n v="42"/>
    <x v="3"/>
    <s v="Blood"/>
    <x v="4"/>
    <d v="2026-02-26T00:00:00"/>
    <x v="5"/>
    <d v="1899-12-30T08:46:00"/>
    <n v="24"/>
    <d v="2026-02-27T00:00:00"/>
    <d v="1899-12-30T11:46:00"/>
    <n v="27"/>
    <x v="0"/>
    <s v="Accepted"/>
    <x v="0"/>
    <s v="Completed"/>
    <n v="50"/>
    <x v="1"/>
    <x v="0"/>
    <n v="3"/>
    <s v="Dr Adebayo"/>
    <x v="2"/>
    <s v="Tech C"/>
    <s v="HMO"/>
    <s v="Female patient with PSA test"/>
  </r>
  <r>
    <s v="S1514"/>
    <s v="P52955"/>
    <s v="Female"/>
    <n v="47"/>
    <x v="5"/>
    <s v="Blood"/>
    <x v="1"/>
    <d v="2026-02-18T00:00:00"/>
    <x v="5"/>
    <d v="1899-12-30T12:32:00"/>
    <n v="4"/>
    <d v="2026-02-18T00:00:00"/>
    <d v="1899-12-30T15:32:00"/>
    <n v="3"/>
    <x v="1"/>
    <s v="Accepted"/>
    <x v="0"/>
    <s v="Completed"/>
    <n v="25"/>
    <x v="1"/>
    <x v="1"/>
    <n v="3"/>
    <s v="Dr Adebayo"/>
    <x v="2"/>
    <s v="Tech A"/>
    <s v="HMO"/>
    <s v="Test-department mismatch"/>
  </r>
  <r>
    <s v="S1515"/>
    <s v="P40858"/>
    <s v="Female"/>
    <n v="10"/>
    <x v="3"/>
    <s v="Blood"/>
    <x v="3"/>
    <d v="2026-03-09T00:00:00"/>
    <x v="1"/>
    <d v="1899-12-30T10:18:00"/>
    <n v="24"/>
    <d v="2026-03-10T00:00:00"/>
    <d v="1899-12-30T09:18:00"/>
    <n v="23"/>
    <x v="1"/>
    <s v="Accepted"/>
    <x v="0"/>
    <s v="Pending"/>
    <n v="50"/>
    <x v="0"/>
    <x v="1"/>
    <n v="2"/>
    <s v="Dr James"/>
    <x v="2"/>
    <s v="Tech A"/>
    <s v="Private"/>
    <s v="Female patient with PSA test;  Pending test with released resultSuspicious Test-Age Combination;Test-department mismatch"/>
  </r>
  <r>
    <s v="S1516"/>
    <s v="P26671"/>
    <s v="Male"/>
    <n v="52"/>
    <x v="3"/>
    <s v="Blood"/>
    <x v="3"/>
    <d v="2026-03-17T00:00:00"/>
    <x v="1"/>
    <d v="1899-12-30T10:36:00"/>
    <n v="24"/>
    <d v="2026-03-18T00:00:00"/>
    <d v="1899-12-30T09:36:00"/>
    <n v="23"/>
    <x v="1"/>
    <s v="Accepted"/>
    <x v="0"/>
    <s v="Completed"/>
    <n v="50"/>
    <x v="1"/>
    <x v="0"/>
    <n v="2"/>
    <s v="Dr Adebayo"/>
    <x v="0"/>
    <s v="Tech B"/>
    <s v="NHIA"/>
    <s v="Test-department mismatch"/>
  </r>
  <r>
    <s v="S1517"/>
    <s v="P93109"/>
    <s v="Male"/>
    <n v="8"/>
    <x v="3"/>
    <s v="Blood"/>
    <x v="4"/>
    <d v="2026-05-06T00:00:00"/>
    <x v="4"/>
    <d v="1899-12-30T15:02:00"/>
    <n v="24"/>
    <d v="2026-05-07T00:00:00"/>
    <d v="1899-12-30T16:02:00"/>
    <n v="25"/>
    <x v="0"/>
    <s v="Accepted"/>
    <x v="0"/>
    <s v="Completed"/>
    <n v="50"/>
    <x v="1"/>
    <x v="1"/>
    <n v="2"/>
    <s v="Dr Ahmed"/>
    <x v="0"/>
    <s v="Tech A"/>
    <s v="NHIA"/>
    <s v="Suspicious Test-Age Combination"/>
  </r>
  <r>
    <s v="S1518"/>
    <s v="P29118"/>
    <s v="Male"/>
    <n v="12"/>
    <x v="3"/>
    <s v="Blood"/>
    <x v="4"/>
    <d v="2026-04-11T00:00:00"/>
    <x v="0"/>
    <d v="1899-12-30T15:58:00"/>
    <n v="24"/>
    <d v="2026-04-12T00:00:00"/>
    <d v="1899-12-30T18:58:00"/>
    <n v="27"/>
    <x v="0"/>
    <s v="Accepted"/>
    <x v="0"/>
    <s v="Completed"/>
    <n v="50"/>
    <x v="0"/>
    <x v="1"/>
    <n v="4"/>
    <s v="Dr James"/>
    <x v="1"/>
    <s v="Tech A"/>
    <s v="Private"/>
    <s v="Suspicious Test-Age Combination"/>
  </r>
  <r>
    <s v="S1519"/>
    <s v="P11220"/>
    <s v="Male"/>
    <n v="15"/>
    <x v="0"/>
    <s v="Blood"/>
    <x v="3"/>
    <d v="2026-04-16T00:00:00"/>
    <x v="0"/>
    <d v="1899-12-30T11:32:00"/>
    <n v="5"/>
    <d v="2026-04-16T00:00:00"/>
    <d v="1899-12-30T15:32:00"/>
    <n v="4"/>
    <x v="1"/>
    <s v="Accepted"/>
    <x v="0"/>
    <s v="Pending"/>
    <n v="35"/>
    <x v="1"/>
    <x v="0"/>
    <n v="4"/>
    <s v="Dr Okafor"/>
    <x v="2"/>
    <s v="Tech B"/>
    <s v="Private"/>
    <s v="Test-department mismatch; Pending test with released result"/>
  </r>
  <r>
    <s v="S1520"/>
    <s v="P44008"/>
    <s v="Female"/>
    <n v="78"/>
    <x v="1"/>
    <s v="Blood"/>
    <x v="1"/>
    <d v="2026-05-07T00:00:00"/>
    <x v="4"/>
    <d v="1899-12-30T12:28:00"/>
    <n v="3"/>
    <d v="2026-05-07T00:00:00"/>
    <d v="1899-12-30T20:28:00"/>
    <n v="8"/>
    <x v="0"/>
    <s v="Rejected"/>
    <x v="1"/>
    <s v="Completed"/>
    <n v="15"/>
    <x v="1"/>
    <x v="2"/>
    <n v="1"/>
    <s v="Dr Adebayo"/>
    <x v="1"/>
    <s v="Tech A"/>
    <s v="NHIA"/>
    <s v="Test-department mismatch; Sample-test status mismatch; Rejected sample with released result"/>
  </r>
  <r>
    <s v="S1521"/>
    <s v="P98483"/>
    <s v="Female"/>
    <n v="63"/>
    <x v="2"/>
    <s v="Urine"/>
    <x v="2"/>
    <d v="2026-02-05T00:00:00"/>
    <x v="5"/>
    <d v="1899-12-30T10:40:00"/>
    <n v="8"/>
    <d v="2026-02-05T00:00:00"/>
    <d v="1899-12-30T20:40:00"/>
    <n v="10"/>
    <x v="0"/>
    <s v="Accepted"/>
    <x v="0"/>
    <s v="Completed"/>
    <n v="20"/>
    <x v="1"/>
    <x v="1"/>
    <n v="5"/>
    <s v="Dr James"/>
    <x v="2"/>
    <s v="Tech B"/>
    <s v="Private"/>
    <s v="Test-department mismatch"/>
  </r>
  <r>
    <s v="S1522"/>
    <s v="P39835"/>
    <s v="Male"/>
    <n v="79"/>
    <x v="4"/>
    <s v="Blood"/>
    <x v="3"/>
    <d v="2026-04-10T00:00:00"/>
    <x v="0"/>
    <d v="1899-12-30T07:24:00"/>
    <n v="6"/>
    <d v="2026-04-10T00:00:00"/>
    <d v="1899-12-30T12:24:00"/>
    <n v="5"/>
    <x v="1"/>
    <s v="Rejected"/>
    <x v="4"/>
    <s v="Completed"/>
    <n v="40"/>
    <x v="1"/>
    <x v="1"/>
    <n v="2"/>
    <s v="Dr Okafor"/>
    <x v="0"/>
    <s v="Tech A"/>
    <s v="NHIA"/>
    <s v="Test-department mismatch; Sample-test status mismatch; Rejected sample with released result"/>
  </r>
  <r>
    <s v="S1523"/>
    <s v="P96496"/>
    <s v="Female"/>
    <n v="90"/>
    <x v="4"/>
    <s v="Blood"/>
    <x v="0"/>
    <d v="2026-01-25T00:00:00"/>
    <x v="3"/>
    <d v="1899-12-30T13:05:00"/>
    <n v="6"/>
    <d v="2026-01-25T00:00:00"/>
    <d v="1899-12-30T20:05:00"/>
    <n v="7"/>
    <x v="0"/>
    <s v="Accepted"/>
    <x v="0"/>
    <s v="Completed"/>
    <n v="40"/>
    <x v="1"/>
    <x v="1"/>
    <n v="2"/>
    <s v="Dr Adebayo"/>
    <x v="3"/>
    <s v="Tech C"/>
    <s v="HMO"/>
    <s v=" "/>
  </r>
  <r>
    <s v="S1524"/>
    <s v="P24693"/>
    <s v="Male"/>
    <n v="28"/>
    <x v="5"/>
    <s v="Blood"/>
    <x v="1"/>
    <d v="2026-03-21T00:00:00"/>
    <x v="1"/>
    <d v="1899-12-30T16:26:00"/>
    <n v="4"/>
    <d v="2026-03-21T00:00:00"/>
    <d v="1899-12-30T21:26:00"/>
    <n v="5"/>
    <x v="0"/>
    <s v="Accepted"/>
    <x v="0"/>
    <s v="Completed"/>
    <n v="25"/>
    <x v="1"/>
    <x v="2"/>
    <n v="5"/>
    <s v="Dr Ahmed"/>
    <x v="0"/>
    <s v="Tech A"/>
    <s v="Private"/>
    <s v="Test-department mismatch"/>
  </r>
  <r>
    <s v="S1525"/>
    <s v="P42880"/>
    <s v="Male"/>
    <n v="79"/>
    <x v="1"/>
    <s v="Blood"/>
    <x v="2"/>
    <d v="2026-03-02T00:00:00"/>
    <x v="1"/>
    <d v="1899-12-30T11:32:00"/>
    <n v="3"/>
    <d v="2026-03-02T00:00:00"/>
    <d v="1899-12-30T13:32:00"/>
    <n v="2"/>
    <x v="1"/>
    <s v="Accepted"/>
    <x v="0"/>
    <s v="Completed"/>
    <n v="-20"/>
    <x v="0"/>
    <x v="0"/>
    <n v="2"/>
    <s v="Dr Ahmed"/>
    <x v="3"/>
    <s v="Tech B"/>
    <s v="NHIA"/>
    <m/>
  </r>
  <r>
    <s v="S1526"/>
    <s v="P98364"/>
    <s v="Male"/>
    <n v="28"/>
    <x v="5"/>
    <s v="Blood"/>
    <x v="3"/>
    <d v="2026-02-18T00:00:00"/>
    <x v="5"/>
    <d v="1899-12-30T16:36:00"/>
    <n v="4"/>
    <d v="2026-02-18T00:00:00"/>
    <d v="1899-12-30T21:36:00"/>
    <n v="5"/>
    <x v="0"/>
    <s v="Accepted"/>
    <x v="0"/>
    <s v="Completed"/>
    <n v="25"/>
    <x v="1"/>
    <x v="2"/>
    <n v="5"/>
    <s v="Dr Adebayo"/>
    <x v="1"/>
    <s v="Tech B"/>
    <s v="Private"/>
    <s v="Test-department mismatch"/>
  </r>
  <r>
    <s v="S1527"/>
    <s v="P71253"/>
    <s v="Male"/>
    <n v="75"/>
    <x v="0"/>
    <s v="Blood"/>
    <x v="0"/>
    <d v="2026-06-15T00:00:00"/>
    <x v="2"/>
    <d v="1899-12-30T10:35:00"/>
    <n v="5"/>
    <d v="2026-06-15T00:00:00"/>
    <d v="1899-12-30T23:35:00"/>
    <n v="13"/>
    <x v="0"/>
    <s v="Accepted"/>
    <x v="0"/>
    <s v="Completed"/>
    <n v="35"/>
    <x v="0"/>
    <x v="0"/>
    <n v="1"/>
    <s v="Dr James"/>
    <x v="2"/>
    <s v="Tech A"/>
    <s v="HMO"/>
    <s v=" "/>
  </r>
  <r>
    <s v="S1528"/>
    <s v="P57180"/>
    <s v="Female"/>
    <n v="39"/>
    <x v="4"/>
    <s v="Blood"/>
    <x v="4"/>
    <d v="2026-05-05T00:00:00"/>
    <x v="4"/>
    <d v="1899-12-30T15:37:00"/>
    <n v="6"/>
    <d v="2026-05-06T00:00:00"/>
    <d v="1899-12-30T02:37:00"/>
    <n v="11"/>
    <x v="0"/>
    <s v="Accepted"/>
    <x v="0"/>
    <s v="Completed"/>
    <n v="40"/>
    <x v="1"/>
    <x v="1"/>
    <n v="1"/>
    <s v="Dr Adebayo"/>
    <x v="0"/>
    <s v="Tech A"/>
    <s v="HMO"/>
    <s v="Test-department mismatch"/>
  </r>
  <r>
    <s v="S1529"/>
    <s v="P68040"/>
    <s v="Female"/>
    <n v="56"/>
    <x v="5"/>
    <s v="Blood"/>
    <x v="0"/>
    <d v="2026-02-28T00:00:00"/>
    <x v="5"/>
    <d v="1899-12-30T13:42:00"/>
    <n v="4"/>
    <d v="2026-02-28T00:00:00"/>
    <d v="1899-12-30T18:42:00"/>
    <n v="5"/>
    <x v="0"/>
    <s v="Accepted"/>
    <x v="0"/>
    <s v="Completed"/>
    <n v="25"/>
    <x v="0"/>
    <x v="2"/>
    <n v="4"/>
    <s v="Dr Ahmed"/>
    <x v="1"/>
    <s v="Tech B"/>
    <s v="Private"/>
    <s v="Test-department mismatch"/>
  </r>
  <r>
    <s v="S1530"/>
    <s v="P75677"/>
    <s v="Female"/>
    <n v="76"/>
    <x v="3"/>
    <s v="Blood"/>
    <x v="0"/>
    <d v="2026-03-13T00:00:00"/>
    <x v="1"/>
    <d v="1899-12-30T13:21:00"/>
    <n v="24"/>
    <d v="2026-03-14T00:00:00"/>
    <d v="1899-12-30T15:21:00"/>
    <n v="26"/>
    <x v="0"/>
    <s v="Accepted"/>
    <x v="0"/>
    <s v="Completed"/>
    <n v="50"/>
    <x v="0"/>
    <x v="2"/>
    <n v="1"/>
    <s v="Dr Adebayo"/>
    <x v="0"/>
    <s v="Tech B"/>
    <s v="Private"/>
    <s v="Female patient with PSA test;Test-department mismatch"/>
  </r>
  <r>
    <s v="S1531"/>
    <s v="P28423"/>
    <s v="Female"/>
    <n v="4"/>
    <x v="4"/>
    <s v="Blood"/>
    <x v="0"/>
    <d v="2026-02-13T00:00:00"/>
    <x v="5"/>
    <d v="1899-12-30T10:40:00"/>
    <n v="6"/>
    <d v="2026-02-13T00:00:00"/>
    <d v="1899-12-30T15:40:00"/>
    <n v="5"/>
    <x v="1"/>
    <s v="Accepted"/>
    <x v="0"/>
    <s v="Completed"/>
    <n v="40"/>
    <x v="0"/>
    <x v="2"/>
    <n v="3"/>
    <s v="Dr James"/>
    <x v="0"/>
    <s v="Tech C"/>
    <s v="Private"/>
    <s v=" "/>
  </r>
  <r>
    <s v="S1532"/>
    <s v="P75824"/>
    <s v="Male"/>
    <n v="83"/>
    <x v="5"/>
    <s v="Blood"/>
    <x v="0"/>
    <d v="2026-02-19T00:00:00"/>
    <x v="5"/>
    <d v="1899-12-30T14:33:00"/>
    <n v="4"/>
    <d v="2026-02-20T00:00:00"/>
    <d v="1899-12-30T00:33:00"/>
    <n v="10"/>
    <x v="0"/>
    <s v="Accepted"/>
    <x v="0"/>
    <s v="Completed"/>
    <m/>
    <x v="1"/>
    <x v="0"/>
    <n v="1"/>
    <s v="Dr Adebayo"/>
    <x v="3"/>
    <s v="Tech A"/>
    <s v="HMO"/>
    <s v="Test-department mismatch"/>
  </r>
  <r>
    <s v="S1533"/>
    <s v="P26733"/>
    <s v="Female"/>
    <n v="78"/>
    <x v="2"/>
    <s v="Urine"/>
    <x v="3"/>
    <d v="2026-02-03T00:00:00"/>
    <x v="5"/>
    <d v="1899-12-30T13:36:00"/>
    <n v="8"/>
    <d v="2026-02-04T00:00:00"/>
    <d v="1899-12-30T01:36:00"/>
    <n v="12"/>
    <x v="0"/>
    <s v="Accepted"/>
    <x v="0"/>
    <s v="Pending"/>
    <n v="20"/>
    <x v="1"/>
    <x v="2"/>
    <n v="5"/>
    <s v="Dr Adebayo"/>
    <x v="1"/>
    <s v="Tech A"/>
    <s v="Private"/>
    <s v="Pending test with released result"/>
  </r>
  <r>
    <s v="S1534"/>
    <s v="P76887"/>
    <s v="Female"/>
    <n v="50"/>
    <x v="4"/>
    <s v="Blood"/>
    <x v="1"/>
    <d v="2026-06-05T00:00:00"/>
    <x v="2"/>
    <d v="1899-12-30T11:22:00"/>
    <n v="6"/>
    <d v="2026-06-05T00:00:00"/>
    <d v="1899-12-30T22:22:00"/>
    <n v="11"/>
    <x v="0"/>
    <s v="Accepted"/>
    <x v="0"/>
    <s v="Completed"/>
    <n v="40"/>
    <x v="1"/>
    <x v="1"/>
    <n v="2"/>
    <s v="Dr Okafor"/>
    <x v="2"/>
    <s v="Tech C"/>
    <s v="Private"/>
    <s v="Test-department mismatch"/>
  </r>
  <r>
    <s v="S1535"/>
    <s v="P10497"/>
    <s v="Male"/>
    <n v="21"/>
    <x v="1"/>
    <s v="Blood"/>
    <x v="3"/>
    <d v="2026-03-15T00:00:00"/>
    <x v="1"/>
    <d v="1899-12-30T10:56:00"/>
    <n v="3"/>
    <d v="2026-03-15T00:00:00"/>
    <d v="1899-12-30T20:56:00"/>
    <n v="10"/>
    <x v="0"/>
    <s v="Rejected"/>
    <x v="4"/>
    <s v="Completed"/>
    <n v="15"/>
    <x v="0"/>
    <x v="0"/>
    <n v="5"/>
    <s v="Dr Adebayo"/>
    <x v="1"/>
    <s v="Tech A"/>
    <s v="NHIA"/>
    <s v="Test-department mismatch; Sample-test status mismatch; Rejected sample with released result"/>
  </r>
  <r>
    <s v="S1536"/>
    <s v="P63434"/>
    <s v="Female"/>
    <n v="87"/>
    <x v="4"/>
    <s v="Blood"/>
    <x v="3"/>
    <d v="2026-04-29T00:00:00"/>
    <x v="0"/>
    <d v="1899-12-30T08:54:00"/>
    <n v="6"/>
    <d v="2026-04-29T00:00:00"/>
    <d v="1899-12-30T15:54:00"/>
    <n v="7"/>
    <x v="0"/>
    <s v="Accepted"/>
    <x v="0"/>
    <s v="Completed"/>
    <n v="40"/>
    <x v="1"/>
    <x v="0"/>
    <n v="2"/>
    <s v="Dr Adebayo"/>
    <x v="2"/>
    <s v="Tech C"/>
    <s v="NHIA"/>
    <s v="Test-department mismatch"/>
  </r>
  <r>
    <s v="S1537"/>
    <s v="P17369"/>
    <s v="Male"/>
    <n v="22"/>
    <x v="3"/>
    <s v="Blood"/>
    <x v="2"/>
    <d v="2026-04-20T00:00:00"/>
    <x v="0"/>
    <d v="1899-12-30T16:58:00"/>
    <n v="24"/>
    <d v="2026-04-21T00:00:00"/>
    <d v="1899-12-30T18:58:00"/>
    <n v="26"/>
    <x v="0"/>
    <s v="Accepted"/>
    <x v="0"/>
    <s v="Completed"/>
    <n v="50"/>
    <x v="1"/>
    <x v="1"/>
    <n v="3"/>
    <s v="Dr Ahmed"/>
    <x v="0"/>
    <s v="Tech B"/>
    <s v="HMO"/>
    <s v="Test-department mismatch"/>
  </r>
  <r>
    <s v="S1538"/>
    <s v="P58562"/>
    <s v="Male"/>
    <n v="25"/>
    <x v="5"/>
    <s v="Blood"/>
    <x v="1"/>
    <d v="2026-01-16T00:00:00"/>
    <x v="3"/>
    <d v="1899-12-30T16:50:00"/>
    <n v="4"/>
    <d v="2026-01-17T00:00:00"/>
    <d v="1899-12-30T04:50:00"/>
    <n v="12"/>
    <x v="0"/>
    <s v="Accepted"/>
    <x v="0"/>
    <s v="Completed"/>
    <n v="25"/>
    <x v="0"/>
    <x v="0"/>
    <n v="2"/>
    <s v="Dr Ahmed"/>
    <x v="1"/>
    <s v="Tech C"/>
    <s v="HMO"/>
    <s v="Test-department mismatch"/>
  </r>
  <r>
    <s v="S1539"/>
    <s v="P77826"/>
    <s v="Male"/>
    <n v="75"/>
    <x v="2"/>
    <s v="Urine"/>
    <x v="3"/>
    <d v="2026-03-12T00:00:00"/>
    <x v="1"/>
    <d v="1899-12-30T13:21:00"/>
    <n v="8"/>
    <d v="2026-03-13T00:00:00"/>
    <d v="1899-12-30T04:21:00"/>
    <n v="15"/>
    <x v="0"/>
    <s v="Accepted"/>
    <x v="0"/>
    <s v="Completed"/>
    <n v="20"/>
    <x v="1"/>
    <x v="0"/>
    <n v="5"/>
    <s v="Dr James"/>
    <x v="3"/>
    <s v="Tech A"/>
    <s v="Private"/>
    <s v=" "/>
  </r>
  <r>
    <s v="S1540"/>
    <s v="P40567"/>
    <s v="Male"/>
    <n v="14"/>
    <x v="0"/>
    <s v="Blood"/>
    <x v="0"/>
    <d v="2026-05-09T00:00:00"/>
    <x v="4"/>
    <d v="1899-12-30T10:42:00"/>
    <n v="5"/>
    <d v="2026-05-09T00:00:00"/>
    <d v="1899-12-30T18:42:00"/>
    <n v="8"/>
    <x v="0"/>
    <s v="Accepted"/>
    <x v="0"/>
    <s v="Completed"/>
    <n v="35"/>
    <x v="1"/>
    <x v="1"/>
    <n v="1"/>
    <s v="Dr Okafor"/>
    <x v="2"/>
    <s v="Tech C"/>
    <s v="HMO"/>
    <s v=" "/>
  </r>
  <r>
    <s v="S1541"/>
    <s v="P93636"/>
    <s v="Male"/>
    <n v="66"/>
    <x v="3"/>
    <s v="Blood"/>
    <x v="4"/>
    <d v="2026-02-17T00:00:00"/>
    <x v="5"/>
    <d v="1899-12-30T14:01:00"/>
    <n v="24"/>
    <d v="2026-02-18T00:00:00"/>
    <d v="1899-12-30T17:01:00"/>
    <n v="27"/>
    <x v="0"/>
    <s v="Accepted"/>
    <x v="0"/>
    <s v="Completed"/>
    <n v="50"/>
    <x v="0"/>
    <x v="0"/>
    <n v="2"/>
    <s v="Dr Adebayo"/>
    <x v="1"/>
    <s v="Tech B"/>
    <s v="HMO"/>
    <s v=" "/>
  </r>
  <r>
    <s v="S1542"/>
    <s v="P13275"/>
    <s v="Female"/>
    <n v="26"/>
    <x v="0"/>
    <s v="Blood"/>
    <x v="4"/>
    <d v="2026-06-10T00:00:00"/>
    <x v="2"/>
    <d v="1899-12-30T16:54:00"/>
    <n v="5"/>
    <d v="2026-06-10T00:00:00"/>
    <d v="1899-12-30T22:54:00"/>
    <n v="6"/>
    <x v="0"/>
    <s v="Accepted"/>
    <x v="0"/>
    <s v="Completed"/>
    <n v="35"/>
    <x v="0"/>
    <x v="2"/>
    <n v="3"/>
    <s v="Dr Ahmed"/>
    <x v="2"/>
    <s v="Tech C"/>
    <s v="NHIA"/>
    <s v="Test-department mismatch"/>
  </r>
  <r>
    <s v="S1543"/>
    <s v="P32354"/>
    <s v="Female"/>
    <n v="22"/>
    <x v="5"/>
    <s v="Blood"/>
    <x v="1"/>
    <d v="2026-06-15T00:00:00"/>
    <x v="2"/>
    <d v="1899-12-30T14:18:00"/>
    <n v="4"/>
    <d v="2026-06-15T00:00:00"/>
    <d v="1899-12-30T18:18:00"/>
    <n v="4"/>
    <x v="1"/>
    <s v="Accepted"/>
    <x v="0"/>
    <s v="Completed"/>
    <n v="25"/>
    <x v="0"/>
    <x v="0"/>
    <n v="2"/>
    <s v="Dr Adebayo"/>
    <x v="3"/>
    <s v="Tech C"/>
    <s v="NHIA"/>
    <s v="Test-department mismatch"/>
  </r>
  <r>
    <s v="S1544"/>
    <s v="P53297"/>
    <s v="Female"/>
    <n v="28"/>
    <x v="4"/>
    <s v="Blood"/>
    <x v="4"/>
    <d v="2026-06-16T00:00:00"/>
    <x v="2"/>
    <d v="1899-12-30T14:56:00"/>
    <n v="6"/>
    <d v="2026-06-17T00:00:00"/>
    <d v="1899-12-30T04:56:00"/>
    <n v="14"/>
    <x v="0"/>
    <s v="Accepted"/>
    <x v="0"/>
    <s v="Completed"/>
    <n v="40"/>
    <x v="1"/>
    <x v="2"/>
    <n v="2"/>
    <s v="Dr Okafor"/>
    <x v="2"/>
    <s v="Tech A"/>
    <s v="Private"/>
    <s v="Test-department mismatch"/>
  </r>
  <r>
    <s v="S1545"/>
    <s v="P17553"/>
    <s v="Male"/>
    <n v="71"/>
    <x v="1"/>
    <s v="Blood"/>
    <x v="2"/>
    <d v="2026-03-21T00:00:00"/>
    <x v="1"/>
    <d v="1899-12-30T15:01:00"/>
    <n v="3"/>
    <d v="2026-03-22T00:00:00"/>
    <d v="1899-12-30T00:01:00"/>
    <n v="9"/>
    <x v="0"/>
    <s v="Accepted"/>
    <x v="0"/>
    <s v="Completed"/>
    <n v="15"/>
    <x v="1"/>
    <x v="1"/>
    <n v="2"/>
    <s v="Dr Adebayo"/>
    <x v="2"/>
    <s v="Tech A"/>
    <s v="Private"/>
    <m/>
  </r>
  <r>
    <s v="S1546"/>
    <s v="P47711"/>
    <s v="Female"/>
    <n v="70"/>
    <x v="0"/>
    <s v="Blood"/>
    <x v="0"/>
    <d v="2026-03-13T00:00:00"/>
    <x v="1"/>
    <d v="1899-12-30T16:12:00"/>
    <n v="5"/>
    <d v="2026-03-14T00:00:00"/>
    <d v="1899-12-30T02:12:00"/>
    <n v="10"/>
    <x v="0"/>
    <s v="Accepted"/>
    <x v="0"/>
    <s v="Completed"/>
    <n v="35"/>
    <x v="0"/>
    <x v="2"/>
    <n v="5"/>
    <s v="Dr Okafor"/>
    <x v="2"/>
    <s v="Tech C"/>
    <s v="Private"/>
    <s v=" "/>
  </r>
  <r>
    <s v="S1547"/>
    <s v="P33717"/>
    <s v="Female"/>
    <n v="31"/>
    <x v="1"/>
    <s v="Blood"/>
    <x v="0"/>
    <d v="2026-06-10T00:00:00"/>
    <x v="2"/>
    <d v="1899-12-30T13:33:00"/>
    <n v="3"/>
    <d v="2026-06-10T00:00:00"/>
    <d v="1899-12-30T18:33:00"/>
    <n v="5"/>
    <x v="0"/>
    <s v="Accepted"/>
    <x v="0"/>
    <s v="Completed"/>
    <n v="15"/>
    <x v="1"/>
    <x v="2"/>
    <n v="1"/>
    <s v="Dr Okafor"/>
    <x v="0"/>
    <s v="Tech C"/>
    <s v="HMO"/>
    <s v="Test-department mismatch"/>
  </r>
  <r>
    <s v="S1548"/>
    <s v="P91810"/>
    <s v="Male"/>
    <n v="69"/>
    <x v="2"/>
    <s v="Urine"/>
    <x v="3"/>
    <d v="2026-03-31T00:00:00"/>
    <x v="1"/>
    <d v="1899-12-30T07:57:00"/>
    <n v="8"/>
    <d v="2026-03-31T00:00:00"/>
    <d v="1899-12-30T16:57:00"/>
    <n v="9"/>
    <x v="0"/>
    <s v="Accepted"/>
    <x v="0"/>
    <s v="Completed"/>
    <n v="20"/>
    <x v="0"/>
    <x v="0"/>
    <n v="5"/>
    <s v="Dr Okafor"/>
    <x v="2"/>
    <s v="Tech B"/>
    <s v="HMO"/>
    <s v=" "/>
  </r>
  <r>
    <s v="S1549"/>
    <s v="P46495"/>
    <s v="Male"/>
    <n v="9"/>
    <x v="4"/>
    <s v="Blood"/>
    <x v="0"/>
    <d v="2026-04-14T00:00:00"/>
    <x v="0"/>
    <d v="1899-12-30T09:59:00"/>
    <n v="6"/>
    <d v="2026-04-14T00:00:00"/>
    <d v="1899-12-30T15:59:00"/>
    <n v="6"/>
    <x v="1"/>
    <s v="Accepted"/>
    <x v="0"/>
    <s v="Completed"/>
    <n v="40"/>
    <x v="1"/>
    <x v="1"/>
    <n v="5"/>
    <s v="Dr Ahmed"/>
    <x v="2"/>
    <s v="Tech A"/>
    <s v="NHIA"/>
    <s v=" "/>
  </r>
  <r>
    <s v="S1550"/>
    <s v="P69168"/>
    <s v="Female"/>
    <n v="38"/>
    <x v="0"/>
    <s v="Blood"/>
    <x v="0"/>
    <d v="2026-04-02T00:00:00"/>
    <x v="0"/>
    <d v="1899-12-30T08:56:00"/>
    <n v="5"/>
    <d v="2026-04-02T00:00:00"/>
    <d v="1899-12-30T21:56:00"/>
    <n v="13"/>
    <x v="0"/>
    <s v="Accepted"/>
    <x v="0"/>
    <s v="Completed"/>
    <n v="35"/>
    <x v="1"/>
    <x v="2"/>
    <n v="3"/>
    <s v="Dr Adebayo"/>
    <x v="1"/>
    <s v="Tech B"/>
    <s v="Private"/>
    <s v=" "/>
  </r>
  <r>
    <s v="S1551"/>
    <s v="P98090"/>
    <s v="Male"/>
    <n v="74"/>
    <x v="0"/>
    <s v="Blood"/>
    <x v="0"/>
    <d v="2026-01-14T00:00:00"/>
    <x v="3"/>
    <d v="1899-12-30T13:04:00"/>
    <n v="5"/>
    <d v="2026-01-14T00:00:00"/>
    <d v="1899-12-30T21:04:00"/>
    <n v="8"/>
    <x v="0"/>
    <s v="Accepted"/>
    <x v="0"/>
    <s v="Completed"/>
    <n v="35"/>
    <x v="1"/>
    <x v="1"/>
    <n v="3"/>
    <s v="Dr Okafor"/>
    <x v="2"/>
    <s v="Tech B"/>
    <s v="Private"/>
    <s v=" "/>
  </r>
  <r>
    <s v="S1552"/>
    <s v="P80194"/>
    <s v="Male"/>
    <n v="39"/>
    <x v="4"/>
    <s v="Blood"/>
    <x v="0"/>
    <d v="2026-06-29T00:00:00"/>
    <x v="2"/>
    <d v="1899-12-30T09:33:00"/>
    <n v="6"/>
    <d v="2026-06-29T00:00:00"/>
    <d v="1899-12-30T14:33:00"/>
    <n v="5"/>
    <x v="1"/>
    <s v="Accepted"/>
    <x v="0"/>
    <s v="Completed"/>
    <n v="40"/>
    <x v="1"/>
    <x v="2"/>
    <n v="4"/>
    <s v="Dr James"/>
    <x v="2"/>
    <s v="Tech C"/>
    <s v="Private"/>
    <s v=" "/>
  </r>
  <r>
    <s v="S1553"/>
    <s v="P83480"/>
    <s v="Male"/>
    <n v="24"/>
    <x v="0"/>
    <s v="Blood"/>
    <x v="0"/>
    <d v="2026-04-14T00:00:00"/>
    <x v="0"/>
    <d v="1899-12-30T12:00:00"/>
    <n v="5"/>
    <d v="2026-04-14T00:00:00"/>
    <d v="1899-12-30T23:00:00"/>
    <n v="11"/>
    <x v="0"/>
    <s v="Accepted"/>
    <x v="0"/>
    <s v="Completed"/>
    <n v="35"/>
    <x v="1"/>
    <x v="0"/>
    <n v="2"/>
    <s v="Dr Okafor"/>
    <x v="3"/>
    <s v="Tech C"/>
    <s v="HMO"/>
    <s v=" "/>
  </r>
  <r>
    <s v="S1554"/>
    <s v="P70569"/>
    <s v="Female"/>
    <n v="20"/>
    <x v="0"/>
    <s v="Blood"/>
    <x v="0"/>
    <d v="2026-01-15T00:00:00"/>
    <x v="3"/>
    <d v="1899-12-30T07:48:00"/>
    <n v="5"/>
    <d v="2026-01-15T00:00:00"/>
    <d v="1899-12-30T20:48:00"/>
    <n v="13"/>
    <x v="0"/>
    <s v="Accepted"/>
    <x v="0"/>
    <s v="Completed"/>
    <n v="35"/>
    <x v="1"/>
    <x v="1"/>
    <n v="2"/>
    <s v="Dr James"/>
    <x v="3"/>
    <s v="Tech A"/>
    <s v="HMO"/>
    <s v=" "/>
  </r>
  <r>
    <s v="S1555"/>
    <s v="P23116"/>
    <s v="Female"/>
    <n v="90"/>
    <x v="3"/>
    <s v="Blood"/>
    <x v="3"/>
    <d v="2026-03-01T00:00:00"/>
    <x v="1"/>
    <d v="1899-12-30T14:40:00"/>
    <n v="24"/>
    <d v="2026-03-02T00:00:00"/>
    <d v="1899-12-30T16:40:00"/>
    <n v="26"/>
    <x v="0"/>
    <s v="Accepted"/>
    <x v="0"/>
    <s v="Completed"/>
    <n v="50"/>
    <x v="0"/>
    <x v="1"/>
    <n v="2"/>
    <s v="Dr Adebayo"/>
    <x v="0"/>
    <s v="Tech C"/>
    <s v="NHIA"/>
    <s v="Female patient with PSA test;Test-department mismatch"/>
  </r>
  <r>
    <s v="S1556"/>
    <s v="P94510"/>
    <s v="Female"/>
    <n v="83"/>
    <x v="1"/>
    <s v="Blood"/>
    <x v="2"/>
    <d v="2026-06-26T00:00:00"/>
    <x v="2"/>
    <d v="1899-12-30T11:44:00"/>
    <n v="3"/>
    <d v="2026-06-26T00:00:00"/>
    <d v="1899-12-30T22:44:00"/>
    <n v="11"/>
    <x v="0"/>
    <s v="Accepted"/>
    <x v="0"/>
    <s v="Completed"/>
    <n v="15"/>
    <x v="1"/>
    <x v="1"/>
    <n v="4"/>
    <s v="Dr Ahmed"/>
    <x v="3"/>
    <s v="Tech C"/>
    <s v="NHIA"/>
    <m/>
  </r>
  <r>
    <s v="S1557"/>
    <s v="P94418"/>
    <s v="Female"/>
    <n v="16"/>
    <x v="3"/>
    <s v="Blood"/>
    <x v="2"/>
    <d v="2026-01-26T00:00:00"/>
    <x v="3"/>
    <d v="1899-12-30T13:46:00"/>
    <n v="24"/>
    <d v="2026-01-27T00:00:00"/>
    <d v="1899-12-30T16:46:00"/>
    <n v="27"/>
    <x v="0"/>
    <s v="Accepted"/>
    <x v="0"/>
    <s v="Completed"/>
    <n v="50"/>
    <x v="1"/>
    <x v="0"/>
    <n v="5"/>
    <s v="Dr Ahmed"/>
    <x v="1"/>
    <s v="Tech A"/>
    <s v="NHIA"/>
    <s v="Female patient with PSA test; Suspicious Test-Age Combination;Test-department mismatch"/>
  </r>
  <r>
    <s v="S1558"/>
    <s v="P18495"/>
    <s v="Female"/>
    <n v="55"/>
    <x v="3"/>
    <s v="Blood"/>
    <x v="4"/>
    <d v="2026-05-16T00:00:00"/>
    <x v="4"/>
    <d v="1899-12-30T12:03:00"/>
    <n v="24"/>
    <d v="2026-05-17T00:00:00"/>
    <d v="1899-12-30T15:03:00"/>
    <n v="27"/>
    <x v="0"/>
    <s v="Accepted"/>
    <x v="0"/>
    <s v="Completed"/>
    <n v="50"/>
    <x v="0"/>
    <x v="1"/>
    <n v="2"/>
    <s v="Dr James"/>
    <x v="2"/>
    <s v="Tech C"/>
    <s v="Private"/>
    <s v="Female patient with PSA test"/>
  </r>
  <r>
    <s v="S1559"/>
    <s v="P51194"/>
    <s v="Male"/>
    <n v="7"/>
    <x v="3"/>
    <s v="Blood"/>
    <x v="1"/>
    <d v="2026-01-20T00:00:00"/>
    <x v="3"/>
    <d v="1899-12-30T13:16:00"/>
    <n v="24"/>
    <d v="2026-01-21T00:00:00"/>
    <d v="1899-12-30T19:16:00"/>
    <n v="30"/>
    <x v="0"/>
    <s v="Accepted"/>
    <x v="0"/>
    <s v="Completed"/>
    <n v="50"/>
    <x v="1"/>
    <x v="0"/>
    <n v="1"/>
    <s v="Dr Ahmed"/>
    <x v="3"/>
    <s v="Tech A"/>
    <s v="HMO"/>
    <s v="Suspicious Test-Age Combination;Test-department mismatch"/>
  </r>
  <r>
    <s v="S1560"/>
    <s v="P82090"/>
    <s v="Female"/>
    <n v="41"/>
    <x v="5"/>
    <s v="Blood"/>
    <x v="0"/>
    <d v="2026-03-20T00:00:00"/>
    <x v="1"/>
    <d v="1899-12-30T15:40:00"/>
    <n v="4"/>
    <d v="2026-03-21T00:00:00"/>
    <d v="1899-12-30T02:40:00"/>
    <n v="11"/>
    <x v="0"/>
    <s v="Accepted"/>
    <x v="0"/>
    <s v="Completed"/>
    <n v="25"/>
    <x v="1"/>
    <x v="2"/>
    <n v="2"/>
    <s v="Dr Adebayo"/>
    <x v="3"/>
    <s v="Tech B"/>
    <s v="Private"/>
    <s v="Test-department mismatch"/>
  </r>
  <r>
    <s v="S1561"/>
    <s v="P58782"/>
    <s v="Female"/>
    <n v="22"/>
    <x v="4"/>
    <s v="Blood"/>
    <x v="1"/>
    <d v="2026-04-17T00:00:00"/>
    <x v="0"/>
    <d v="1899-12-30T12:47:00"/>
    <n v="6"/>
    <d v="2026-04-18T00:00:00"/>
    <d v="1899-12-30T02:47:00"/>
    <n v="14"/>
    <x v="0"/>
    <s v="Accepted"/>
    <x v="0"/>
    <s v="Completed"/>
    <n v="40"/>
    <x v="1"/>
    <x v="0"/>
    <n v="1"/>
    <s v="Dr Adebayo"/>
    <x v="0"/>
    <s v="Tech C"/>
    <s v="Private"/>
    <s v="Test-department mismatch"/>
  </r>
  <r>
    <s v="S1562"/>
    <s v="P70276"/>
    <s v="Female"/>
    <n v="85"/>
    <x v="4"/>
    <s v="Blood"/>
    <x v="0"/>
    <d v="2026-03-26T00:00:00"/>
    <x v="1"/>
    <d v="1899-12-30T08:32:00"/>
    <n v="6"/>
    <d v="2026-03-26T00:00:00"/>
    <d v="1899-12-30T16:32:00"/>
    <n v="8"/>
    <x v="0"/>
    <s v="Accepted"/>
    <x v="0"/>
    <s v="Completed"/>
    <n v="40"/>
    <x v="0"/>
    <x v="0"/>
    <n v="4"/>
    <s v="Dr James"/>
    <x v="1"/>
    <s v="Tech A"/>
    <s v="HMO"/>
    <s v=" "/>
  </r>
  <r>
    <s v="S1563"/>
    <s v="P26479"/>
    <s v="Male"/>
    <n v="43"/>
    <x v="5"/>
    <s v="Blood"/>
    <x v="1"/>
    <d v="2026-02-13T00:00:00"/>
    <x v="5"/>
    <d v="1899-12-30T08:25:00"/>
    <n v="4"/>
    <d v="2026-02-13T00:00:00"/>
    <d v="1899-12-30T14:25:00"/>
    <n v="6"/>
    <x v="0"/>
    <s v="Rejected"/>
    <x v="1"/>
    <s v="Completed"/>
    <n v="25"/>
    <x v="1"/>
    <x v="1"/>
    <n v="3"/>
    <s v="Dr James"/>
    <x v="3"/>
    <s v="Tech A"/>
    <s v="NHIA"/>
    <s v="Test-department mismatch; Sample-test status mismatch; Rejected sample with released result"/>
  </r>
  <r>
    <s v="S1564"/>
    <s v="P98730"/>
    <s v="Female"/>
    <n v="19"/>
    <x v="3"/>
    <s v="Blood"/>
    <x v="4"/>
    <d v="2026-03-27T00:00:00"/>
    <x v="1"/>
    <d v="1899-12-30T10:16:00"/>
    <n v="24"/>
    <d v="2026-03-28T00:00:00"/>
    <d v="1899-12-30T13:16:00"/>
    <n v="27"/>
    <x v="0"/>
    <s v="Accepted"/>
    <x v="0"/>
    <s v="Completed"/>
    <n v="50"/>
    <x v="0"/>
    <x v="2"/>
    <n v="3"/>
    <s v="Dr Adebayo"/>
    <x v="3"/>
    <s v="Tech B"/>
    <s v="HMO"/>
    <s v="Female patient with PSA test; Suspicious Test-Age Combination"/>
  </r>
  <r>
    <s v="S1565"/>
    <s v="P93092"/>
    <s v="Male"/>
    <n v="13"/>
    <x v="4"/>
    <s v="Blood"/>
    <x v="0"/>
    <d v="2026-05-03T00:00:00"/>
    <x v="4"/>
    <d v="1899-12-30T09:32:00"/>
    <n v="6"/>
    <d v="2026-05-03T00:00:00"/>
    <d v="1899-12-30T19:32:00"/>
    <n v="10"/>
    <x v="0"/>
    <s v="Accepted"/>
    <x v="0"/>
    <s v="Completed"/>
    <n v="40"/>
    <x v="1"/>
    <x v="0"/>
    <n v="1"/>
    <s v="Dr James"/>
    <x v="1"/>
    <s v="Tech B"/>
    <s v="Private"/>
    <s v=" "/>
  </r>
  <r>
    <s v="S1566"/>
    <s v="P80447"/>
    <s v="Male"/>
    <n v="20"/>
    <x v="3"/>
    <s v="Blood"/>
    <x v="0"/>
    <d v="2026-04-21T00:00:00"/>
    <x v="0"/>
    <d v="1899-12-30T15:11:00"/>
    <n v="24"/>
    <d v="2026-04-22T00:00:00"/>
    <d v="1899-12-30T16:11:00"/>
    <n v="25"/>
    <x v="0"/>
    <s v="Rejected"/>
    <x v="4"/>
    <s v="Completed"/>
    <n v="50"/>
    <x v="0"/>
    <x v="1"/>
    <n v="1"/>
    <s v="Dr Ahmed"/>
    <x v="2"/>
    <s v="Tech A"/>
    <s v="NHIA"/>
    <s v="Test-department mismatch; Sample-test status mismatch; Rejected sample with released result"/>
  </r>
  <r>
    <s v="S1567"/>
    <s v="P39311"/>
    <s v="Female"/>
    <n v="76"/>
    <x v="1"/>
    <s v="Blood"/>
    <x v="1"/>
    <d v="2026-03-05T00:00:00"/>
    <x v="1"/>
    <d v="1899-12-30T13:55:00"/>
    <n v="3"/>
    <d v="2026-03-05T00:00:00"/>
    <d v="1899-12-30T15:55:00"/>
    <n v="2"/>
    <x v="1"/>
    <s v="Accepted"/>
    <x v="0"/>
    <s v="Completed"/>
    <n v="15"/>
    <x v="1"/>
    <x v="2"/>
    <n v="5"/>
    <s v="Dr Okafor"/>
    <x v="3"/>
    <s v="Tech B"/>
    <s v="NHIA"/>
    <s v="Test-department mismatch"/>
  </r>
  <r>
    <s v="S1568"/>
    <s v="P35965"/>
    <s v="Female"/>
    <n v="13"/>
    <x v="5"/>
    <s v="Blood"/>
    <x v="1"/>
    <d v="2026-02-06T00:00:00"/>
    <x v="5"/>
    <d v="1899-12-30T16:48:00"/>
    <n v="4"/>
    <d v="2026-02-06T00:00:00"/>
    <d v="1899-12-30T19:48:00"/>
    <n v="3"/>
    <x v="1"/>
    <s v="Accepted"/>
    <x v="0"/>
    <s v="Completed"/>
    <n v="25"/>
    <x v="1"/>
    <x v="0"/>
    <n v="1"/>
    <s v="Dr Okafor"/>
    <x v="0"/>
    <s v="Tech B"/>
    <s v="NHIA"/>
    <s v="Test-department mismatch"/>
  </r>
  <r>
    <s v="S1569"/>
    <s v="P75782"/>
    <s v="Male"/>
    <n v="20"/>
    <x v="0"/>
    <s v="Blood"/>
    <x v="0"/>
    <d v="2026-01-07T00:00:00"/>
    <x v="3"/>
    <d v="1899-12-30T10:50:00"/>
    <n v="5"/>
    <d v="2026-01-07T00:00:00"/>
    <d v="1899-12-30T22:50:00"/>
    <n v="12"/>
    <x v="0"/>
    <s v="Accepted"/>
    <x v="0"/>
    <s v="Completed"/>
    <n v="35"/>
    <x v="1"/>
    <x v="0"/>
    <n v="5"/>
    <s v="Dr Adebayo"/>
    <x v="3"/>
    <s v="Tech B"/>
    <s v="NHIA"/>
    <s v=" "/>
  </r>
  <r>
    <s v="S1570"/>
    <s v="P92743"/>
    <s v="Male"/>
    <n v="63"/>
    <x v="1"/>
    <s v="Blood"/>
    <x v="0"/>
    <d v="2026-05-18T00:00:00"/>
    <x v="4"/>
    <d v="1899-12-30T09:41:00"/>
    <n v="3"/>
    <d v="2026-05-18T00:00:00"/>
    <d v="1899-12-30T11:41:00"/>
    <n v="2"/>
    <x v="1"/>
    <s v="Accepted"/>
    <x v="0"/>
    <s v="Completed"/>
    <n v="15"/>
    <x v="0"/>
    <x v="0"/>
    <n v="3"/>
    <s v="Dr Okafor"/>
    <x v="2"/>
    <s v="Tech B"/>
    <s v="Private"/>
    <s v="Test-department mismatch"/>
  </r>
  <r>
    <s v="S1571"/>
    <s v="P22868"/>
    <s v="Male"/>
    <n v="30"/>
    <x v="5"/>
    <s v="Blood"/>
    <x v="3"/>
    <d v="2026-03-25T00:00:00"/>
    <x v="1"/>
    <d v="1899-12-30T16:23:00"/>
    <n v="4"/>
    <d v="2026-03-25T00:00:00"/>
    <d v="1899-12-30T20:23:00"/>
    <n v="4"/>
    <x v="1"/>
    <s v="Accepted"/>
    <x v="0"/>
    <s v="Completed"/>
    <n v="25"/>
    <x v="1"/>
    <x v="2"/>
    <n v="3"/>
    <s v="Dr Ahmed"/>
    <x v="1"/>
    <s v="Tech C"/>
    <s v="Private"/>
    <s v="Test-department mismatch"/>
  </r>
  <r>
    <s v="S1572"/>
    <s v="P42703"/>
    <s v="Male"/>
    <n v="76"/>
    <x v="4"/>
    <s v="Blood"/>
    <x v="0"/>
    <d v="2026-04-01T00:00:00"/>
    <x v="0"/>
    <d v="1899-12-30T15:49:00"/>
    <n v="6"/>
    <d v="2026-04-02T00:00:00"/>
    <d v="1899-12-30T01:49:00"/>
    <n v="10"/>
    <x v="0"/>
    <s v="Accepted"/>
    <x v="0"/>
    <s v="Completed"/>
    <n v="40"/>
    <x v="1"/>
    <x v="0"/>
    <n v="3"/>
    <s v="Dr James"/>
    <x v="2"/>
    <s v="Tech A"/>
    <s v="HMO"/>
    <s v=" "/>
  </r>
  <r>
    <s v="S1573"/>
    <s v="P55456"/>
    <s v="Female"/>
    <n v="77"/>
    <x v="4"/>
    <s v="Blood"/>
    <x v="2"/>
    <d v="2026-06-14T00:00:00"/>
    <x v="2"/>
    <d v="1899-12-30T10:24:00"/>
    <n v="6"/>
    <d v="2026-06-14T00:00:00"/>
    <d v="1899-12-30T23:24:00"/>
    <n v="13"/>
    <x v="0"/>
    <s v="Accepted"/>
    <x v="0"/>
    <s v="Completed"/>
    <n v="40"/>
    <x v="1"/>
    <x v="1"/>
    <n v="1"/>
    <s v="Dr Ahmed"/>
    <x v="1"/>
    <s v="Tech A"/>
    <s v="HMO"/>
    <s v="Test-department mismatch"/>
  </r>
  <r>
    <s v="S1574"/>
    <s v="P95047"/>
    <s v="Female"/>
    <n v="16"/>
    <x v="3"/>
    <s v="Blood"/>
    <x v="4"/>
    <d v="2026-04-10T00:00:00"/>
    <x v="0"/>
    <d v="1899-12-30T10:04:00"/>
    <n v="24"/>
    <d v="2026-04-11T00:00:00"/>
    <d v="1899-12-30T13:04:00"/>
    <n v="27"/>
    <x v="0"/>
    <s v="Accepted"/>
    <x v="0"/>
    <s v="Completed"/>
    <n v="50"/>
    <x v="0"/>
    <x v="0"/>
    <n v="4"/>
    <s v="Dr Ahmed"/>
    <x v="1"/>
    <s v="Tech B"/>
    <s v="HMO"/>
    <s v="Female patient with PSA test; Suspicious Test-Age Combination"/>
  </r>
  <r>
    <s v="S1575"/>
    <s v="P71060"/>
    <s v="Female"/>
    <n v="59"/>
    <x v="3"/>
    <s v="Blood"/>
    <x v="4"/>
    <d v="2026-01-05T00:00:00"/>
    <x v="3"/>
    <d v="1899-12-30T11:42:00"/>
    <n v="24"/>
    <d v="2026-01-06T00:00:00"/>
    <d v="1899-12-30T12:42:00"/>
    <n v="25"/>
    <x v="0"/>
    <s v="Accepted"/>
    <x v="0"/>
    <s v="Completed"/>
    <n v="50"/>
    <x v="1"/>
    <x v="0"/>
    <n v="3"/>
    <s v="Dr Adebayo"/>
    <x v="1"/>
    <s v="Tech A"/>
    <s v="HMO"/>
    <s v="Female patient with PSA test"/>
  </r>
  <r>
    <s v="S1576"/>
    <s v="P32790"/>
    <s v="Female"/>
    <n v="81"/>
    <x v="3"/>
    <s v="Blood"/>
    <x v="4"/>
    <d v="2026-03-06T00:00:00"/>
    <x v="1"/>
    <d v="1899-12-30T10:56:00"/>
    <n v="24"/>
    <d v="2026-03-07T00:00:00"/>
    <d v="1899-12-30T18:56:00"/>
    <n v="32"/>
    <x v="0"/>
    <s v="Accepted"/>
    <x v="0"/>
    <s v="Completed"/>
    <n v="50"/>
    <x v="1"/>
    <x v="0"/>
    <n v="4"/>
    <s v="Dr Okafor"/>
    <x v="2"/>
    <s v="Tech C"/>
    <s v="Private"/>
    <s v="Female patient with PSA test"/>
  </r>
  <r>
    <s v="S1577"/>
    <s v="P39306"/>
    <s v="Female"/>
    <n v="68"/>
    <x v="5"/>
    <s v="Blood"/>
    <x v="0"/>
    <d v="2026-04-20T00:00:00"/>
    <x v="0"/>
    <d v="1899-12-30T14:19:00"/>
    <n v="4"/>
    <d v="2026-04-20T00:00:00"/>
    <d v="1899-12-30T18:19:00"/>
    <n v="4"/>
    <x v="1"/>
    <s v="Accepted"/>
    <x v="0"/>
    <s v="Completed"/>
    <n v="25"/>
    <x v="0"/>
    <x v="1"/>
    <n v="1"/>
    <s v="Dr Ahmed"/>
    <x v="0"/>
    <s v="Tech C"/>
    <s v="HMO"/>
    <s v="Test-department mismatch"/>
  </r>
  <r>
    <s v="S1578"/>
    <s v="P72662"/>
    <s v="Female"/>
    <n v="90"/>
    <x v="3"/>
    <s v="Blood"/>
    <x v="4"/>
    <d v="2026-05-30T00:00:00"/>
    <x v="4"/>
    <d v="1899-12-30T15:59:00"/>
    <n v="24"/>
    <d v="2026-05-31T00:00:00"/>
    <d v="1899-12-30T20:59:00"/>
    <n v="29"/>
    <x v="0"/>
    <s v="Accepted"/>
    <x v="0"/>
    <s v="Completed"/>
    <n v="50"/>
    <x v="1"/>
    <x v="2"/>
    <n v="1"/>
    <s v="Dr Adebayo"/>
    <x v="0"/>
    <s v="Tech A"/>
    <s v="HMO"/>
    <s v="Female patient with PSA test"/>
  </r>
  <r>
    <s v="S1579"/>
    <s v="P43139"/>
    <s v="Male"/>
    <n v="81"/>
    <x v="2"/>
    <s v="Urine"/>
    <x v="0"/>
    <d v="2026-04-30T00:00:00"/>
    <x v="0"/>
    <d v="1899-12-30T07:57:00"/>
    <n v="8"/>
    <d v="2026-04-30T00:00:00"/>
    <d v="1899-12-30T15:57:00"/>
    <n v="8"/>
    <x v="1"/>
    <s v="Rejected"/>
    <x v="4"/>
    <s v="Completed"/>
    <n v="20"/>
    <x v="1"/>
    <x v="0"/>
    <n v="3"/>
    <s v="Dr Ahmed"/>
    <x v="3"/>
    <s v="Tech B"/>
    <s v="NHIA"/>
    <s v="Test-department mismatch; Sample-test status mismatch; Rejected sample with released result"/>
  </r>
  <r>
    <s v="S1580"/>
    <s v="P23409"/>
    <s v="Male"/>
    <n v="17"/>
    <x v="3"/>
    <s v="Blood"/>
    <x v="1"/>
    <d v="2026-06-23T00:00:00"/>
    <x v="2"/>
    <d v="1899-12-30T11:59:00"/>
    <n v="24"/>
    <d v="2026-06-24T00:00:00"/>
    <d v="1899-12-30T13:59:00"/>
    <n v="26"/>
    <x v="0"/>
    <s v="Accepted"/>
    <x v="0"/>
    <s v="Completed"/>
    <n v="50"/>
    <x v="1"/>
    <x v="1"/>
    <n v="5"/>
    <s v="Dr Okafor"/>
    <x v="1"/>
    <s v="Tech A"/>
    <s v="NHIA"/>
    <s v="Suspicious Test-Age Combination; Suspicious Test-Age Combination;Test-department mismatch"/>
  </r>
  <r>
    <s v="S1581"/>
    <s v="P17682"/>
    <s v="Male"/>
    <n v="85"/>
    <x v="2"/>
    <s v="Urine"/>
    <x v="4"/>
    <d v="2026-06-10T00:00:00"/>
    <x v="2"/>
    <d v="1899-12-30T15:45:00"/>
    <n v="8"/>
    <d v="2026-06-11T00:00:00"/>
    <d v="1899-12-30T03:45:00"/>
    <n v="12"/>
    <x v="0"/>
    <s v="Accepted"/>
    <x v="0"/>
    <s v="Completed"/>
    <n v="20"/>
    <x v="0"/>
    <x v="2"/>
    <n v="1"/>
    <s v="Dr James"/>
    <x v="3"/>
    <s v="Tech C"/>
    <s v="HMO"/>
    <s v="Test-department mismatch"/>
  </r>
  <r>
    <s v="S1582"/>
    <s v="P64898"/>
    <s v="Female"/>
    <n v="12"/>
    <x v="3"/>
    <s v="Blood"/>
    <x v="4"/>
    <d v="2026-01-20T00:00:00"/>
    <x v="3"/>
    <d v="1899-12-30T07:04:00"/>
    <n v="24"/>
    <d v="2026-01-21T00:00:00"/>
    <d v="1899-12-30T10:04:00"/>
    <n v="27"/>
    <x v="0"/>
    <s v="Rejected"/>
    <x v="4"/>
    <s v="Completed"/>
    <n v="50"/>
    <x v="1"/>
    <x v="0"/>
    <n v="1"/>
    <s v="Dr James"/>
    <x v="2"/>
    <s v="Tech B"/>
    <s v="Private"/>
    <s v="Female patient with PSA test; Sample-test status mismatch; Rejected sample with released resultSuspicious Test-Age Combination"/>
  </r>
  <r>
    <s v="S1583"/>
    <s v="P35465"/>
    <s v="Male"/>
    <n v="59"/>
    <x v="4"/>
    <s v="Blood"/>
    <x v="0"/>
    <d v="2026-05-19T00:00:00"/>
    <x v="4"/>
    <d v="1899-12-30T14:45:00"/>
    <n v="6"/>
    <d v="2026-05-19T00:00:00"/>
    <d v="1899-12-30T23:45:00"/>
    <n v="9"/>
    <x v="0"/>
    <s v="Accepted"/>
    <x v="0"/>
    <s v="Completed"/>
    <n v="40"/>
    <x v="1"/>
    <x v="1"/>
    <n v="3"/>
    <s v="Dr Ahmed"/>
    <x v="2"/>
    <s v="Tech C"/>
    <s v="NHIA"/>
    <s v=" "/>
  </r>
  <r>
    <s v="S1584"/>
    <s v="P85503"/>
    <s v="Female"/>
    <n v="87"/>
    <x v="3"/>
    <s v="Blood"/>
    <x v="4"/>
    <d v="2026-04-11T00:00:00"/>
    <x v="0"/>
    <d v="1899-12-30T15:02:00"/>
    <n v="24"/>
    <d v="2026-04-12T00:00:00"/>
    <d v="1899-12-30T14:02:00"/>
    <n v="23"/>
    <x v="1"/>
    <s v="Accepted"/>
    <x v="0"/>
    <s v="Completed"/>
    <n v="50"/>
    <x v="1"/>
    <x v="2"/>
    <n v="2"/>
    <s v="Dr Okafor"/>
    <x v="2"/>
    <s v="Tech C"/>
    <s v="NHIA"/>
    <s v="Female patient with PSA test"/>
  </r>
  <r>
    <s v="S1585"/>
    <s v="P87584"/>
    <s v="Female"/>
    <n v="45"/>
    <x v="3"/>
    <s v="Blood"/>
    <x v="4"/>
    <d v="2026-01-28T00:00:00"/>
    <x v="3"/>
    <d v="1899-12-30T08:52:00"/>
    <n v="24"/>
    <d v="2026-01-29T00:00:00"/>
    <d v="1899-12-30T15:52:00"/>
    <n v="31"/>
    <x v="0"/>
    <s v="Accepted"/>
    <x v="0"/>
    <s v="Completed"/>
    <n v="50"/>
    <x v="1"/>
    <x v="2"/>
    <n v="1"/>
    <s v="Dr Okafor"/>
    <x v="1"/>
    <s v="Tech A"/>
    <s v="NHIA"/>
    <s v="Female patient with PSA test"/>
  </r>
  <r>
    <s v="S1586"/>
    <s v="P38183"/>
    <s v="Male"/>
    <n v="54"/>
    <x v="0"/>
    <s v="Blood"/>
    <x v="0"/>
    <d v="2026-01-06T00:00:00"/>
    <x v="3"/>
    <d v="1899-12-30T08:07:00"/>
    <n v="5"/>
    <d v="2026-01-06T00:00:00"/>
    <d v="1899-12-30T15:07:00"/>
    <n v="7"/>
    <x v="0"/>
    <s v="Accepted"/>
    <x v="0"/>
    <s v="Completed"/>
    <n v="35"/>
    <x v="0"/>
    <x v="0"/>
    <n v="2"/>
    <s v="Dr Adebayo"/>
    <x v="2"/>
    <s v="Tech B"/>
    <s v="NHIA"/>
    <s v=" "/>
  </r>
  <r>
    <s v="S1587"/>
    <s v="P25914"/>
    <s v="Male"/>
    <n v="65"/>
    <x v="3"/>
    <s v="Blood"/>
    <x v="4"/>
    <d v="2026-06-26T00:00:00"/>
    <x v="2"/>
    <d v="1899-12-30T09:13:00"/>
    <n v="24"/>
    <d v="2026-06-27T00:00:00"/>
    <d v="1899-12-30T15:13:00"/>
    <n v="30"/>
    <x v="0"/>
    <s v="Accepted"/>
    <x v="0"/>
    <s v="Completed"/>
    <n v="50"/>
    <x v="1"/>
    <x v="0"/>
    <n v="4"/>
    <s v="Dr Ahmed"/>
    <x v="3"/>
    <s v="Tech A"/>
    <s v="NHIA"/>
    <s v=" "/>
  </r>
  <r>
    <s v="S1588"/>
    <s v="P42160"/>
    <s v="Female"/>
    <n v="41"/>
    <x v="2"/>
    <s v="Urine"/>
    <x v="2"/>
    <d v="2026-05-24T00:00:00"/>
    <x v="4"/>
    <d v="1899-12-30T11:52:00"/>
    <n v="8"/>
    <d v="2026-05-25T00:00:00"/>
    <d v="1899-12-30T02:52:00"/>
    <n v="15"/>
    <x v="0"/>
    <s v="Rejected"/>
    <x v="3"/>
    <s v="Completed"/>
    <n v="20"/>
    <x v="1"/>
    <x v="0"/>
    <n v="5"/>
    <s v="Dr James"/>
    <x v="0"/>
    <s v="Tech C"/>
    <s v="NHIA"/>
    <s v="Test-department mismatch; Sample-test status mismatch; Rejected sample with released result"/>
  </r>
  <r>
    <s v="S1589"/>
    <s v="P65158"/>
    <s v="Female"/>
    <n v="79"/>
    <x v="4"/>
    <s v="Blood"/>
    <x v="1"/>
    <d v="2026-02-22T00:00:00"/>
    <x v="5"/>
    <d v="1899-12-30T08:39:00"/>
    <n v="6"/>
    <d v="2026-02-22T00:00:00"/>
    <d v="1899-12-30T22:39:00"/>
    <n v="14"/>
    <x v="0"/>
    <s v="Accepted"/>
    <x v="0"/>
    <s v="Completed"/>
    <n v="40"/>
    <x v="1"/>
    <x v="0"/>
    <n v="4"/>
    <s v="Dr Okafor"/>
    <x v="2"/>
    <s v="Tech C"/>
    <s v="NHIA"/>
    <s v="Test-department mismatch"/>
  </r>
  <r>
    <s v="S1590"/>
    <s v="P63517"/>
    <s v="Male"/>
    <n v="89"/>
    <x v="4"/>
    <s v="Blood"/>
    <x v="0"/>
    <d v="2026-03-06T00:00:00"/>
    <x v="1"/>
    <d v="1899-12-30T11:10:00"/>
    <n v="6"/>
    <d v="2026-03-06T00:00:00"/>
    <d v="1899-12-30T22:10:00"/>
    <n v="11"/>
    <x v="0"/>
    <s v="Accepted"/>
    <x v="0"/>
    <s v="Completed"/>
    <n v="40"/>
    <x v="1"/>
    <x v="2"/>
    <n v="4"/>
    <s v="Dr Okafor"/>
    <x v="0"/>
    <s v="Tech A"/>
    <s v="NHIA"/>
    <s v=" "/>
  </r>
  <r>
    <s v="S1591"/>
    <s v="P17525"/>
    <s v="Female"/>
    <n v="22"/>
    <x v="1"/>
    <s v="Blood"/>
    <x v="3"/>
    <d v="2026-05-25T00:00:00"/>
    <x v="4"/>
    <d v="1899-12-30T08:40:00"/>
    <n v="3"/>
    <d v="2026-05-25T00:00:00"/>
    <d v="1899-12-30T12:40:00"/>
    <n v="4"/>
    <x v="0"/>
    <s v="Accepted"/>
    <x v="0"/>
    <s v="Completed"/>
    <n v="15"/>
    <x v="0"/>
    <x v="2"/>
    <n v="4"/>
    <s v="Dr Adebayo"/>
    <x v="2"/>
    <s v="Tech B"/>
    <s v="NHIA"/>
    <s v="Test-department mismatch"/>
  </r>
  <r>
    <s v="S1592"/>
    <s v="P82629"/>
    <s v="Male"/>
    <n v="60"/>
    <x v="5"/>
    <s v="Blood"/>
    <x v="1"/>
    <d v="2026-04-02T00:00:00"/>
    <x v="0"/>
    <d v="1899-12-30T11:23:00"/>
    <n v="4"/>
    <d v="2026-04-02T00:00:00"/>
    <d v="1899-12-30T19:23:00"/>
    <n v="8"/>
    <x v="0"/>
    <s v="Accepted"/>
    <x v="0"/>
    <s v="Completed"/>
    <n v="25"/>
    <x v="0"/>
    <x v="0"/>
    <n v="1"/>
    <s v="Dr James"/>
    <x v="3"/>
    <s v="Tech A"/>
    <s v="NHIA"/>
    <s v="Test-department mismatch"/>
  </r>
  <r>
    <s v="S1593"/>
    <s v="P42293"/>
    <s v="Male"/>
    <n v="33"/>
    <x v="3"/>
    <s v="Blood"/>
    <x v="3"/>
    <d v="2026-02-07T00:00:00"/>
    <x v="5"/>
    <d v="1899-12-30T07:19:00"/>
    <n v="24"/>
    <d v="2026-02-08T00:00:00"/>
    <d v="1899-12-30T07:19:00"/>
    <n v="24"/>
    <x v="1"/>
    <s v="Accepted"/>
    <x v="0"/>
    <s v="Completed"/>
    <n v="50"/>
    <x v="1"/>
    <x v="0"/>
    <n v="3"/>
    <s v="Dr Ahmed"/>
    <x v="0"/>
    <s v="Tech A"/>
    <s v="HMO"/>
    <s v="Test-department mismatch"/>
  </r>
  <r>
    <s v="S1594"/>
    <s v="P37882"/>
    <s v="Male"/>
    <n v="89"/>
    <x v="1"/>
    <s v="Blood"/>
    <x v="2"/>
    <d v="2026-05-10T00:00:00"/>
    <x v="4"/>
    <d v="1899-12-30T16:13:00"/>
    <n v="3"/>
    <d v="2026-05-10T00:00:00"/>
    <d v="1899-12-30T23:13:00"/>
    <n v="7"/>
    <x v="0"/>
    <s v="Accepted"/>
    <x v="0"/>
    <s v="Pending"/>
    <n v="15"/>
    <x v="1"/>
    <x v="1"/>
    <n v="3"/>
    <s v="Dr James"/>
    <x v="3"/>
    <s v="Tech C"/>
    <s v="Private"/>
    <s v=" Pending test with released result"/>
  </r>
  <r>
    <s v="S1595"/>
    <s v="P71185"/>
    <s v="Female"/>
    <n v="85"/>
    <x v="5"/>
    <s v="Blood"/>
    <x v="1"/>
    <d v="2026-06-27T00:00:00"/>
    <x v="2"/>
    <d v="1899-12-30T07:05:00"/>
    <n v="4"/>
    <d v="2026-06-27T00:00:00"/>
    <d v="1899-12-30T16:05:00"/>
    <n v="9"/>
    <x v="0"/>
    <s v="Accepted"/>
    <x v="0"/>
    <s v="Completed"/>
    <n v="25"/>
    <x v="0"/>
    <x v="0"/>
    <n v="2"/>
    <s v="Dr Adebayo"/>
    <x v="0"/>
    <s v="Tech B"/>
    <s v="NHIA"/>
    <s v="Test-department mismatch"/>
  </r>
  <r>
    <s v="S1596"/>
    <s v="P56859"/>
    <s v="Female"/>
    <n v="35"/>
    <x v="5"/>
    <s v="Blood"/>
    <x v="1"/>
    <d v="2026-01-27T00:00:00"/>
    <x v="3"/>
    <d v="1899-12-30T09:35:00"/>
    <n v="4"/>
    <d v="2026-01-27T00:00:00"/>
    <d v="1899-12-30T12:35:00"/>
    <n v="3"/>
    <x v="1"/>
    <s v="Accepted"/>
    <x v="0"/>
    <s v="Completed"/>
    <n v="25"/>
    <x v="1"/>
    <x v="0"/>
    <n v="1"/>
    <s v="Dr Adebayo"/>
    <x v="2"/>
    <s v="Tech B"/>
    <s v="NHIA"/>
    <s v="Test-department mismatch"/>
  </r>
  <r>
    <s v="S1597"/>
    <s v="P85342"/>
    <s v="Male"/>
    <n v="1"/>
    <x v="1"/>
    <s v="Blood"/>
    <x v="2"/>
    <d v="2026-02-20T00:00:00"/>
    <x v="5"/>
    <d v="1899-12-30T08:22:00"/>
    <n v="3"/>
    <d v="2026-02-20T00:00:00"/>
    <d v="1899-12-30T17:22:00"/>
    <n v="9"/>
    <x v="0"/>
    <s v="Accepted"/>
    <x v="0"/>
    <s v="Completed"/>
    <n v="15"/>
    <x v="0"/>
    <x v="1"/>
    <n v="1"/>
    <s v="Dr Adebayo"/>
    <x v="3"/>
    <s v="Tech B"/>
    <s v="Private"/>
    <m/>
  </r>
  <r>
    <s v="S1598"/>
    <s v="P58160"/>
    <s v="Male"/>
    <n v="31"/>
    <x v="2"/>
    <s v="Urine"/>
    <x v="3"/>
    <d v="2026-05-13T00:00:00"/>
    <x v="4"/>
    <d v="1899-12-30T12:38:00"/>
    <n v="8"/>
    <d v="2026-05-13T00:00:00"/>
    <d v="1899-12-30T22:38:00"/>
    <n v="10"/>
    <x v="0"/>
    <s v="Accepted"/>
    <x v="0"/>
    <s v="Completed"/>
    <n v="20"/>
    <x v="1"/>
    <x v="2"/>
    <n v="3"/>
    <s v="Dr Okafor"/>
    <x v="0"/>
    <s v="Tech B"/>
    <s v="NHIA"/>
    <s v=" "/>
  </r>
  <r>
    <s v="S1599"/>
    <s v="P92340"/>
    <s v="Male"/>
    <n v="86"/>
    <x v="0"/>
    <s v="Blood"/>
    <x v="0"/>
    <d v="2026-01-08T00:00:00"/>
    <x v="3"/>
    <d v="1899-12-30T10:45:00"/>
    <n v="5"/>
    <d v="2026-01-08T00:00:00"/>
    <d v="1899-12-30T17:45:00"/>
    <n v="7"/>
    <x v="0"/>
    <s v="Accepted"/>
    <x v="0"/>
    <s v="Completed"/>
    <n v="35"/>
    <x v="0"/>
    <x v="1"/>
    <n v="4"/>
    <s v="Dr Ahmed"/>
    <x v="1"/>
    <s v="Tech B"/>
    <s v="Private"/>
    <s v=" "/>
  </r>
  <r>
    <s v="S1005"/>
    <s v="P61987"/>
    <s v="Female"/>
    <n v="150"/>
    <x v="3"/>
    <s v="Blood"/>
    <x v="4"/>
    <d v="2026-01-30T00:00:00"/>
    <x v="3"/>
    <d v="1899-12-30T14:34:00"/>
    <n v="24"/>
    <d v="2026-01-31T00:00:00"/>
    <d v="1899-12-30T22:34:00"/>
    <n v="32"/>
    <x v="0"/>
    <s v="Accepted"/>
    <x v="0"/>
    <s v="Completed"/>
    <n v="50"/>
    <x v="0"/>
    <x v="0"/>
    <n v="5"/>
    <s v="Dr Adebayo"/>
    <x v="0"/>
    <s v="Tech A"/>
    <s v="HMO"/>
    <s v="Female patient with PSA test; Invalid Age"/>
  </r>
  <r>
    <s v="S1601"/>
    <s v="P25463"/>
    <s v="Male"/>
    <n v="2"/>
    <x v="0"/>
    <s v="Blood"/>
    <x v="1"/>
    <d v="2026-06-23T00:00:00"/>
    <x v="2"/>
    <d v="1899-12-30T12:30:00"/>
    <n v="5"/>
    <d v="2026-06-23T00:00:00"/>
    <d v="1899-12-30T20:30:00"/>
    <n v="8"/>
    <x v="0"/>
    <s v="Rejected"/>
    <x v="2"/>
    <s v="Completed"/>
    <n v="35"/>
    <x v="1"/>
    <x v="2"/>
    <n v="2"/>
    <s v="Dr Adebayo"/>
    <x v="3"/>
    <s v="Tech B"/>
    <s v="HMO"/>
    <s v="Test-department mismatch; Sample-test status mismatch; Rejected sample with released result"/>
  </r>
  <r>
    <s v="S1602"/>
    <s v="P11711"/>
    <s v="Male"/>
    <n v="81"/>
    <x v="1"/>
    <s v="Blood"/>
    <x v="2"/>
    <d v="2026-03-03T00:00:00"/>
    <x v="1"/>
    <d v="1899-12-30T10:01:00"/>
    <n v="3"/>
    <d v="2026-03-03T00:00:00"/>
    <d v="1899-12-30T14:01:00"/>
    <n v="4"/>
    <x v="0"/>
    <s v="Accepted"/>
    <x v="0"/>
    <s v="Completed"/>
    <n v="15"/>
    <x v="1"/>
    <x v="2"/>
    <n v="4"/>
    <s v="Dr Okafor"/>
    <x v="2"/>
    <s v="Tech B"/>
    <s v="NHIA"/>
    <m/>
  </r>
  <r>
    <s v="S1603"/>
    <s v="P46514"/>
    <s v="Female"/>
    <n v="28"/>
    <x v="0"/>
    <s v="Blood"/>
    <x v="0"/>
    <d v="2026-03-29T00:00:00"/>
    <x v="1"/>
    <d v="1899-12-30T12:55:00"/>
    <n v="5"/>
    <d v="2026-03-30T00:00:00"/>
    <d v="1899-12-30T00:55:00"/>
    <n v="12"/>
    <x v="0"/>
    <s v="Accepted"/>
    <x v="0"/>
    <s v="Completed"/>
    <n v="35"/>
    <x v="1"/>
    <x v="0"/>
    <n v="5"/>
    <s v="Dr Adebayo"/>
    <x v="2"/>
    <s v="Tech C"/>
    <s v="Private"/>
    <s v=" "/>
  </r>
  <r>
    <s v="S1604"/>
    <s v="P72524"/>
    <s v="Female"/>
    <n v="33"/>
    <x v="2"/>
    <s v="Urine"/>
    <x v="3"/>
    <d v="2026-01-04T00:00:00"/>
    <x v="3"/>
    <d v="1899-12-30T15:47:00"/>
    <n v="8"/>
    <d v="2026-01-05T00:00:00"/>
    <d v="1899-12-30T06:47:00"/>
    <n v="15"/>
    <x v="0"/>
    <s v="Rejected"/>
    <x v="3"/>
    <s v="Completed"/>
    <n v="20"/>
    <x v="1"/>
    <x v="1"/>
    <n v="5"/>
    <s v="Dr Adebayo"/>
    <x v="0"/>
    <s v="Tech A"/>
    <s v="NHIA"/>
    <s v="Sample-test status mismatch; Rejected sample with released result"/>
  </r>
  <r>
    <s v="S1605"/>
    <s v="P75648"/>
    <s v="Male"/>
    <n v="2"/>
    <x v="2"/>
    <s v="Urine"/>
    <x v="3"/>
    <d v="2026-03-07T00:00:00"/>
    <x v="1"/>
    <d v="1899-12-30T09:00:00"/>
    <n v="8"/>
    <d v="2026-03-07T00:00:00"/>
    <d v="1899-12-30T20:00:00"/>
    <n v="11"/>
    <x v="0"/>
    <s v="Accepted"/>
    <x v="0"/>
    <s v="Completed"/>
    <n v="20"/>
    <x v="1"/>
    <x v="2"/>
    <n v="5"/>
    <s v="Dr James"/>
    <x v="0"/>
    <s v="Tech C"/>
    <s v="HMO"/>
    <s v=" "/>
  </r>
  <r>
    <s v="S1606"/>
    <s v="P66388"/>
    <s v="Male"/>
    <n v="15"/>
    <x v="3"/>
    <s v="Blood"/>
    <x v="0"/>
    <d v="2026-04-28T00:00:00"/>
    <x v="0"/>
    <d v="1899-12-30T12:22:00"/>
    <n v="24"/>
    <d v="2026-04-29T00:00:00"/>
    <d v="1899-12-30T19:22:00"/>
    <n v="31"/>
    <x v="0"/>
    <s v="Accepted"/>
    <x v="0"/>
    <s v="Completed"/>
    <n v="50"/>
    <x v="0"/>
    <x v="2"/>
    <n v="5"/>
    <s v="Dr Okafor"/>
    <x v="1"/>
    <s v="Tech B"/>
    <s v="NHIA"/>
    <s v="Suspicious Test-Age Combination;Test-department mismatch"/>
  </r>
  <r>
    <s v="S1607"/>
    <s v="P47583"/>
    <s v="Female"/>
    <n v="14"/>
    <x v="1"/>
    <s v="Blood"/>
    <x v="2"/>
    <d v="2026-03-14T00:00:00"/>
    <x v="1"/>
    <d v="1899-12-30T10:53:00"/>
    <n v="3"/>
    <d v="2026-03-14T00:00:00"/>
    <d v="1899-12-30T12:53:00"/>
    <n v="2"/>
    <x v="1"/>
    <s v="Accepted"/>
    <x v="0"/>
    <s v="Completed"/>
    <n v="15"/>
    <x v="1"/>
    <x v="1"/>
    <n v="4"/>
    <s v="Dr Ahmed"/>
    <x v="1"/>
    <s v="Tech B"/>
    <s v="NHIA"/>
    <m/>
  </r>
  <r>
    <s v="S1608"/>
    <s v="P33955"/>
    <s v="Male"/>
    <n v="38"/>
    <x v="0"/>
    <s v="Blood"/>
    <x v="0"/>
    <d v="2026-04-03T00:00:00"/>
    <x v="0"/>
    <d v="1899-12-30T14:19:00"/>
    <n v="5"/>
    <d v="2026-04-03T00:00:00"/>
    <d v="1899-12-30T20:19:00"/>
    <n v="6"/>
    <x v="0"/>
    <s v="Accepted"/>
    <x v="0"/>
    <s v="Completed"/>
    <n v="35"/>
    <x v="1"/>
    <x v="2"/>
    <n v="4"/>
    <s v="Dr Ahmed"/>
    <x v="2"/>
    <s v="Tech B"/>
    <s v="HMO"/>
    <s v=" "/>
  </r>
  <r>
    <s v="S1609"/>
    <s v="P79143"/>
    <s v="Female"/>
    <n v="85"/>
    <x v="2"/>
    <s v="Urine"/>
    <x v="3"/>
    <d v="2026-06-26T00:00:00"/>
    <x v="2"/>
    <d v="1899-12-30T09:51:00"/>
    <n v="8"/>
    <d v="2026-06-27T00:00:00"/>
    <d v="1899-12-30T01:51:00"/>
    <n v="16"/>
    <x v="0"/>
    <s v="Rejected"/>
    <x v="2"/>
    <s v="Pending"/>
    <n v="20"/>
    <x v="1"/>
    <x v="1"/>
    <n v="2"/>
    <s v="Dr Okafor"/>
    <x v="2"/>
    <s v="Tech C"/>
    <s v="HMO"/>
    <s v="Sample-test status mismatch; Pending test with released result Rejected sample with released result"/>
  </r>
  <r>
    <s v="S1610"/>
    <s v="P37859"/>
    <s v="Female"/>
    <n v="37"/>
    <x v="4"/>
    <s v="Blood"/>
    <x v="0"/>
    <d v="2026-05-08T00:00:00"/>
    <x v="4"/>
    <d v="1899-12-30T08:51:00"/>
    <n v="6"/>
    <d v="2026-05-08T00:00:00"/>
    <d v="1899-12-30T22:51:00"/>
    <n v="14"/>
    <x v="0"/>
    <s v="Accepted"/>
    <x v="0"/>
    <s v="Completed"/>
    <n v="40"/>
    <x v="1"/>
    <x v="0"/>
    <n v="5"/>
    <s v="Dr James"/>
    <x v="1"/>
    <s v="Tech B"/>
    <s v="Private"/>
    <s v=" "/>
  </r>
  <r>
    <s v="S1611"/>
    <s v="P64044"/>
    <s v="Male"/>
    <n v="64"/>
    <x v="5"/>
    <s v="Blood"/>
    <x v="1"/>
    <d v="2026-03-03T00:00:00"/>
    <x v="1"/>
    <d v="1899-12-30T12:46:00"/>
    <n v="4"/>
    <d v="2026-03-03T00:00:00"/>
    <d v="1899-12-30T21:46:00"/>
    <n v="9"/>
    <x v="0"/>
    <s v="Accepted"/>
    <x v="0"/>
    <s v="Completed"/>
    <n v="25"/>
    <x v="0"/>
    <x v="0"/>
    <n v="4"/>
    <s v="Dr Ahmed"/>
    <x v="3"/>
    <s v="Tech C"/>
    <s v="HMO"/>
    <s v="Test-department mismatch"/>
  </r>
  <r>
    <s v="S1612"/>
    <s v="P54080"/>
    <s v="Male"/>
    <n v="1"/>
    <x v="4"/>
    <s v="Blood"/>
    <x v="4"/>
    <d v="2026-02-19T00:00:00"/>
    <x v="5"/>
    <d v="1899-12-30T07:21:00"/>
    <n v="6"/>
    <d v="2026-02-19T00:00:00"/>
    <d v="1899-12-30T18:21:00"/>
    <n v="11"/>
    <x v="0"/>
    <s v="Accepted"/>
    <x v="0"/>
    <s v="Completed"/>
    <n v="40"/>
    <x v="1"/>
    <x v="1"/>
    <n v="2"/>
    <s v="Dr Okafor"/>
    <x v="3"/>
    <s v="Tech C"/>
    <s v="Private"/>
    <s v="Test-department mismatch"/>
  </r>
  <r>
    <s v="S1613"/>
    <s v="P50468"/>
    <s v="Female"/>
    <n v="1"/>
    <x v="4"/>
    <s v="Blood"/>
    <x v="0"/>
    <d v="2026-05-01T00:00:00"/>
    <x v="4"/>
    <d v="1899-12-30T15:27:00"/>
    <n v="6"/>
    <d v="2026-05-02T00:00:00"/>
    <d v="1899-12-30T01:27:00"/>
    <n v="10"/>
    <x v="0"/>
    <s v="Accepted"/>
    <x v="0"/>
    <s v="Pending"/>
    <n v="40"/>
    <x v="1"/>
    <x v="2"/>
    <n v="4"/>
    <s v="Dr Adebayo"/>
    <x v="2"/>
    <s v="Tech A"/>
    <s v="NHIA"/>
    <s v="Pending test with released result"/>
  </r>
  <r>
    <s v="S1614"/>
    <s v="P22514"/>
    <s v="Female"/>
    <n v="63"/>
    <x v="2"/>
    <s v="Urine"/>
    <x v="3"/>
    <d v="2026-01-21T00:00:00"/>
    <x v="3"/>
    <d v="1899-12-30T09:30:00"/>
    <n v="8"/>
    <d v="2026-01-22T00:00:00"/>
    <d v="1899-12-30T00:30:00"/>
    <n v="15"/>
    <x v="0"/>
    <s v="Accepted"/>
    <x v="0"/>
    <s v="Completed"/>
    <n v="20"/>
    <x v="0"/>
    <x v="0"/>
    <n v="4"/>
    <s v="Dr James"/>
    <x v="0"/>
    <s v="Tech A"/>
    <s v="NHIA"/>
    <s v=" "/>
  </r>
  <r>
    <s v="S1615"/>
    <s v="P67759"/>
    <s v="Female"/>
    <n v="35"/>
    <x v="0"/>
    <s v="Blood"/>
    <x v="0"/>
    <d v="2026-03-23T00:00:00"/>
    <x v="1"/>
    <d v="1899-12-30T12:11:00"/>
    <n v="5"/>
    <d v="2026-03-23T00:00:00"/>
    <d v="1899-12-30T18:11:00"/>
    <n v="6"/>
    <x v="0"/>
    <s v="Accepted"/>
    <x v="0"/>
    <s v="Completed"/>
    <n v="35"/>
    <x v="1"/>
    <x v="0"/>
    <n v="5"/>
    <s v="Dr Adebayo"/>
    <x v="1"/>
    <s v="Tech A"/>
    <s v="NHIA"/>
    <s v=" "/>
  </r>
  <r>
    <s v="S1616"/>
    <s v="P97476"/>
    <s v="Male"/>
    <n v="18"/>
    <x v="0"/>
    <s v="Blood"/>
    <x v="3"/>
    <d v="2026-03-01T00:00:00"/>
    <x v="1"/>
    <d v="1899-12-30T10:28:00"/>
    <n v="5"/>
    <d v="2026-03-01T00:00:00"/>
    <d v="1899-12-30T16:28:00"/>
    <n v="6"/>
    <x v="0"/>
    <s v="Accepted"/>
    <x v="0"/>
    <s v="Completed"/>
    <n v="35"/>
    <x v="1"/>
    <x v="1"/>
    <n v="1"/>
    <s v="Dr Adebayo"/>
    <x v="1"/>
    <s v="Tech A"/>
    <s v="HMO"/>
    <s v="Test-department mismatch"/>
  </r>
  <r>
    <s v="S1617"/>
    <s v="P22488"/>
    <s v="Female"/>
    <n v="10"/>
    <x v="4"/>
    <s v="Blood"/>
    <x v="0"/>
    <d v="2026-02-14T00:00:00"/>
    <x v="5"/>
    <d v="1899-12-30T16:22:00"/>
    <n v="6"/>
    <d v="2026-02-14T00:00:00"/>
    <d v="1899-12-30T23:22:00"/>
    <n v="7"/>
    <x v="0"/>
    <s v="Accepted"/>
    <x v="0"/>
    <s v="Completed"/>
    <n v="40"/>
    <x v="1"/>
    <x v="0"/>
    <n v="1"/>
    <s v="Dr Ahmed"/>
    <x v="1"/>
    <s v="Tech A"/>
    <s v="Private"/>
    <s v=" "/>
  </r>
  <r>
    <s v="S1618"/>
    <s v="P96198"/>
    <s v="Male"/>
    <n v="87"/>
    <x v="5"/>
    <s v="Blood"/>
    <x v="1"/>
    <d v="2026-04-30T00:00:00"/>
    <x v="0"/>
    <d v="1899-12-30T11:00:00"/>
    <n v="4"/>
    <d v="2026-04-30T00:00:00"/>
    <d v="1899-12-30T21:00:00"/>
    <n v="10"/>
    <x v="0"/>
    <s v="Accepted"/>
    <x v="0"/>
    <s v="Completed"/>
    <n v="25"/>
    <x v="1"/>
    <x v="2"/>
    <n v="2"/>
    <s v="Dr Adebayo"/>
    <x v="0"/>
    <s v="Tech A"/>
    <s v="HMO"/>
    <s v="Test-department mismatch"/>
  </r>
  <r>
    <s v="S1619"/>
    <s v="P11578"/>
    <s v="Male"/>
    <n v="21"/>
    <x v="0"/>
    <s v="Blood"/>
    <x v="3"/>
    <d v="2026-06-11T00:00:00"/>
    <x v="2"/>
    <d v="1899-12-30T16:08:00"/>
    <n v="5"/>
    <d v="2026-06-12T00:00:00"/>
    <d v="1899-12-30T04:08:00"/>
    <n v="12"/>
    <x v="0"/>
    <s v="Accepted"/>
    <x v="0"/>
    <s v="Pending"/>
    <n v="35"/>
    <x v="1"/>
    <x v="2"/>
    <n v="3"/>
    <s v="Dr Ahmed"/>
    <x v="2"/>
    <s v="Tech B"/>
    <s v="NHIA"/>
    <s v="Test-department mismatch; Pending test with released result"/>
  </r>
  <r>
    <s v="S1620"/>
    <s v="P24438"/>
    <s v="Male"/>
    <n v="55"/>
    <x v="0"/>
    <s v="Blood"/>
    <x v="3"/>
    <d v="2026-04-09T00:00:00"/>
    <x v="0"/>
    <d v="1899-12-30T16:36:00"/>
    <n v="5"/>
    <d v="2026-04-10T00:00:00"/>
    <d v="1899-12-30T05:36:00"/>
    <n v="13"/>
    <x v="0"/>
    <s v="Accepted"/>
    <x v="0"/>
    <s v="Completed"/>
    <n v="35"/>
    <x v="1"/>
    <x v="1"/>
    <n v="5"/>
    <s v="Dr Adebayo"/>
    <x v="2"/>
    <s v="Tech B"/>
    <s v="NHIA"/>
    <s v="Test-department mismatch"/>
  </r>
  <r>
    <s v="S1621"/>
    <s v="P41138"/>
    <s v="Female"/>
    <n v="32"/>
    <x v="4"/>
    <s v="Blood"/>
    <x v="0"/>
    <d v="2026-01-24T00:00:00"/>
    <x v="3"/>
    <d v="1899-12-30T15:22:00"/>
    <n v="6"/>
    <d v="2026-01-25T00:00:00"/>
    <d v="1899-12-30T00:22:00"/>
    <n v="9"/>
    <x v="0"/>
    <s v="Accepted"/>
    <x v="0"/>
    <s v="Completed"/>
    <n v="40"/>
    <x v="1"/>
    <x v="0"/>
    <n v="3"/>
    <s v="Dr Okafor"/>
    <x v="2"/>
    <s v="Tech C"/>
    <s v="Private"/>
    <s v=" "/>
  </r>
  <r>
    <s v="S1622"/>
    <s v="P68588"/>
    <s v="Male"/>
    <n v="6"/>
    <x v="1"/>
    <s v="Blood"/>
    <x v="1"/>
    <d v="2026-02-08T00:00:00"/>
    <x v="5"/>
    <d v="1899-12-30T15:24:00"/>
    <n v="3"/>
    <d v="2026-02-08T00:00:00"/>
    <d v="1899-12-30T21:24:00"/>
    <n v="6"/>
    <x v="0"/>
    <s v="Accepted"/>
    <x v="0"/>
    <s v="Completed"/>
    <n v="15"/>
    <x v="1"/>
    <x v="1"/>
    <n v="5"/>
    <s v="Dr Okafor"/>
    <x v="1"/>
    <s v="Tech C"/>
    <s v="HMO"/>
    <s v="Test-department mismatch"/>
  </r>
  <r>
    <s v="S1623"/>
    <s v="P14796"/>
    <s v="Male"/>
    <n v="80"/>
    <x v="2"/>
    <s v="Urine"/>
    <x v="1"/>
    <d v="2026-01-27T00:00:00"/>
    <x v="3"/>
    <d v="1899-12-30T09:35:00"/>
    <n v="8"/>
    <d v="2026-01-28T00:00:00"/>
    <d v="1899-12-30T01:35:00"/>
    <n v="16"/>
    <x v="0"/>
    <s v="Accepted"/>
    <x v="0"/>
    <s v="Completed"/>
    <n v="20"/>
    <x v="1"/>
    <x v="2"/>
    <n v="5"/>
    <s v="Dr James"/>
    <x v="3"/>
    <s v="Tech C"/>
    <s v="HMO"/>
    <s v="Test-department mismatch"/>
  </r>
  <r>
    <s v="S1624"/>
    <s v="P54413"/>
    <s v="Male"/>
    <n v="29"/>
    <x v="3"/>
    <s v="Blood"/>
    <x v="1"/>
    <d v="2026-04-24T00:00:00"/>
    <x v="0"/>
    <d v="1899-12-30T07:50:00"/>
    <n v="24"/>
    <d v="2026-04-25T00:00:00"/>
    <d v="1899-12-30T14:50:00"/>
    <n v="31"/>
    <x v="0"/>
    <s v="Accepted"/>
    <x v="0"/>
    <s v="Completed"/>
    <n v="50"/>
    <x v="1"/>
    <x v="2"/>
    <n v="1"/>
    <s v="Dr Ahmed"/>
    <x v="1"/>
    <s v="Tech C"/>
    <s v="HMO"/>
    <s v="Test-department mismatch"/>
  </r>
  <r>
    <s v="S1625"/>
    <s v="P95775"/>
    <s v="Male"/>
    <n v="80"/>
    <x v="2"/>
    <s v="Urine"/>
    <x v="3"/>
    <d v="2026-06-09T00:00:00"/>
    <x v="2"/>
    <d v="1899-12-30T12:04:00"/>
    <n v="8"/>
    <d v="2026-06-10T00:00:00"/>
    <d v="1899-12-30T01:04:00"/>
    <n v="13"/>
    <x v="0"/>
    <s v="Accepted"/>
    <x v="0"/>
    <s v="Completed"/>
    <n v="20"/>
    <x v="1"/>
    <x v="2"/>
    <n v="3"/>
    <s v="Dr James"/>
    <x v="1"/>
    <s v="Tech A"/>
    <s v="Private"/>
    <s v=" "/>
  </r>
  <r>
    <s v="S1626"/>
    <s v="P73077"/>
    <s v="Male"/>
    <n v="32"/>
    <x v="0"/>
    <s v="Blood"/>
    <x v="0"/>
    <d v="2026-01-17T00:00:00"/>
    <x v="3"/>
    <d v="1899-12-30T16:37:00"/>
    <n v="5"/>
    <d v="2026-01-18T00:00:00"/>
    <d v="1899-12-30T00:37:00"/>
    <n v="8"/>
    <x v="0"/>
    <s v="Accepted"/>
    <x v="0"/>
    <s v="Completed"/>
    <n v="35"/>
    <x v="1"/>
    <x v="1"/>
    <n v="2"/>
    <s v="Dr James"/>
    <x v="2"/>
    <s v="Tech A"/>
    <s v="Private"/>
    <s v=" "/>
  </r>
  <r>
    <s v="S1627"/>
    <s v="P50503"/>
    <s v="Male"/>
    <n v="31"/>
    <x v="3"/>
    <s v="Blood"/>
    <x v="4"/>
    <d v="2026-05-19T00:00:00"/>
    <x v="4"/>
    <d v="1899-12-30T14:21:00"/>
    <n v="24"/>
    <d v="2026-05-20T00:00:00"/>
    <d v="1899-12-30T16:21:00"/>
    <n v="26"/>
    <x v="0"/>
    <s v="Accepted"/>
    <x v="0"/>
    <s v="Completed"/>
    <n v="50"/>
    <x v="1"/>
    <x v="1"/>
    <n v="5"/>
    <s v="Dr James"/>
    <x v="3"/>
    <s v="Tech C"/>
    <s v="Private"/>
    <s v=" "/>
  </r>
  <r>
    <s v="S1628"/>
    <s v="P73393"/>
    <s v="Female"/>
    <n v="37"/>
    <x v="3"/>
    <s v="Blood"/>
    <x v="0"/>
    <d v="2026-04-14T00:00:00"/>
    <x v="0"/>
    <d v="1899-12-30T09:18:00"/>
    <n v="24"/>
    <d v="2026-04-15T00:00:00"/>
    <d v="1899-12-30T13:18:00"/>
    <n v="28"/>
    <x v="0"/>
    <s v="Accepted"/>
    <x v="0"/>
    <s v="Completed"/>
    <n v="50"/>
    <x v="1"/>
    <x v="2"/>
    <n v="3"/>
    <s v="Dr James"/>
    <x v="3"/>
    <s v="Tech C"/>
    <s v="Private"/>
    <s v="Female patient with PSA test;Test-department mismatch"/>
  </r>
  <r>
    <s v="S1629"/>
    <s v="P87050"/>
    <s v="Male"/>
    <n v="41"/>
    <x v="3"/>
    <s v="Blood"/>
    <x v="4"/>
    <d v="2026-01-13T00:00:00"/>
    <x v="3"/>
    <d v="1899-12-30T09:59:00"/>
    <n v="24"/>
    <d v="2026-01-14T00:00:00"/>
    <d v="1899-12-30T11:59:00"/>
    <n v="26"/>
    <x v="0"/>
    <s v="Accepted"/>
    <x v="0"/>
    <s v="Completed"/>
    <n v="50"/>
    <x v="0"/>
    <x v="0"/>
    <n v="5"/>
    <s v="Dr Adebayo"/>
    <x v="3"/>
    <s v="Tech C"/>
    <s v="Private"/>
    <s v=" "/>
  </r>
  <r>
    <s v="S1630"/>
    <s v="P17781"/>
    <s v="Male"/>
    <n v="54"/>
    <x v="4"/>
    <s v="Blood"/>
    <x v="0"/>
    <d v="2026-03-27T00:00:00"/>
    <x v="1"/>
    <d v="1899-12-30T13:36:00"/>
    <n v="6"/>
    <d v="2026-03-27T00:00:00"/>
    <d v="1899-12-30T22:36:00"/>
    <n v="9"/>
    <x v="0"/>
    <s v="Accepted"/>
    <x v="0"/>
    <s v="Completed"/>
    <n v="40"/>
    <x v="1"/>
    <x v="2"/>
    <n v="4"/>
    <s v="Dr James"/>
    <x v="3"/>
    <s v="Tech A"/>
    <s v="HMO"/>
    <s v=" "/>
  </r>
  <r>
    <s v="S1631"/>
    <s v="P13240"/>
    <s v="Female"/>
    <n v="42"/>
    <x v="2"/>
    <s v="Urine"/>
    <x v="0"/>
    <d v="2026-03-11T00:00:00"/>
    <x v="1"/>
    <d v="1899-12-30T07:17:00"/>
    <n v="8"/>
    <d v="2026-03-11T00:00:00"/>
    <d v="1899-12-30T15:17:00"/>
    <n v="8"/>
    <x v="1"/>
    <s v="Accepted"/>
    <x v="0"/>
    <s v="Completed"/>
    <n v="20"/>
    <x v="1"/>
    <x v="0"/>
    <n v="5"/>
    <s v="Dr James"/>
    <x v="0"/>
    <s v="Tech A"/>
    <s v="Private"/>
    <s v="Test-department mismatch"/>
  </r>
  <r>
    <s v="S1632"/>
    <s v="P46211"/>
    <s v="Male"/>
    <n v="36"/>
    <x v="1"/>
    <s v="Blood"/>
    <x v="2"/>
    <d v="2026-02-10T00:00:00"/>
    <x v="5"/>
    <d v="1899-12-30T15:35:00"/>
    <n v="3"/>
    <d v="2026-02-10T00:00:00"/>
    <d v="1899-12-30T20:35:00"/>
    <n v="5"/>
    <x v="0"/>
    <s v="Accepted"/>
    <x v="0"/>
    <s v="Completed"/>
    <n v="15"/>
    <x v="1"/>
    <x v="1"/>
    <n v="1"/>
    <s v="Dr James"/>
    <x v="0"/>
    <s v="Tech C"/>
    <s v="NHIA"/>
    <m/>
  </r>
  <r>
    <s v="S1633"/>
    <s v="P54511"/>
    <s v="Female"/>
    <n v="10"/>
    <x v="3"/>
    <s v="Blood"/>
    <x v="4"/>
    <d v="2026-02-28T00:00:00"/>
    <x v="5"/>
    <d v="1899-12-30T10:09:00"/>
    <n v="24"/>
    <d v="2026-03-01T00:00:00"/>
    <d v="1899-12-30T15:09:00"/>
    <n v="29"/>
    <x v="0"/>
    <s v="Accepted"/>
    <x v="0"/>
    <s v="Completed"/>
    <n v="50"/>
    <x v="1"/>
    <x v="1"/>
    <n v="2"/>
    <s v="Dr Ahmed"/>
    <x v="0"/>
    <s v="Tech C"/>
    <s v="NHIA"/>
    <s v="Female patient with PSA test; Suspicious Test-Age Combination"/>
  </r>
  <r>
    <s v="S1634"/>
    <s v="P69565"/>
    <s v="Female"/>
    <n v="84"/>
    <x v="2"/>
    <s v="Urine"/>
    <x v="3"/>
    <d v="2026-06-16T00:00:00"/>
    <x v="2"/>
    <d v="1899-12-30T10:59:00"/>
    <n v="8"/>
    <d v="2026-06-17T00:00:00"/>
    <d v="1899-12-30T02:59:00"/>
    <n v="16"/>
    <x v="0"/>
    <s v="Accepted"/>
    <x v="0"/>
    <s v="Completed"/>
    <n v="20"/>
    <x v="0"/>
    <x v="2"/>
    <n v="1"/>
    <s v="Dr James"/>
    <x v="1"/>
    <s v="Tech A"/>
    <s v="Private"/>
    <s v=" "/>
  </r>
  <r>
    <s v="S1635"/>
    <s v="P53024"/>
    <s v="Female"/>
    <n v="64"/>
    <x v="4"/>
    <s v="Blood"/>
    <x v="1"/>
    <d v="2026-05-18T00:00:00"/>
    <x v="4"/>
    <d v="1899-12-30T08:10:00"/>
    <n v="6"/>
    <d v="2026-05-18T00:00:00"/>
    <d v="1899-12-30T20:10:00"/>
    <n v="12"/>
    <x v="0"/>
    <s v="Accepted"/>
    <x v="0"/>
    <s v="Completed"/>
    <n v="40"/>
    <x v="1"/>
    <x v="0"/>
    <n v="2"/>
    <s v="Dr James"/>
    <x v="1"/>
    <s v="Tech C"/>
    <s v="HMO"/>
    <s v="Test-department mismatch"/>
  </r>
  <r>
    <s v="S1636"/>
    <s v="P22701"/>
    <s v="Male"/>
    <n v="44"/>
    <x v="5"/>
    <s v="Blood"/>
    <x v="1"/>
    <d v="2026-02-19T00:00:00"/>
    <x v="5"/>
    <d v="1899-12-30T16:22:00"/>
    <n v="4"/>
    <d v="2026-02-19T00:00:00"/>
    <d v="1899-12-30T19:22:00"/>
    <n v="3"/>
    <x v="1"/>
    <s v="Accepted"/>
    <x v="0"/>
    <s v="Completed"/>
    <n v="25"/>
    <x v="1"/>
    <x v="0"/>
    <n v="5"/>
    <s v="Dr Okafor"/>
    <x v="1"/>
    <s v="Tech A"/>
    <s v="Private"/>
    <s v="Test-department mismatch"/>
  </r>
  <r>
    <s v="S1637"/>
    <s v="P20271"/>
    <s v="Female"/>
    <n v="87"/>
    <x v="5"/>
    <s v="Blood"/>
    <x v="1"/>
    <d v="2026-04-08T00:00:00"/>
    <x v="0"/>
    <d v="1899-12-30T12:43:00"/>
    <n v="4"/>
    <d v="2026-04-08T00:00:00"/>
    <d v="1899-12-30T20:43:00"/>
    <n v="8"/>
    <x v="0"/>
    <s v="Accepted"/>
    <x v="0"/>
    <s v="Completed"/>
    <n v="25"/>
    <x v="1"/>
    <x v="2"/>
    <n v="5"/>
    <s v="Dr James"/>
    <x v="0"/>
    <s v="Tech A"/>
    <s v="Private"/>
    <s v="Test-department mismatch"/>
  </r>
  <r>
    <s v="S1638"/>
    <s v="P86245"/>
    <s v="Female"/>
    <n v="56"/>
    <x v="3"/>
    <s v="Blood"/>
    <x v="4"/>
    <d v="2026-03-19T00:00:00"/>
    <x v="1"/>
    <d v="1899-12-30T14:14:00"/>
    <n v="24"/>
    <d v="2026-03-20T00:00:00"/>
    <d v="1899-12-30T20:14:00"/>
    <n v="30"/>
    <x v="0"/>
    <s v="Accepted"/>
    <x v="0"/>
    <s v="Completed"/>
    <n v="50"/>
    <x v="0"/>
    <x v="1"/>
    <n v="2"/>
    <s v="Dr Ahmed"/>
    <x v="0"/>
    <s v="Tech A"/>
    <s v="HMO"/>
    <s v="Female patient with PSA test"/>
  </r>
  <r>
    <s v="S1639"/>
    <s v="P62197"/>
    <s v="Male"/>
    <n v="23"/>
    <x v="2"/>
    <s v="Urine"/>
    <x v="3"/>
    <d v="2026-06-08T00:00:00"/>
    <x v="2"/>
    <d v="1899-12-30T12:40:00"/>
    <n v="8"/>
    <d v="2026-06-08T00:00:00"/>
    <d v="1899-12-30T21:40:00"/>
    <n v="9"/>
    <x v="0"/>
    <s v="Accepted"/>
    <x v="0"/>
    <s v="Completed"/>
    <n v="20"/>
    <x v="0"/>
    <x v="0"/>
    <n v="2"/>
    <s v="Dr Ahmed"/>
    <x v="1"/>
    <s v="Tech B"/>
    <s v="HMO"/>
    <s v=" "/>
  </r>
  <r>
    <s v="S1640"/>
    <s v="P50575"/>
    <s v="Female"/>
    <n v="17"/>
    <x v="2"/>
    <s v="Urine"/>
    <x v="0"/>
    <d v="2026-05-02T00:00:00"/>
    <x v="4"/>
    <d v="1899-12-30T08:18:00"/>
    <n v="8"/>
    <d v="2026-05-02T00:00:00"/>
    <d v="1899-12-30T21:18:00"/>
    <n v="13"/>
    <x v="0"/>
    <s v="Accepted"/>
    <x v="0"/>
    <s v="Completed"/>
    <n v="20"/>
    <x v="0"/>
    <x v="1"/>
    <n v="4"/>
    <s v="Dr Okafor"/>
    <x v="1"/>
    <s v="Tech C"/>
    <s v="NHIA"/>
    <s v="Test-department mismatch"/>
  </r>
  <r>
    <s v="S1641"/>
    <s v="P45546"/>
    <s v="Male"/>
    <n v="30"/>
    <x v="4"/>
    <s v="Blood"/>
    <x v="0"/>
    <d v="2026-05-21T00:00:00"/>
    <x v="4"/>
    <d v="1899-12-30T10:33:00"/>
    <n v="6"/>
    <d v="2026-05-21T00:00:00"/>
    <d v="1899-12-30T21:33:00"/>
    <n v="11"/>
    <x v="0"/>
    <s v="Accepted"/>
    <x v="0"/>
    <s v="Completed"/>
    <n v="40"/>
    <x v="1"/>
    <x v="1"/>
    <n v="1"/>
    <s v="Dr James"/>
    <x v="2"/>
    <s v="Tech B"/>
    <s v="HMO"/>
    <s v=" "/>
  </r>
  <r>
    <s v="S1642"/>
    <s v="P88413"/>
    <s v="Female"/>
    <n v="82"/>
    <x v="3"/>
    <s v="Blood"/>
    <x v="1"/>
    <d v="2026-02-10T00:00:00"/>
    <x v="5"/>
    <d v="1899-12-30T16:38:00"/>
    <n v="24"/>
    <d v="2026-02-11T00:00:00"/>
    <d v="1899-12-30T23:38:00"/>
    <n v="31"/>
    <x v="0"/>
    <s v="Accepted"/>
    <x v="0"/>
    <s v="Completed"/>
    <n v="50"/>
    <x v="1"/>
    <x v="0"/>
    <n v="4"/>
    <s v="Dr James"/>
    <x v="1"/>
    <s v="Tech A"/>
    <s v="NHIA"/>
    <s v="Female patient with PSA test;Test-department mismatch"/>
  </r>
  <r>
    <s v="S1643"/>
    <s v="P93334"/>
    <s v="Female"/>
    <n v="76"/>
    <x v="3"/>
    <s v="Blood"/>
    <x v="4"/>
    <d v="2026-04-13T00:00:00"/>
    <x v="0"/>
    <d v="1899-12-30T08:46:00"/>
    <n v="24"/>
    <d v="2026-04-14T00:00:00"/>
    <d v="1899-12-30T16:46:00"/>
    <n v="32"/>
    <x v="0"/>
    <s v="Accepted"/>
    <x v="0"/>
    <s v="Completed"/>
    <n v="50"/>
    <x v="0"/>
    <x v="0"/>
    <n v="3"/>
    <s v="Dr James"/>
    <x v="3"/>
    <s v="Tech C"/>
    <s v="NHIA"/>
    <s v="Female patient with PSA test"/>
  </r>
  <r>
    <s v="S1644"/>
    <s v="P20559"/>
    <s v="Female"/>
    <n v="50"/>
    <x v="1"/>
    <s v="Blood"/>
    <x v="1"/>
    <d v="2026-04-06T00:00:00"/>
    <x v="0"/>
    <d v="1899-12-30T10:45:00"/>
    <n v="3"/>
    <d v="2026-04-06T00:00:00"/>
    <d v="1899-12-30T15:45:00"/>
    <n v="5"/>
    <x v="0"/>
    <s v="Accepted"/>
    <x v="0"/>
    <s v="Completed"/>
    <n v="15"/>
    <x v="0"/>
    <x v="1"/>
    <n v="5"/>
    <s v="Dr James"/>
    <x v="0"/>
    <s v="Tech A"/>
    <s v="HMO"/>
    <s v="Test-department mismatch"/>
  </r>
  <r>
    <s v="S1645"/>
    <s v="P19424"/>
    <s v="Male"/>
    <n v="32"/>
    <x v="5"/>
    <s v="Blood"/>
    <x v="2"/>
    <d v="2026-02-23T00:00:00"/>
    <x v="5"/>
    <d v="1899-12-30T08:52:00"/>
    <n v="4"/>
    <d v="2026-02-23T00:00:00"/>
    <d v="1899-12-30T20:52:00"/>
    <n v="12"/>
    <x v="0"/>
    <s v="Accepted"/>
    <x v="0"/>
    <s v="Completed"/>
    <n v="25"/>
    <x v="0"/>
    <x v="1"/>
    <n v="3"/>
    <s v="Dr James"/>
    <x v="3"/>
    <s v="Tech A"/>
    <s v="NHIA"/>
    <s v="Test-department mismatch"/>
  </r>
  <r>
    <s v="S1646"/>
    <s v="P31651"/>
    <s v="Male"/>
    <n v="88"/>
    <x v="4"/>
    <s v="Blood"/>
    <x v="4"/>
    <d v="2026-03-29T00:00:00"/>
    <x v="1"/>
    <d v="1899-12-30T09:07:00"/>
    <n v="6"/>
    <d v="2026-03-29T00:00:00"/>
    <d v="1899-12-30T23:07:00"/>
    <n v="14"/>
    <x v="0"/>
    <s v="Accepted"/>
    <x v="0"/>
    <s v="Completed"/>
    <n v="40"/>
    <x v="1"/>
    <x v="0"/>
    <n v="5"/>
    <s v="Dr Ahmed"/>
    <x v="3"/>
    <s v="Tech A"/>
    <s v="Private"/>
    <s v="Test-department mismatch"/>
  </r>
  <r>
    <s v="S1647"/>
    <s v="P70473"/>
    <s v="Male"/>
    <n v="39"/>
    <x v="5"/>
    <s v="Blood"/>
    <x v="1"/>
    <d v="2026-03-19T00:00:00"/>
    <x v="1"/>
    <d v="1899-12-30T15:55:00"/>
    <n v="4"/>
    <d v="2026-03-19T00:00:00"/>
    <d v="1899-12-30T21:55:00"/>
    <n v="6"/>
    <x v="0"/>
    <s v="Accepted"/>
    <x v="0"/>
    <s v="Completed"/>
    <n v="25"/>
    <x v="0"/>
    <x v="0"/>
    <n v="3"/>
    <s v="Dr James"/>
    <x v="0"/>
    <s v="Tech C"/>
    <s v="Private"/>
    <s v="Test-department mismatch"/>
  </r>
  <r>
    <s v="S1648"/>
    <s v="P96301"/>
    <s v="Female"/>
    <n v="29"/>
    <x v="1"/>
    <s v="Blood"/>
    <x v="4"/>
    <d v="2026-04-03T00:00:00"/>
    <x v="0"/>
    <d v="1899-12-30T15:44:00"/>
    <n v="3"/>
    <d v="2026-04-03T00:00:00"/>
    <d v="1899-12-30T19:44:00"/>
    <n v="4"/>
    <x v="0"/>
    <s v="Accepted"/>
    <x v="0"/>
    <s v="Completed"/>
    <n v="15"/>
    <x v="1"/>
    <x v="2"/>
    <n v="3"/>
    <s v="Dr Ahmed"/>
    <x v="0"/>
    <s v="Tech A"/>
    <s v="HMO"/>
    <s v="Test-department mismatch"/>
  </r>
  <r>
    <s v="S1649"/>
    <s v="P36391"/>
    <s v="Male"/>
    <n v="63"/>
    <x v="0"/>
    <s v="Blood"/>
    <x v="3"/>
    <d v="2026-05-19T00:00:00"/>
    <x v="4"/>
    <d v="1899-12-30T15:42:00"/>
    <n v="5"/>
    <d v="2026-05-20T00:00:00"/>
    <d v="1899-12-30T02:42:00"/>
    <n v="11"/>
    <x v="0"/>
    <s v="Accepted"/>
    <x v="0"/>
    <s v="Completed"/>
    <n v="35"/>
    <x v="0"/>
    <x v="1"/>
    <n v="4"/>
    <s v="Dr James"/>
    <x v="1"/>
    <s v="Tech C"/>
    <s v="HMO"/>
    <s v="Test-department mismatch"/>
  </r>
  <r>
    <s v="S1650"/>
    <s v="P11384"/>
    <s v="Male"/>
    <n v="49"/>
    <x v="5"/>
    <s v="Blood"/>
    <x v="1"/>
    <d v="2026-06-12T00:00:00"/>
    <x v="2"/>
    <d v="1899-12-30T10:23:00"/>
    <n v="4"/>
    <d v="2026-06-12T00:00:00"/>
    <d v="1899-12-30T18:23:00"/>
    <n v="8"/>
    <x v="0"/>
    <s v="Accepted"/>
    <x v="0"/>
    <s v="Completed"/>
    <n v="25"/>
    <x v="0"/>
    <x v="1"/>
    <n v="4"/>
    <s v="Dr Ahmed"/>
    <x v="2"/>
    <s v="Tech B"/>
    <s v="HMO"/>
    <s v="Test-department mismatch"/>
  </r>
  <r>
    <s v="S1651"/>
    <s v="P52494"/>
    <s v="Male"/>
    <n v="5"/>
    <x v="3"/>
    <s v="Blood"/>
    <x v="4"/>
    <d v="2026-04-13T00:00:00"/>
    <x v="0"/>
    <d v="1899-12-30T15:50:00"/>
    <n v="24"/>
    <d v="2026-04-14T00:00:00"/>
    <d v="1899-12-30T16:50:00"/>
    <n v="25"/>
    <x v="0"/>
    <s v="Accepted"/>
    <x v="0"/>
    <s v="Completed"/>
    <n v="50"/>
    <x v="0"/>
    <x v="2"/>
    <n v="3"/>
    <s v="Dr Okafor"/>
    <x v="3"/>
    <s v="Tech A"/>
    <s v="Private"/>
    <s v="Suspicious Test-Age Combination"/>
  </r>
  <r>
    <s v="S1652"/>
    <s v="P45205"/>
    <s v="Male"/>
    <n v="39"/>
    <x v="5"/>
    <s v="Blood"/>
    <x v="1"/>
    <d v="2026-01-04T00:00:00"/>
    <x v="3"/>
    <d v="1899-12-30T15:20:00"/>
    <n v="4"/>
    <d v="2026-01-04T00:00:00"/>
    <d v="1899-12-30T21:20:00"/>
    <n v="6"/>
    <x v="0"/>
    <s v="Accepted"/>
    <x v="0"/>
    <s v="Completed"/>
    <n v="25"/>
    <x v="1"/>
    <x v="1"/>
    <n v="2"/>
    <s v="Dr Ahmed"/>
    <x v="1"/>
    <s v="Tech C"/>
    <s v="HMO"/>
    <s v="Test-department mismatch"/>
  </r>
  <r>
    <s v="S1653"/>
    <s v="P41772"/>
    <s v="Female"/>
    <n v="52"/>
    <x v="0"/>
    <s v="Blood"/>
    <x v="0"/>
    <d v="2026-02-24T00:00:00"/>
    <x v="5"/>
    <d v="1899-12-30T15:27:00"/>
    <n v="5"/>
    <d v="2026-02-25T00:00:00"/>
    <d v="1899-12-30T04:27:00"/>
    <n v="13"/>
    <x v="0"/>
    <s v="Accepted"/>
    <x v="0"/>
    <s v="Completed"/>
    <n v="35"/>
    <x v="1"/>
    <x v="2"/>
    <n v="1"/>
    <s v="Dr Adebayo"/>
    <x v="0"/>
    <s v="Tech A"/>
    <s v="NHIA"/>
    <s v=" "/>
  </r>
  <r>
    <s v="S1654"/>
    <s v="P88098"/>
    <s v="Male"/>
    <n v="12"/>
    <x v="0"/>
    <s v="Blood"/>
    <x v="0"/>
    <d v="2026-06-09T00:00:00"/>
    <x v="2"/>
    <d v="1899-12-30T14:00:00"/>
    <n v="5"/>
    <d v="2026-06-09T00:00:00"/>
    <d v="1899-12-30T20:00:00"/>
    <n v="6"/>
    <x v="0"/>
    <s v="Accepted"/>
    <x v="0"/>
    <s v="Completed"/>
    <n v="35"/>
    <x v="0"/>
    <x v="2"/>
    <n v="4"/>
    <s v="Dr Okafor"/>
    <x v="3"/>
    <s v="Tech B"/>
    <s v="Private"/>
    <s v=" "/>
  </r>
  <r>
    <s v="S1655"/>
    <s v="P60806"/>
    <s v="Male"/>
    <n v="32"/>
    <x v="2"/>
    <s v="Urine"/>
    <x v="1"/>
    <d v="2026-02-27T00:00:00"/>
    <x v="5"/>
    <d v="1899-12-30T12:15:00"/>
    <n v="8"/>
    <d v="2026-02-27T00:00:00"/>
    <d v="1899-12-30T21:15:00"/>
    <n v="9"/>
    <x v="0"/>
    <s v="Accepted"/>
    <x v="0"/>
    <s v="Completed"/>
    <n v="20"/>
    <x v="1"/>
    <x v="0"/>
    <n v="3"/>
    <s v="Dr Ahmed"/>
    <x v="3"/>
    <s v="Tech A"/>
    <s v="Private"/>
    <s v="Test-department mismatch"/>
  </r>
  <r>
    <s v="S1656"/>
    <s v="P79826"/>
    <s v="Male"/>
    <n v="26"/>
    <x v="2"/>
    <s v="Urine"/>
    <x v="3"/>
    <d v="2026-06-17T00:00:00"/>
    <x v="2"/>
    <d v="1899-12-30T14:08:00"/>
    <n v="8"/>
    <d v="2026-06-17T00:00:00"/>
    <d v="1899-12-30T22:08:00"/>
    <n v="8"/>
    <x v="1"/>
    <s v="Accepted"/>
    <x v="0"/>
    <s v="Completed"/>
    <n v="20"/>
    <x v="1"/>
    <x v="0"/>
    <n v="4"/>
    <s v="Dr James"/>
    <x v="3"/>
    <s v="Tech C"/>
    <s v="NHIA"/>
    <s v=" "/>
  </r>
  <r>
    <s v="S1657"/>
    <s v="P13058"/>
    <s v="Male"/>
    <n v="18"/>
    <x v="2"/>
    <s v="Urine"/>
    <x v="3"/>
    <d v="2026-03-05T00:00:00"/>
    <x v="1"/>
    <d v="1899-12-30T14:30:00"/>
    <n v="8"/>
    <d v="2026-03-05T00:00:00"/>
    <d v="1899-12-30T22:30:00"/>
    <n v="8"/>
    <x v="1"/>
    <s v="Accepted"/>
    <x v="0"/>
    <s v="Completed"/>
    <n v="20"/>
    <x v="0"/>
    <x v="0"/>
    <n v="2"/>
    <s v="Dr Ahmed"/>
    <x v="1"/>
    <s v="Tech C"/>
    <s v="NHIA"/>
    <s v=" "/>
  </r>
  <r>
    <s v="S1658"/>
    <s v="P78596"/>
    <s v="Male"/>
    <n v="59"/>
    <x v="5"/>
    <s v="Blood"/>
    <x v="1"/>
    <d v="2026-03-02T00:00:00"/>
    <x v="1"/>
    <d v="1899-12-30T14:53:00"/>
    <n v="4"/>
    <d v="2026-03-02T00:00:00"/>
    <d v="1899-12-30T23:53:00"/>
    <n v="9"/>
    <x v="0"/>
    <s v="Accepted"/>
    <x v="0"/>
    <s v="Completed"/>
    <n v="25"/>
    <x v="1"/>
    <x v="0"/>
    <n v="3"/>
    <s v="Dr James"/>
    <x v="3"/>
    <s v="Tech A"/>
    <s v="NHIA"/>
    <s v="Test-department mismatch"/>
  </r>
  <r>
    <s v="S1659"/>
    <s v="P81446"/>
    <s v="Male"/>
    <n v="16"/>
    <x v="1"/>
    <s v="Blood"/>
    <x v="4"/>
    <d v="2026-06-26T00:00:00"/>
    <x v="2"/>
    <d v="1899-12-30T13:16:00"/>
    <n v="3"/>
    <d v="2026-06-26T00:00:00"/>
    <d v="1899-12-30T17:16:00"/>
    <n v="4"/>
    <x v="0"/>
    <s v="Accepted"/>
    <x v="0"/>
    <s v="Completed"/>
    <n v="15"/>
    <x v="1"/>
    <x v="1"/>
    <n v="5"/>
    <s v="Dr James"/>
    <x v="1"/>
    <s v="Tech A"/>
    <s v="Private"/>
    <s v="Test-department mismatch"/>
  </r>
  <r>
    <s v="S1660"/>
    <s v="P72402"/>
    <s v="Female"/>
    <n v="66"/>
    <x v="3"/>
    <s v="Blood"/>
    <x v="3"/>
    <d v="2026-03-13T00:00:00"/>
    <x v="1"/>
    <d v="1899-12-30T09:43:00"/>
    <n v="24"/>
    <d v="2026-03-14T00:00:00"/>
    <d v="1899-12-30T14:43:00"/>
    <n v="29"/>
    <x v="0"/>
    <s v="Accepted"/>
    <x v="0"/>
    <s v="Completed"/>
    <n v="50"/>
    <x v="0"/>
    <x v="1"/>
    <n v="4"/>
    <s v="Dr Adebayo"/>
    <x v="0"/>
    <s v="Tech A"/>
    <s v="NHIA"/>
    <s v="Female patient with PSA test; Test-department mismatch"/>
  </r>
  <r>
    <s v="S1661"/>
    <s v="P82261"/>
    <s v="Male"/>
    <n v="12"/>
    <x v="3"/>
    <s v="Blood"/>
    <x v="3"/>
    <d v="2026-03-10T00:00:00"/>
    <x v="1"/>
    <d v="1899-12-30T09:08:00"/>
    <n v="24"/>
    <d v="2026-03-11T00:00:00"/>
    <d v="1899-12-30T11:08:00"/>
    <n v="26"/>
    <x v="0"/>
    <s v="Accepted"/>
    <x v="0"/>
    <s v="Completed"/>
    <n v="50"/>
    <x v="0"/>
    <x v="2"/>
    <n v="2"/>
    <s v="Dr Okafor"/>
    <x v="2"/>
    <s v="Tech C"/>
    <s v="HMO"/>
    <s v="Suspicious Test-Age combination;Test-department mismatch"/>
  </r>
  <r>
    <s v="S1662"/>
    <s v="P49412"/>
    <s v="Male"/>
    <n v="67"/>
    <x v="5"/>
    <s v="Blood"/>
    <x v="3"/>
    <d v="2026-03-15T00:00:00"/>
    <x v="1"/>
    <d v="1899-12-30T11:23:00"/>
    <n v="4"/>
    <d v="2026-03-15T00:00:00"/>
    <d v="1899-12-30T19:23:00"/>
    <n v="8"/>
    <x v="0"/>
    <s v="Accepted"/>
    <x v="0"/>
    <s v="Completed"/>
    <n v="25"/>
    <x v="0"/>
    <x v="1"/>
    <n v="3"/>
    <s v="Dr Okafor"/>
    <x v="2"/>
    <s v="Tech C"/>
    <s v="HMO"/>
    <s v="Test-department mismatch"/>
  </r>
  <r>
    <s v="S1663"/>
    <s v="P48831"/>
    <s v="Male"/>
    <n v="49"/>
    <x v="1"/>
    <s v="Blood"/>
    <x v="2"/>
    <d v="2026-06-10T00:00:00"/>
    <x v="2"/>
    <d v="1899-12-30T11:39:00"/>
    <n v="3"/>
    <d v="2026-06-10T00:00:00"/>
    <d v="1899-12-30T17:39:00"/>
    <n v="6"/>
    <x v="0"/>
    <s v="Accepted"/>
    <x v="0"/>
    <s v="Completed"/>
    <n v="15"/>
    <x v="1"/>
    <x v="2"/>
    <n v="3"/>
    <s v="Dr Okafor"/>
    <x v="1"/>
    <s v="Tech C"/>
    <s v="Private"/>
    <m/>
  </r>
  <r>
    <s v="S1664"/>
    <s v="P56065"/>
    <s v="Male"/>
    <n v="50"/>
    <x v="4"/>
    <s v="Blood"/>
    <x v="3"/>
    <d v="2026-01-04T00:00:00"/>
    <x v="3"/>
    <d v="1899-12-30T11:51:00"/>
    <n v="6"/>
    <d v="2026-01-04T00:00:00"/>
    <d v="1899-12-30T21:51:00"/>
    <n v="10"/>
    <x v="0"/>
    <s v="Accepted"/>
    <x v="0"/>
    <s v="Completed"/>
    <n v="40"/>
    <x v="1"/>
    <x v="1"/>
    <n v="4"/>
    <s v="Dr Ahmed"/>
    <x v="3"/>
    <s v="Tech A"/>
    <s v="HMO"/>
    <s v="Test-department mismatch"/>
  </r>
  <r>
    <s v="S1665"/>
    <s v="P63769"/>
    <s v="Female"/>
    <n v="59"/>
    <x v="2"/>
    <s v="Urine"/>
    <x v="0"/>
    <d v="2026-04-25T00:00:00"/>
    <x v="0"/>
    <d v="1899-12-30T10:05:00"/>
    <n v="8"/>
    <d v="2026-04-26T00:00:00"/>
    <d v="1899-12-30T01:05:00"/>
    <n v="15"/>
    <x v="0"/>
    <s v="Accepted"/>
    <x v="0"/>
    <s v="Completed"/>
    <m/>
    <x v="0"/>
    <x v="0"/>
    <n v="4"/>
    <s v="Dr Adebayo"/>
    <x v="1"/>
    <s v="Tech B"/>
    <s v="NHIA"/>
    <s v="Test-department mismatch"/>
  </r>
  <r>
    <s v="S1666"/>
    <s v="P79168"/>
    <s v="Male"/>
    <n v="58"/>
    <x v="2"/>
    <s v="Urine"/>
    <x v="3"/>
    <d v="2026-05-24T00:00:00"/>
    <x v="4"/>
    <d v="1899-12-30T07:14:00"/>
    <n v="8"/>
    <d v="2026-05-24T00:00:00"/>
    <d v="1899-12-30T19:14:00"/>
    <n v="12"/>
    <x v="0"/>
    <s v="Accepted"/>
    <x v="0"/>
    <s v="Completed"/>
    <n v="20"/>
    <x v="0"/>
    <x v="2"/>
    <n v="2"/>
    <s v="Dr Adebayo"/>
    <x v="3"/>
    <s v="Tech B"/>
    <s v="HMO"/>
    <s v=" "/>
  </r>
  <r>
    <s v="S1667"/>
    <s v="P10629"/>
    <s v="Female"/>
    <n v="72"/>
    <x v="0"/>
    <s v="Blood"/>
    <x v="2"/>
    <d v="2026-06-30T00:00:00"/>
    <x v="2"/>
    <d v="1899-12-30T15:00:00"/>
    <n v="5"/>
    <d v="2026-06-30T00:00:00"/>
    <d v="1899-12-30T21:00:00"/>
    <n v="6"/>
    <x v="0"/>
    <s v="Accepted"/>
    <x v="0"/>
    <s v="Completed"/>
    <n v="35"/>
    <x v="1"/>
    <x v="2"/>
    <n v="2"/>
    <s v="Dr James"/>
    <x v="3"/>
    <s v="Tech B"/>
    <s v="Private"/>
    <s v="Test-department mismatch"/>
  </r>
  <r>
    <s v="S1668"/>
    <s v="P43275"/>
    <s v="Female"/>
    <n v="4"/>
    <x v="4"/>
    <s v="Blood"/>
    <x v="0"/>
    <d v="2026-02-13T00:00:00"/>
    <x v="5"/>
    <d v="1899-12-30T16:16:00"/>
    <n v="6"/>
    <d v="2026-02-14T00:00:00"/>
    <d v="1899-12-30T03:16:00"/>
    <n v="11"/>
    <x v="0"/>
    <s v="Accepted"/>
    <x v="0"/>
    <s v="Completed"/>
    <n v="40"/>
    <x v="1"/>
    <x v="0"/>
    <n v="1"/>
    <s v="Dr Okafor"/>
    <x v="0"/>
    <s v="Tech C"/>
    <s v="Private"/>
    <s v=" "/>
  </r>
  <r>
    <s v="S1669"/>
    <s v="P87294"/>
    <s v="Male"/>
    <n v="83"/>
    <x v="1"/>
    <s v="Blood"/>
    <x v="2"/>
    <d v="2026-01-19T00:00:00"/>
    <x v="3"/>
    <d v="1899-12-30T07:38:00"/>
    <n v="3"/>
    <d v="2026-01-19T00:00:00"/>
    <d v="1899-12-30T15:38:00"/>
    <n v="8"/>
    <x v="0"/>
    <s v="Rejected"/>
    <x v="1"/>
    <s v="Completed"/>
    <n v="15"/>
    <x v="0"/>
    <x v="1"/>
    <n v="2"/>
    <s v="Dr Adebayo"/>
    <x v="1"/>
    <s v="Tech A"/>
    <s v="Private"/>
    <s v=" Sample-test status mismatch; Rejected sample with released result"/>
  </r>
  <r>
    <s v="S1670"/>
    <s v="P65870"/>
    <s v="Female"/>
    <n v="45"/>
    <x v="5"/>
    <s v="Blood"/>
    <x v="0"/>
    <d v="2026-02-14T00:00:00"/>
    <x v="5"/>
    <d v="1899-12-30T10:43:00"/>
    <n v="4"/>
    <d v="2026-02-14T00:00:00"/>
    <d v="1899-12-30T19:43:00"/>
    <n v="9"/>
    <x v="0"/>
    <s v="Accepted"/>
    <x v="0"/>
    <s v="Completed"/>
    <n v="25"/>
    <x v="1"/>
    <x v="1"/>
    <n v="4"/>
    <s v="Dr Adebayo"/>
    <x v="0"/>
    <s v="Tech C"/>
    <s v="Private"/>
    <s v="Test-department mismatch"/>
  </r>
  <r>
    <s v="S1671"/>
    <s v="P28841"/>
    <s v="Female"/>
    <n v="21"/>
    <x v="0"/>
    <s v="Blood"/>
    <x v="0"/>
    <d v="2026-04-10T00:00:00"/>
    <x v="0"/>
    <d v="1899-12-30T10:48:00"/>
    <n v="5"/>
    <d v="2026-04-10T00:00:00"/>
    <d v="1899-12-30T23:48:00"/>
    <n v="13"/>
    <x v="0"/>
    <s v="Rejected"/>
    <x v="2"/>
    <s v="Completed"/>
    <n v="35"/>
    <x v="1"/>
    <x v="0"/>
    <n v="4"/>
    <s v="Dr Ahmed"/>
    <x v="1"/>
    <s v="Tech B"/>
    <s v="Private"/>
    <s v="Sample-test status mismatch; Rejected sample with released result"/>
  </r>
  <r>
    <s v="S1672"/>
    <s v="P57577"/>
    <s v="Female"/>
    <n v="2"/>
    <x v="0"/>
    <s v="Blood"/>
    <x v="3"/>
    <d v="2026-05-10T00:00:00"/>
    <x v="4"/>
    <d v="1899-12-30T11:52:00"/>
    <n v="5"/>
    <d v="2026-05-10T00:00:00"/>
    <d v="1899-12-30T18:52:00"/>
    <n v="7"/>
    <x v="0"/>
    <s v="Accepted"/>
    <x v="0"/>
    <s v="Completed"/>
    <n v="35"/>
    <x v="1"/>
    <x v="1"/>
    <n v="1"/>
    <s v="Dr Okafor"/>
    <x v="3"/>
    <s v="Tech C"/>
    <s v="HMO"/>
    <s v="Test-department mismatch"/>
  </r>
  <r>
    <s v="S1673"/>
    <s v="P48248"/>
    <s v="Male"/>
    <n v="57"/>
    <x v="1"/>
    <s v="Blood"/>
    <x v="1"/>
    <d v="2026-03-15T00:00:00"/>
    <x v="1"/>
    <d v="1899-12-30T11:27:00"/>
    <n v="3"/>
    <d v="2026-03-15T00:00:00"/>
    <d v="1899-12-30T18:27:00"/>
    <n v="7"/>
    <x v="0"/>
    <s v="Accepted"/>
    <x v="0"/>
    <s v="Completed"/>
    <n v="15"/>
    <x v="0"/>
    <x v="2"/>
    <n v="1"/>
    <s v="Dr Ahmed"/>
    <x v="1"/>
    <s v="Tech A"/>
    <s v="NHIA"/>
    <s v="Test-department mismatch"/>
  </r>
  <r>
    <s v="S1674"/>
    <s v="P26802"/>
    <s v="Female"/>
    <n v="19"/>
    <x v="1"/>
    <s v="Blood"/>
    <x v="1"/>
    <d v="2026-04-24T00:00:00"/>
    <x v="0"/>
    <d v="1899-12-30T13:10:00"/>
    <n v="3"/>
    <d v="2026-04-24T00:00:00"/>
    <d v="1899-12-30T21:10:00"/>
    <n v="8"/>
    <x v="0"/>
    <s v="Accepted"/>
    <x v="0"/>
    <s v="Completed"/>
    <n v="15"/>
    <x v="0"/>
    <x v="1"/>
    <n v="4"/>
    <s v="Dr Ahmed"/>
    <x v="2"/>
    <s v="Tech B"/>
    <s v="HMO"/>
    <s v="Test-department mismatch"/>
  </r>
  <r>
    <s v="S1675"/>
    <s v="P11922"/>
    <s v="Female"/>
    <n v="64"/>
    <x v="3"/>
    <s v="Blood"/>
    <x v="4"/>
    <d v="2026-03-21T00:00:00"/>
    <x v="1"/>
    <d v="1899-12-30T08:59:00"/>
    <n v="24"/>
    <d v="2026-03-22T00:00:00"/>
    <d v="1899-12-30T15:59:00"/>
    <n v="31"/>
    <x v="0"/>
    <s v="Accepted"/>
    <x v="0"/>
    <s v="Completed"/>
    <n v="50"/>
    <x v="0"/>
    <x v="1"/>
    <n v="1"/>
    <s v="Dr Ahmed"/>
    <x v="2"/>
    <s v="Tech C"/>
    <s v="NHIA"/>
    <s v="Female patient with PSA test"/>
  </r>
  <r>
    <s v="S1676"/>
    <s v="P38768"/>
    <s v="Female"/>
    <n v="53"/>
    <x v="3"/>
    <s v="Blood"/>
    <x v="4"/>
    <d v="2026-01-16T00:00:00"/>
    <x v="3"/>
    <d v="1899-12-30T12:44:00"/>
    <n v="24"/>
    <d v="2026-01-17T00:00:00"/>
    <d v="1899-12-30T20:44:00"/>
    <n v="32"/>
    <x v="0"/>
    <s v="Accepted"/>
    <x v="0"/>
    <s v="Completed"/>
    <n v="50"/>
    <x v="0"/>
    <x v="2"/>
    <n v="1"/>
    <s v="Dr Ahmed"/>
    <x v="2"/>
    <s v="Tech C"/>
    <s v="HMO"/>
    <s v="Female patient with PSA test"/>
  </r>
  <r>
    <s v="S1677"/>
    <s v="P19615"/>
    <s v="Male"/>
    <n v="5"/>
    <x v="3"/>
    <s v="Blood"/>
    <x v="4"/>
    <d v="2026-05-17T00:00:00"/>
    <x v="4"/>
    <d v="1899-12-30T07:19:00"/>
    <n v="24"/>
    <d v="2026-05-18T00:00:00"/>
    <d v="1899-12-30T13:19:00"/>
    <n v="30"/>
    <x v="0"/>
    <s v="Accepted"/>
    <x v="0"/>
    <s v="Completed"/>
    <n v="50"/>
    <x v="1"/>
    <x v="0"/>
    <n v="2"/>
    <s v="Dr Okafor"/>
    <x v="0"/>
    <s v="Tech C"/>
    <s v="NHIA"/>
    <s v="Suspicious Test-Age Combination"/>
  </r>
  <r>
    <s v="S1678"/>
    <s v="P15261"/>
    <s v="Male"/>
    <n v="76"/>
    <x v="2"/>
    <s v="Urine"/>
    <x v="3"/>
    <d v="2026-02-04T00:00:00"/>
    <x v="5"/>
    <d v="1899-12-30T07:42:00"/>
    <n v="8"/>
    <d v="2026-02-04T00:00:00"/>
    <d v="1899-12-30T14:42:00"/>
    <n v="7"/>
    <x v="1"/>
    <s v="Rejected"/>
    <x v="2"/>
    <s v="Completed"/>
    <n v="20"/>
    <x v="0"/>
    <x v="0"/>
    <n v="5"/>
    <s v="Dr Ahmed"/>
    <x v="0"/>
    <s v="Tech C"/>
    <s v="HMO"/>
    <s v="Sample-test status mismatch; Rejected sample with released result"/>
  </r>
  <r>
    <s v="S1679"/>
    <s v="P85574"/>
    <s v="Female"/>
    <n v="82"/>
    <x v="1"/>
    <s v="Blood"/>
    <x v="2"/>
    <d v="2026-01-02T00:00:00"/>
    <x v="3"/>
    <d v="1899-12-30T11:26:00"/>
    <n v="3"/>
    <d v="2026-01-02T00:00:00"/>
    <d v="1899-12-30T19:26:00"/>
    <n v="8"/>
    <x v="0"/>
    <s v="Accepted"/>
    <x v="0"/>
    <s v="Pending"/>
    <n v="15"/>
    <x v="1"/>
    <x v="0"/>
    <n v="1"/>
    <s v="Dr James"/>
    <x v="2"/>
    <s v="Tech B"/>
    <s v="NHIA"/>
    <s v="Pending test with released result"/>
  </r>
  <r>
    <s v="S1680"/>
    <s v="P59056"/>
    <s v="Male"/>
    <n v="2"/>
    <x v="1"/>
    <s v="Blood"/>
    <x v="2"/>
    <d v="2026-01-21T00:00:00"/>
    <x v="3"/>
    <d v="1899-12-30T16:33:00"/>
    <n v="3"/>
    <d v="2026-01-21T00:00:00"/>
    <d v="1899-12-30T19:33:00"/>
    <n v="3"/>
    <x v="1"/>
    <s v="Accepted"/>
    <x v="0"/>
    <s v="Completed"/>
    <n v="15"/>
    <x v="1"/>
    <x v="2"/>
    <n v="3"/>
    <s v="Dr Adebayo"/>
    <x v="0"/>
    <s v="Tech B"/>
    <s v="NHIA"/>
    <m/>
  </r>
  <r>
    <s v="S1681"/>
    <s v="P62125"/>
    <s v="Male"/>
    <n v="48"/>
    <x v="5"/>
    <s v="Blood"/>
    <x v="3"/>
    <d v="2026-01-19T00:00:00"/>
    <x v="3"/>
    <d v="1899-12-30T13:52:00"/>
    <n v="4"/>
    <d v="2026-01-19T00:00:00"/>
    <d v="1899-12-30T21:52:00"/>
    <n v="8"/>
    <x v="0"/>
    <s v="Accepted"/>
    <x v="0"/>
    <s v="Completed"/>
    <n v="25"/>
    <x v="0"/>
    <x v="2"/>
    <n v="3"/>
    <s v="Dr Adebayo"/>
    <x v="2"/>
    <s v="Tech A"/>
    <s v="NHIA"/>
    <s v="Test-department mismatch"/>
  </r>
  <r>
    <s v="S1682"/>
    <s v="P47281"/>
    <s v="Male"/>
    <n v="54"/>
    <x v="4"/>
    <s v="Blood"/>
    <x v="0"/>
    <d v="2026-03-14T00:00:00"/>
    <x v="1"/>
    <d v="1899-12-30T15:45:00"/>
    <n v="6"/>
    <d v="2026-03-14T00:00:00"/>
    <d v="1899-12-30T23:45:00"/>
    <n v="8"/>
    <x v="0"/>
    <s v="Accepted"/>
    <x v="0"/>
    <s v="Completed"/>
    <n v="40"/>
    <x v="1"/>
    <x v="1"/>
    <n v="4"/>
    <s v="Dr Adebayo"/>
    <x v="0"/>
    <s v="Tech C"/>
    <s v="HMO"/>
    <s v=" "/>
  </r>
  <r>
    <s v="S1683"/>
    <s v="P87885"/>
    <s v="Male"/>
    <n v="4"/>
    <x v="5"/>
    <s v="Blood"/>
    <x v="0"/>
    <d v="2026-01-31T00:00:00"/>
    <x v="3"/>
    <d v="1899-12-30T07:40:00"/>
    <n v="4"/>
    <d v="2026-01-31T00:00:00"/>
    <d v="1899-12-30T18:40:00"/>
    <n v="11"/>
    <x v="0"/>
    <s v="Accepted"/>
    <x v="0"/>
    <s v="Completed"/>
    <n v="25"/>
    <x v="0"/>
    <x v="1"/>
    <n v="4"/>
    <s v="Dr Ahmed"/>
    <x v="2"/>
    <s v="Tech A"/>
    <s v="Private"/>
    <s v="Test-department mismatch"/>
  </r>
  <r>
    <s v="S1684"/>
    <s v="P28756"/>
    <s v="Male"/>
    <n v="69"/>
    <x v="3"/>
    <s v="Blood"/>
    <x v="3"/>
    <d v="2026-05-15T00:00:00"/>
    <x v="4"/>
    <d v="1899-12-30T08:55:00"/>
    <n v="24"/>
    <d v="2026-05-16T00:00:00"/>
    <d v="1899-12-30T07:55:00"/>
    <n v="23"/>
    <x v="1"/>
    <s v="Accepted"/>
    <x v="0"/>
    <s v="Completed"/>
    <n v="50"/>
    <x v="0"/>
    <x v="1"/>
    <n v="4"/>
    <s v="Dr Okafor"/>
    <x v="2"/>
    <s v="Tech A"/>
    <s v="HMO"/>
    <s v="Test-department mismatch"/>
  </r>
  <r>
    <s v="S1685"/>
    <s v="P32769"/>
    <s v="Female"/>
    <n v="55"/>
    <x v="1"/>
    <s v="Blood"/>
    <x v="0"/>
    <d v="2026-05-22T00:00:00"/>
    <x v="4"/>
    <d v="1899-12-30T13:30:00"/>
    <n v="3"/>
    <d v="2026-05-22T00:00:00"/>
    <d v="1899-12-30T18:30:00"/>
    <n v="5"/>
    <x v="0"/>
    <s v="Accepted"/>
    <x v="0"/>
    <s v="Completed"/>
    <n v="15"/>
    <x v="1"/>
    <x v="1"/>
    <n v="2"/>
    <s v="Dr Adebayo"/>
    <x v="0"/>
    <s v="Tech C"/>
    <s v="HMO"/>
    <s v="Test-department mismatch"/>
  </r>
  <r>
    <s v="S1686"/>
    <s v="P11115"/>
    <s v="Female"/>
    <n v="64"/>
    <x v="0"/>
    <s v="Blood"/>
    <x v="1"/>
    <d v="2026-04-24T00:00:00"/>
    <x v="0"/>
    <d v="1899-12-30T16:25:00"/>
    <n v="5"/>
    <d v="2026-04-24T00:00:00"/>
    <d v="1899-12-30T20:25:00"/>
    <n v="4"/>
    <x v="1"/>
    <s v="Accepted"/>
    <x v="0"/>
    <s v="Completed"/>
    <n v="35"/>
    <x v="1"/>
    <x v="2"/>
    <n v="1"/>
    <s v="Dr James"/>
    <x v="1"/>
    <s v="Tech A"/>
    <s v="NHIA"/>
    <s v="Test-department mismatch"/>
  </r>
  <r>
    <s v="S1687"/>
    <s v="P80536"/>
    <s v="Male"/>
    <n v="62"/>
    <x v="3"/>
    <s v="Blood"/>
    <x v="4"/>
    <d v="2026-02-17T00:00:00"/>
    <x v="5"/>
    <d v="1899-12-30T12:50:00"/>
    <n v="24"/>
    <d v="2026-02-18T00:00:00"/>
    <d v="1899-12-30T18:50:00"/>
    <n v="30"/>
    <x v="0"/>
    <s v="Accepted"/>
    <x v="0"/>
    <s v="Completed"/>
    <n v="50"/>
    <x v="0"/>
    <x v="1"/>
    <n v="2"/>
    <s v="Dr Adebayo"/>
    <x v="3"/>
    <s v="Tech C"/>
    <s v="HMO"/>
    <s v=" "/>
  </r>
  <r>
    <s v="S1688"/>
    <s v="P31965"/>
    <s v="Female"/>
    <n v="31"/>
    <x v="0"/>
    <s v="Blood"/>
    <x v="0"/>
    <d v="2026-04-17T00:00:00"/>
    <x v="0"/>
    <d v="1899-12-30T10:41:00"/>
    <n v="5"/>
    <d v="2026-04-17T00:00:00"/>
    <d v="1899-12-30T16:41:00"/>
    <n v="6"/>
    <x v="0"/>
    <s v="Accepted"/>
    <x v="0"/>
    <s v="Completed"/>
    <n v="35"/>
    <x v="1"/>
    <x v="1"/>
    <n v="4"/>
    <s v="Dr Ahmed"/>
    <x v="0"/>
    <s v="Tech B"/>
    <s v="HMO"/>
    <s v=" "/>
  </r>
  <r>
    <s v="S1689"/>
    <s v="P57762"/>
    <s v="Male"/>
    <n v="69"/>
    <x v="0"/>
    <s v="Blood"/>
    <x v="0"/>
    <d v="2026-06-07T00:00:00"/>
    <x v="2"/>
    <d v="1899-12-30T11:58:00"/>
    <n v="5"/>
    <d v="2026-06-07T00:00:00"/>
    <d v="1899-12-30T21:58:00"/>
    <n v="10"/>
    <x v="0"/>
    <s v="Rejected"/>
    <x v="1"/>
    <s v="Completed"/>
    <n v="35"/>
    <x v="1"/>
    <x v="1"/>
    <n v="1"/>
    <s v="Dr Okafor"/>
    <x v="0"/>
    <s v="Tech B"/>
    <s v="HMO"/>
    <s v="Sample-test status mismatch; Rejected sample with released result"/>
  </r>
  <r>
    <s v="S1690"/>
    <s v="P43316"/>
    <s v="Male"/>
    <n v="37"/>
    <x v="1"/>
    <s v="Blood"/>
    <x v="2"/>
    <d v="2026-06-29T00:00:00"/>
    <x v="2"/>
    <d v="1899-12-30T14:29:00"/>
    <n v="3"/>
    <d v="2026-06-29T00:00:00"/>
    <d v="1899-12-30T22:29:00"/>
    <n v="8"/>
    <x v="0"/>
    <s v="Accepted"/>
    <x v="0"/>
    <s v="Completed"/>
    <n v="15"/>
    <x v="1"/>
    <x v="1"/>
    <n v="4"/>
    <s v="Dr Okafor"/>
    <x v="2"/>
    <s v="Tech B"/>
    <s v="Private"/>
    <m/>
  </r>
  <r>
    <s v="S1691"/>
    <s v="P63016"/>
    <s v="Male"/>
    <n v="78"/>
    <x v="2"/>
    <s v="Urine"/>
    <x v="3"/>
    <d v="2026-03-15T00:00:00"/>
    <x v="1"/>
    <d v="1899-12-30T09:19:00"/>
    <n v="8"/>
    <d v="2026-03-15T00:00:00"/>
    <d v="1899-12-30T22:19:00"/>
    <n v="13"/>
    <x v="0"/>
    <s v="Accepted"/>
    <x v="0"/>
    <s v="Completed"/>
    <n v="20"/>
    <x v="0"/>
    <x v="1"/>
    <n v="2"/>
    <s v="Dr Adebayo"/>
    <x v="1"/>
    <s v="Tech C"/>
    <s v="NHIA"/>
    <s v=" "/>
  </r>
  <r>
    <s v="S1692"/>
    <s v="P65779"/>
    <s v="Male"/>
    <n v="78"/>
    <x v="5"/>
    <s v="Blood"/>
    <x v="1"/>
    <d v="2026-04-04T00:00:00"/>
    <x v="0"/>
    <d v="1899-12-30T16:19:00"/>
    <n v="4"/>
    <d v="2026-04-04T00:00:00"/>
    <d v="1899-12-30T21:19:00"/>
    <n v="5"/>
    <x v="0"/>
    <s v="Accepted"/>
    <x v="0"/>
    <s v="Completed"/>
    <n v="25"/>
    <x v="1"/>
    <x v="1"/>
    <n v="5"/>
    <s v="Dr Okafor"/>
    <x v="3"/>
    <s v="Tech B"/>
    <s v="HMO"/>
    <s v="Test-department mismatch"/>
  </r>
  <r>
    <s v="S1693"/>
    <s v="P88748"/>
    <s v="Female"/>
    <n v="90"/>
    <x v="1"/>
    <s v="Blood"/>
    <x v="2"/>
    <d v="2026-02-03T00:00:00"/>
    <x v="5"/>
    <d v="1899-12-30T15:17:00"/>
    <n v="3"/>
    <d v="2026-02-04T00:00:00"/>
    <d v="1899-12-30T00:17:00"/>
    <n v="9"/>
    <x v="0"/>
    <s v="Accepted"/>
    <x v="0"/>
    <s v="Completed"/>
    <n v="15"/>
    <x v="1"/>
    <x v="0"/>
    <n v="1"/>
    <s v="Dr James"/>
    <x v="3"/>
    <s v="Tech B"/>
    <s v="Private"/>
    <m/>
  </r>
  <r>
    <s v="S1694"/>
    <s v="P91261"/>
    <s v="Male"/>
    <n v="11"/>
    <x v="2"/>
    <s v="Urine"/>
    <x v="3"/>
    <d v="2026-06-14T00:00:00"/>
    <x v="2"/>
    <d v="1899-12-30T09:44:00"/>
    <n v="8"/>
    <d v="2026-06-14T00:00:00"/>
    <d v="1899-12-30T16:44:00"/>
    <n v="7"/>
    <x v="1"/>
    <s v="Accepted"/>
    <x v="0"/>
    <s v="Completed"/>
    <n v="20"/>
    <x v="0"/>
    <x v="1"/>
    <n v="4"/>
    <s v="Dr James"/>
    <x v="3"/>
    <s v="Tech C"/>
    <s v="NHIA"/>
    <s v=" "/>
  </r>
  <r>
    <s v="S1695"/>
    <s v="P86694"/>
    <s v="Male"/>
    <n v="56"/>
    <x v="1"/>
    <s v="Blood"/>
    <x v="2"/>
    <d v="2026-06-11T00:00:00"/>
    <x v="2"/>
    <d v="1899-12-30T13:43:00"/>
    <n v="3"/>
    <d v="2026-06-11T00:00:00"/>
    <d v="1899-12-30T21:43:00"/>
    <n v="8"/>
    <x v="0"/>
    <s v="Accepted"/>
    <x v="0"/>
    <s v="Completed"/>
    <n v="15"/>
    <x v="1"/>
    <x v="2"/>
    <n v="1"/>
    <s v="Dr Okafor"/>
    <x v="1"/>
    <s v="Tech A"/>
    <s v="HMO"/>
    <m/>
  </r>
  <r>
    <s v="S1696"/>
    <s v="P12144"/>
    <s v="Male"/>
    <n v="33"/>
    <x v="5"/>
    <s v="Blood"/>
    <x v="1"/>
    <d v="2026-02-11T00:00:00"/>
    <x v="5"/>
    <d v="1899-12-30T14:16:00"/>
    <n v="4"/>
    <d v="2026-02-11T00:00:00"/>
    <d v="1899-12-30T17:16:00"/>
    <n v="3"/>
    <x v="1"/>
    <s v="Accepted"/>
    <x v="0"/>
    <s v="Completed"/>
    <n v="25"/>
    <x v="1"/>
    <x v="1"/>
    <n v="3"/>
    <s v="Dr James"/>
    <x v="2"/>
    <s v="Tech A"/>
    <s v="NHIA"/>
    <s v="Test-department mismatch"/>
  </r>
  <r>
    <s v="S1697"/>
    <s v="P74364"/>
    <s v="Female"/>
    <n v="32"/>
    <x v="5"/>
    <s v="Blood"/>
    <x v="4"/>
    <d v="2026-03-06T00:00:00"/>
    <x v="1"/>
    <d v="1899-12-30T07:02:00"/>
    <n v="4"/>
    <d v="2026-03-06T00:00:00"/>
    <d v="1899-12-30T17:02:00"/>
    <n v="10"/>
    <x v="0"/>
    <s v="Accepted"/>
    <x v="0"/>
    <s v="Completed"/>
    <n v="25"/>
    <x v="0"/>
    <x v="1"/>
    <n v="3"/>
    <s v="Dr Adebayo"/>
    <x v="1"/>
    <s v="Tech C"/>
    <s v="NHIA"/>
    <s v="Test-department mismatch"/>
  </r>
  <r>
    <s v="S1698"/>
    <s v="P82179"/>
    <s v="Female"/>
    <n v="31"/>
    <x v="3"/>
    <s v="Blood"/>
    <x v="4"/>
    <d v="2026-05-27T00:00:00"/>
    <x v="4"/>
    <d v="1899-12-30T16:15:00"/>
    <n v="24"/>
    <d v="2026-05-28T00:00:00"/>
    <d v="1899-12-30T16:15:00"/>
    <n v="24"/>
    <x v="1"/>
    <s v="Accepted"/>
    <x v="0"/>
    <s v="Completed"/>
    <n v="50"/>
    <x v="1"/>
    <x v="2"/>
    <n v="2"/>
    <s v="Dr Ahmed"/>
    <x v="1"/>
    <s v="Tech A"/>
    <s v="Private"/>
    <s v="Female patient with PSA test"/>
  </r>
  <r>
    <s v="S1699"/>
    <s v="P81034"/>
    <s v="Female"/>
    <n v="54"/>
    <x v="2"/>
    <s v="Urine"/>
    <x v="2"/>
    <d v="2026-05-18T00:00:00"/>
    <x v="4"/>
    <d v="1899-12-30T07:49:00"/>
    <n v="8"/>
    <d v="2026-05-18T00:00:00"/>
    <d v="1899-12-30T20:49:00"/>
    <n v="13"/>
    <x v="0"/>
    <s v="Accepted"/>
    <x v="0"/>
    <s v="Completed"/>
    <n v="20"/>
    <x v="1"/>
    <x v="2"/>
    <n v="1"/>
    <s v="Dr Adebayo"/>
    <x v="0"/>
    <s v="Tech C"/>
    <s v="Private"/>
    <s v="Test-department mismatch"/>
  </r>
  <r>
    <s v="S1700"/>
    <s v="P68937"/>
    <s v="Female"/>
    <n v="63"/>
    <x v="0"/>
    <s v="Blood"/>
    <x v="0"/>
    <d v="2026-04-24T00:00:00"/>
    <x v="0"/>
    <d v="1899-12-30T12:01:00"/>
    <n v="5"/>
    <d v="2026-04-24T00:00:00"/>
    <d v="1899-12-30T22:01:00"/>
    <n v="10"/>
    <x v="0"/>
    <s v="Accepted"/>
    <x v="0"/>
    <s v="Completed"/>
    <n v="-20"/>
    <x v="1"/>
    <x v="2"/>
    <n v="3"/>
    <s v="Dr Okafor"/>
    <x v="2"/>
    <s v="Tech B"/>
    <s v="Private"/>
    <s v=" "/>
  </r>
  <r>
    <s v="S1701"/>
    <s v="P71228"/>
    <s v="Female"/>
    <n v="13"/>
    <x v="1"/>
    <s v="Blood"/>
    <x v="2"/>
    <d v="2026-04-17T00:00:00"/>
    <x v="0"/>
    <d v="1899-12-30T09:14:00"/>
    <n v="3"/>
    <d v="2026-04-17T00:00:00"/>
    <d v="1899-12-30T13:14:00"/>
    <n v="4"/>
    <x v="0"/>
    <s v="Accepted"/>
    <x v="0"/>
    <s v="Completed"/>
    <n v="15"/>
    <x v="1"/>
    <x v="2"/>
    <n v="2"/>
    <s v="Dr Okafor"/>
    <x v="0"/>
    <s v="Tech A"/>
    <s v="HMO"/>
    <m/>
  </r>
  <r>
    <s v="S1702"/>
    <s v="P22136"/>
    <s v="Male"/>
    <n v="60"/>
    <x v="5"/>
    <s v="Blood"/>
    <x v="1"/>
    <d v="2026-06-04T00:00:00"/>
    <x v="2"/>
    <d v="1899-12-30T14:42:00"/>
    <n v="4"/>
    <d v="2026-06-04T00:00:00"/>
    <d v="1899-12-30T19:42:00"/>
    <n v="5"/>
    <x v="0"/>
    <s v="Accepted"/>
    <x v="0"/>
    <s v="Completed"/>
    <n v="25"/>
    <x v="1"/>
    <x v="1"/>
    <n v="3"/>
    <s v="Dr Adebayo"/>
    <x v="1"/>
    <s v="Tech C"/>
    <s v="NHIA"/>
    <s v="Test-department mismatch"/>
  </r>
  <r>
    <s v="S1703"/>
    <s v="P94988"/>
    <s v="Female"/>
    <n v="66"/>
    <x v="2"/>
    <s v="Urine"/>
    <x v="4"/>
    <d v="2026-06-07T00:00:00"/>
    <x v="2"/>
    <d v="1899-12-30T10:05:00"/>
    <n v="8"/>
    <d v="2026-06-07T00:00:00"/>
    <d v="1899-12-30T23:05:00"/>
    <n v="13"/>
    <x v="0"/>
    <s v="Accepted"/>
    <x v="0"/>
    <s v="Completed"/>
    <n v="20"/>
    <x v="0"/>
    <x v="2"/>
    <n v="2"/>
    <s v="Dr Ahmed"/>
    <x v="1"/>
    <s v="Tech B"/>
    <s v="Private"/>
    <s v="Test-department mismatch"/>
  </r>
  <r>
    <s v="S1704"/>
    <s v="P58183"/>
    <s v="Male"/>
    <n v="89"/>
    <x v="1"/>
    <s v="Blood"/>
    <x v="3"/>
    <d v="2026-05-11T00:00:00"/>
    <x v="4"/>
    <d v="1899-12-30T10:51:00"/>
    <n v="3"/>
    <d v="2026-05-11T00:00:00"/>
    <d v="1899-12-30T17:51:00"/>
    <n v="7"/>
    <x v="0"/>
    <s v="Accepted"/>
    <x v="0"/>
    <s v="Completed"/>
    <n v="15"/>
    <x v="0"/>
    <x v="2"/>
    <n v="5"/>
    <s v="Dr James"/>
    <x v="3"/>
    <s v="Tech C"/>
    <s v="Private"/>
    <s v="Test-department mismatch"/>
  </r>
  <r>
    <s v="S1705"/>
    <s v="P74697"/>
    <s v="Female"/>
    <n v="25"/>
    <x v="4"/>
    <s v="Blood"/>
    <x v="0"/>
    <d v="2026-06-13T00:00:00"/>
    <x v="2"/>
    <d v="1899-12-30T07:55:00"/>
    <n v="6"/>
    <d v="2026-06-13T00:00:00"/>
    <d v="1899-12-30T20:55:00"/>
    <n v="13"/>
    <x v="0"/>
    <s v="Accepted"/>
    <x v="0"/>
    <s v="Completed"/>
    <n v="40"/>
    <x v="1"/>
    <x v="0"/>
    <n v="5"/>
    <s v="Dr Adebayo"/>
    <x v="1"/>
    <s v="Tech A"/>
    <s v="NHIA"/>
    <s v=" "/>
  </r>
  <r>
    <s v="S1706"/>
    <s v="P81094"/>
    <s v="Female"/>
    <n v="39"/>
    <x v="0"/>
    <s v="Blood"/>
    <x v="0"/>
    <d v="2026-02-05T00:00:00"/>
    <x v="5"/>
    <d v="1899-12-30T15:50:00"/>
    <n v="5"/>
    <d v="2026-02-06T00:00:00"/>
    <d v="1899-12-30T02:50:00"/>
    <n v="11"/>
    <x v="0"/>
    <s v="Accepted"/>
    <x v="0"/>
    <s v="Completed"/>
    <n v="35"/>
    <x v="1"/>
    <x v="1"/>
    <n v="2"/>
    <s v="Dr James"/>
    <x v="3"/>
    <s v="Tech C"/>
    <s v="NHIA"/>
    <s v=" "/>
  </r>
  <r>
    <s v="S1707"/>
    <s v="P31155"/>
    <s v="Female"/>
    <n v="22"/>
    <x v="4"/>
    <s v="Blood"/>
    <x v="2"/>
    <d v="2026-02-10T00:00:00"/>
    <x v="5"/>
    <d v="1899-12-30T10:19:00"/>
    <n v="6"/>
    <d v="2026-02-10T00:00:00"/>
    <d v="1899-12-30T23:19:00"/>
    <n v="13"/>
    <x v="0"/>
    <s v="Rejected"/>
    <x v="2"/>
    <s v="Completed"/>
    <n v="40"/>
    <x v="1"/>
    <x v="1"/>
    <n v="1"/>
    <s v="Dr Okafor"/>
    <x v="3"/>
    <s v="Tech B"/>
    <s v="HMO"/>
    <s v="Test-department mismatch; Sample-test status mismatch; Rejected sample with released result"/>
  </r>
  <r>
    <s v="S1708"/>
    <s v="P77887"/>
    <s v="Male"/>
    <n v="14"/>
    <x v="3"/>
    <s v="Blood"/>
    <x v="4"/>
    <d v="2026-06-24T00:00:00"/>
    <x v="2"/>
    <d v="1899-12-30T10:27:00"/>
    <n v="24"/>
    <d v="2026-06-25T00:00:00"/>
    <d v="1899-12-30T17:27:00"/>
    <n v="31"/>
    <x v="0"/>
    <s v="Accepted"/>
    <x v="0"/>
    <s v="Completed"/>
    <n v="50"/>
    <x v="0"/>
    <x v="1"/>
    <n v="1"/>
    <s v="Dr James"/>
    <x v="2"/>
    <s v="Tech A"/>
    <s v="Private"/>
    <s v="Suspicious Test-Age Combination"/>
  </r>
  <r>
    <s v="S1709"/>
    <s v="P46045"/>
    <s v="Female"/>
    <n v="69"/>
    <x v="1"/>
    <s v="Blood"/>
    <x v="0"/>
    <d v="2026-02-14T00:00:00"/>
    <x v="5"/>
    <d v="1899-12-30T16:42:00"/>
    <n v="3"/>
    <d v="2026-02-14T00:00:00"/>
    <d v="1899-12-30T20:42:00"/>
    <n v="4"/>
    <x v="0"/>
    <s v="Accepted"/>
    <x v="0"/>
    <s v="Completed"/>
    <n v="15"/>
    <x v="1"/>
    <x v="1"/>
    <n v="1"/>
    <s v="Dr James"/>
    <x v="3"/>
    <s v="Tech C"/>
    <s v="Private"/>
    <s v="Test-department mismatch"/>
  </r>
  <r>
    <s v="S1710"/>
    <s v="P23482"/>
    <s v="Male"/>
    <n v="19"/>
    <x v="4"/>
    <s v="Blood"/>
    <x v="2"/>
    <d v="2026-03-13T00:00:00"/>
    <x v="1"/>
    <d v="1899-12-30T15:27:00"/>
    <n v="6"/>
    <d v="2026-03-14T00:00:00"/>
    <d v="1899-12-30T00:27:00"/>
    <n v="9"/>
    <x v="0"/>
    <s v="Accepted"/>
    <x v="0"/>
    <s v="Completed"/>
    <n v="40"/>
    <x v="0"/>
    <x v="2"/>
    <n v="4"/>
    <s v="Dr James"/>
    <x v="1"/>
    <s v="Tech A"/>
    <s v="NHIA"/>
    <s v="Test-department mismatch"/>
  </r>
  <r>
    <s v="S1711"/>
    <s v="P73629"/>
    <s v="Female"/>
    <n v="48"/>
    <x v="0"/>
    <s v="Blood"/>
    <x v="1"/>
    <d v="2026-03-22T00:00:00"/>
    <x v="1"/>
    <d v="1899-12-30T10:24:00"/>
    <n v="5"/>
    <d v="2026-03-22T00:00:00"/>
    <d v="1899-12-30T15:24:00"/>
    <n v="5"/>
    <x v="1"/>
    <s v="Accepted"/>
    <x v="0"/>
    <s v="Completed"/>
    <n v="35"/>
    <x v="0"/>
    <x v="0"/>
    <n v="3"/>
    <s v="Dr Okafor"/>
    <x v="2"/>
    <s v="Tech A"/>
    <s v="HMO"/>
    <s v="Test-department mismatch"/>
  </r>
  <r>
    <s v="S1712"/>
    <s v="P99103"/>
    <s v="Male"/>
    <n v="2"/>
    <x v="4"/>
    <s v="Blood"/>
    <x v="0"/>
    <d v="2026-06-11T00:00:00"/>
    <x v="2"/>
    <d v="1899-12-30T09:46:00"/>
    <n v="6"/>
    <d v="2026-06-11T00:00:00"/>
    <d v="1899-12-30T18:46:00"/>
    <n v="9"/>
    <x v="0"/>
    <s v="Accepted"/>
    <x v="0"/>
    <s v="Completed"/>
    <n v="40"/>
    <x v="0"/>
    <x v="2"/>
    <n v="4"/>
    <s v="Dr Adebayo"/>
    <x v="2"/>
    <s v="Tech A"/>
    <s v="Private"/>
    <s v=" "/>
  </r>
  <r>
    <s v="S1713"/>
    <s v="P41416"/>
    <s v="Female"/>
    <n v="50"/>
    <x v="4"/>
    <s v="Blood"/>
    <x v="0"/>
    <d v="2026-01-04T00:00:00"/>
    <x v="3"/>
    <d v="1899-12-30T13:04:00"/>
    <n v="6"/>
    <d v="2026-01-04T00:00:00"/>
    <d v="1899-12-30T18:04:00"/>
    <n v="5"/>
    <x v="1"/>
    <s v="Accepted"/>
    <x v="0"/>
    <s v="Completed"/>
    <n v="40"/>
    <x v="1"/>
    <x v="1"/>
    <n v="5"/>
    <s v="Dr Ahmed"/>
    <x v="1"/>
    <s v="Tech B"/>
    <s v="Private"/>
    <s v=" "/>
  </r>
  <r>
    <s v="S1714"/>
    <s v="P85090"/>
    <s v="Male"/>
    <n v="72"/>
    <x v="5"/>
    <s v="Blood"/>
    <x v="1"/>
    <d v="2026-03-01T00:00:00"/>
    <x v="1"/>
    <d v="1899-12-30T14:07:00"/>
    <n v="4"/>
    <d v="2026-03-01T00:00:00"/>
    <d v="1899-12-30T23:07:00"/>
    <n v="9"/>
    <x v="0"/>
    <s v="Accepted"/>
    <x v="0"/>
    <s v="Completed"/>
    <n v="25"/>
    <x v="0"/>
    <x v="1"/>
    <n v="2"/>
    <s v="Dr Ahmed"/>
    <x v="1"/>
    <s v="Tech C"/>
    <s v="HMO"/>
    <s v="Test-department mismatch"/>
  </r>
  <r>
    <s v="S1715"/>
    <s v="P91941"/>
    <s v="Male"/>
    <n v="48"/>
    <x v="3"/>
    <s v="Blood"/>
    <x v="3"/>
    <d v="2026-02-10T00:00:00"/>
    <x v="5"/>
    <d v="1899-12-30T10:31:00"/>
    <n v="24"/>
    <d v="2026-02-11T00:00:00"/>
    <d v="1899-12-30T18:31:00"/>
    <n v="32"/>
    <x v="0"/>
    <s v="Accepted"/>
    <x v="0"/>
    <s v="Completed"/>
    <n v="50"/>
    <x v="1"/>
    <x v="0"/>
    <n v="5"/>
    <s v="Dr Adebayo"/>
    <x v="3"/>
    <s v="Tech B"/>
    <s v="Private"/>
    <s v="Test-department mismatch"/>
  </r>
  <r>
    <s v="S1716"/>
    <s v="P58257"/>
    <s v="Male"/>
    <n v="14"/>
    <x v="2"/>
    <s v="Urine"/>
    <x v="3"/>
    <d v="2026-06-28T00:00:00"/>
    <x v="2"/>
    <d v="1899-12-30T09:00:00"/>
    <n v="8"/>
    <d v="2026-06-28T00:00:00"/>
    <d v="1899-12-30T20:00:00"/>
    <n v="11"/>
    <x v="0"/>
    <s v="Accepted"/>
    <x v="0"/>
    <s v="Completed"/>
    <n v="20"/>
    <x v="0"/>
    <x v="2"/>
    <n v="5"/>
    <s v="Dr Ahmed"/>
    <x v="2"/>
    <s v="Tech A"/>
    <s v="HMO"/>
    <s v=" "/>
  </r>
  <r>
    <s v="S1717"/>
    <s v="P69062"/>
    <s v="Male"/>
    <n v="30"/>
    <x v="0"/>
    <s v="Blood"/>
    <x v="0"/>
    <d v="2026-03-27T00:00:00"/>
    <x v="1"/>
    <d v="1899-12-30T16:51:00"/>
    <n v="5"/>
    <d v="2026-03-28T00:00:00"/>
    <d v="1899-12-30T01:51:00"/>
    <n v="9"/>
    <x v="0"/>
    <s v="Accepted"/>
    <x v="0"/>
    <s v="Completed"/>
    <n v="35"/>
    <x v="1"/>
    <x v="2"/>
    <n v="5"/>
    <s v="Dr Adebayo"/>
    <x v="2"/>
    <s v="Tech C"/>
    <s v="HMO"/>
    <s v=" "/>
  </r>
  <r>
    <s v="S1718"/>
    <s v="P50784"/>
    <s v="Male"/>
    <n v="55"/>
    <x v="3"/>
    <s v="Blood"/>
    <x v="4"/>
    <d v="2026-06-11T00:00:00"/>
    <x v="2"/>
    <d v="1899-12-30T15:22:00"/>
    <n v="24"/>
    <d v="2026-06-12T00:00:00"/>
    <d v="1899-12-30T23:22:00"/>
    <n v="32"/>
    <x v="0"/>
    <s v="Accepted"/>
    <x v="0"/>
    <s v="Completed"/>
    <n v="50"/>
    <x v="1"/>
    <x v="0"/>
    <n v="5"/>
    <s v="Dr James"/>
    <x v="1"/>
    <s v="Tech C"/>
    <s v="Private"/>
    <s v=" "/>
  </r>
  <r>
    <s v="S1719"/>
    <s v="P24564"/>
    <s v="Female"/>
    <n v="66"/>
    <x v="2"/>
    <s v="Urine"/>
    <x v="1"/>
    <d v="2026-04-09T00:00:00"/>
    <x v="0"/>
    <d v="1899-12-30T09:28:00"/>
    <n v="8"/>
    <d v="2026-04-09T00:00:00"/>
    <d v="1899-12-30T21:28:00"/>
    <n v="12"/>
    <x v="0"/>
    <s v="Accepted"/>
    <x v="0"/>
    <s v="Completed"/>
    <n v="20"/>
    <x v="1"/>
    <x v="2"/>
    <n v="3"/>
    <s v="Dr Ahmed"/>
    <x v="3"/>
    <s v="Tech A"/>
    <s v="Private"/>
    <s v="Test-department mismatch"/>
  </r>
  <r>
    <s v="S1720"/>
    <s v="P27825"/>
    <s v="Male"/>
    <n v="11"/>
    <x v="0"/>
    <s v="Blood"/>
    <x v="3"/>
    <d v="2026-01-29T00:00:00"/>
    <x v="3"/>
    <d v="1899-12-30T16:50:00"/>
    <n v="5"/>
    <d v="2026-01-30T00:00:00"/>
    <d v="1899-12-30T05:50:00"/>
    <n v="13"/>
    <x v="0"/>
    <s v="Accepted"/>
    <x v="0"/>
    <s v="Completed"/>
    <n v="35"/>
    <x v="1"/>
    <x v="1"/>
    <n v="2"/>
    <s v="Dr Adebayo"/>
    <x v="3"/>
    <s v="Tech B"/>
    <s v="Private"/>
    <s v="Test-department mismatch"/>
  </r>
  <r>
    <s v="S1721"/>
    <s v="P17711"/>
    <s v="Female"/>
    <n v="26"/>
    <x v="1"/>
    <s v="Blood"/>
    <x v="2"/>
    <d v="2026-02-03T00:00:00"/>
    <x v="5"/>
    <d v="1899-12-30T10:37:00"/>
    <n v="3"/>
    <d v="2026-02-03T00:00:00"/>
    <d v="1899-12-30T20:37:00"/>
    <n v="10"/>
    <x v="0"/>
    <s v="Accepted"/>
    <x v="0"/>
    <s v="Completed"/>
    <n v="15"/>
    <x v="0"/>
    <x v="0"/>
    <n v="1"/>
    <s v="Dr Okafor"/>
    <x v="3"/>
    <s v="Tech A"/>
    <s v="NHIA"/>
    <m/>
  </r>
  <r>
    <s v="S1722"/>
    <s v="P68349"/>
    <s v="Male"/>
    <n v="31"/>
    <x v="1"/>
    <s v="Blood"/>
    <x v="3"/>
    <d v="2026-03-03T00:00:00"/>
    <x v="1"/>
    <d v="1899-12-30T07:45:00"/>
    <n v="3"/>
    <d v="2026-03-03T00:00:00"/>
    <d v="1899-12-30T13:45:00"/>
    <n v="6"/>
    <x v="0"/>
    <s v="Accepted"/>
    <x v="0"/>
    <s v="Completed"/>
    <n v="15"/>
    <x v="0"/>
    <x v="0"/>
    <n v="2"/>
    <s v="Dr Ahmed"/>
    <x v="1"/>
    <s v="Tech B"/>
    <s v="HMO"/>
    <s v="Test-department mismatch"/>
  </r>
  <r>
    <s v="S1723"/>
    <s v="P72335"/>
    <s v="Male"/>
    <n v="3"/>
    <x v="4"/>
    <s v="Blood"/>
    <x v="1"/>
    <d v="2026-01-04T00:00:00"/>
    <x v="3"/>
    <d v="1899-12-30T12:05:00"/>
    <n v="6"/>
    <d v="2026-01-04T00:00:00"/>
    <d v="1899-12-30T20:05:00"/>
    <n v="8"/>
    <x v="0"/>
    <s v="Rejected"/>
    <x v="2"/>
    <s v="Completed"/>
    <n v="40"/>
    <x v="0"/>
    <x v="0"/>
    <n v="1"/>
    <s v="Dr Ahmed"/>
    <x v="1"/>
    <s v="Tech B"/>
    <s v="NHIA"/>
    <s v="Test-department mismatch; Sample-test status mismatch; Rejected sample with released result"/>
  </r>
  <r>
    <s v="S1724"/>
    <s v="P32124"/>
    <s v="Female"/>
    <n v="17"/>
    <x v="1"/>
    <s v="Blood"/>
    <x v="2"/>
    <d v="2026-01-20T00:00:00"/>
    <x v="3"/>
    <d v="1899-12-30T14:34:00"/>
    <n v="3"/>
    <d v="2026-01-20T00:00:00"/>
    <d v="1899-12-30T18:34:00"/>
    <n v="4"/>
    <x v="0"/>
    <s v="Accepted"/>
    <x v="0"/>
    <s v="Completed"/>
    <n v="15"/>
    <x v="0"/>
    <x v="2"/>
    <n v="2"/>
    <s v="Dr Adebayo"/>
    <x v="3"/>
    <s v="Tech A"/>
    <s v="HMO"/>
    <m/>
  </r>
  <r>
    <s v="S1725"/>
    <s v="P67890"/>
    <s v="Female"/>
    <n v="11"/>
    <x v="5"/>
    <s v="Blood"/>
    <x v="1"/>
    <d v="2026-01-30T00:00:00"/>
    <x v="3"/>
    <d v="1899-12-30T12:14:00"/>
    <n v="4"/>
    <d v="2026-01-30T00:00:00"/>
    <d v="1899-12-30T23:14:00"/>
    <n v="11"/>
    <x v="0"/>
    <s v="Accepted"/>
    <x v="0"/>
    <s v="Completed"/>
    <n v="25"/>
    <x v="1"/>
    <x v="1"/>
    <n v="3"/>
    <s v="Dr Adebayo"/>
    <x v="1"/>
    <s v="Tech A"/>
    <s v="Private"/>
    <s v="Test-department mismatch"/>
  </r>
  <r>
    <s v="S1726"/>
    <s v="P70225"/>
    <s v="Male"/>
    <n v="52"/>
    <x v="1"/>
    <s v="Blood"/>
    <x v="2"/>
    <d v="2026-05-22T00:00:00"/>
    <x v="4"/>
    <d v="1899-12-30T14:00:00"/>
    <n v="3"/>
    <d v="2026-05-22T00:00:00"/>
    <d v="1899-12-30T18:00:00"/>
    <n v="4"/>
    <x v="0"/>
    <s v="Accepted"/>
    <x v="0"/>
    <s v="Completed"/>
    <n v="15"/>
    <x v="1"/>
    <x v="0"/>
    <n v="2"/>
    <s v="Dr Ahmed"/>
    <x v="2"/>
    <s v="Tech C"/>
    <s v="HMO"/>
    <m/>
  </r>
  <r>
    <s v="S1727"/>
    <s v="P29337"/>
    <s v="Male"/>
    <n v="59"/>
    <x v="4"/>
    <s v="Blood"/>
    <x v="0"/>
    <d v="2026-06-30T00:00:00"/>
    <x v="2"/>
    <d v="1899-12-30T13:55:00"/>
    <n v="6"/>
    <d v="2026-06-30T00:00:00"/>
    <d v="1899-12-30T18:55:00"/>
    <n v="5"/>
    <x v="1"/>
    <s v="Accepted"/>
    <x v="0"/>
    <s v="Completed"/>
    <n v="40"/>
    <x v="0"/>
    <x v="1"/>
    <n v="3"/>
    <s v="Dr Ahmed"/>
    <x v="3"/>
    <s v="Tech A"/>
    <s v="NHIA"/>
    <s v=" "/>
  </r>
  <r>
    <s v="S1728"/>
    <s v="P43274"/>
    <s v="Male"/>
    <n v="50"/>
    <x v="3"/>
    <s v="Blood"/>
    <x v="3"/>
    <d v="2026-04-01T00:00:00"/>
    <x v="0"/>
    <d v="1899-12-30T08:58:00"/>
    <n v="24"/>
    <d v="2026-04-02T00:00:00"/>
    <d v="1899-12-30T09:58:00"/>
    <n v="25"/>
    <x v="0"/>
    <s v="Accepted"/>
    <x v="0"/>
    <s v="Completed"/>
    <n v="50"/>
    <x v="1"/>
    <x v="2"/>
    <n v="3"/>
    <s v="Dr Okafor"/>
    <x v="3"/>
    <s v="Tech A"/>
    <s v="HMO"/>
    <s v="Test-department mismatch"/>
  </r>
  <r>
    <s v="S1729"/>
    <s v="P24496"/>
    <s v="Female"/>
    <n v="8"/>
    <x v="3"/>
    <s v="Blood"/>
    <x v="2"/>
    <d v="2026-02-22T00:00:00"/>
    <x v="5"/>
    <d v="1899-12-30T13:30:00"/>
    <n v="24"/>
    <d v="2026-02-23T00:00:00"/>
    <d v="1899-12-30T16:30:00"/>
    <n v="27"/>
    <x v="0"/>
    <s v="Accepted"/>
    <x v="0"/>
    <s v="Completed"/>
    <n v="50"/>
    <x v="1"/>
    <x v="0"/>
    <n v="1"/>
    <s v="Dr Adebayo"/>
    <x v="0"/>
    <s v="Tech C"/>
    <s v="HMO"/>
    <s v="Female patient with PSA test; Suspicious Test-Age Combination;Test-department mismatch"/>
  </r>
  <r>
    <s v="S1730"/>
    <s v="P41061"/>
    <s v="Female"/>
    <n v="78"/>
    <x v="1"/>
    <s v="Blood"/>
    <x v="0"/>
    <d v="2026-06-06T00:00:00"/>
    <x v="2"/>
    <d v="1899-12-30T11:02:00"/>
    <n v="3"/>
    <d v="2026-06-06T00:00:00"/>
    <d v="1899-12-30T15:02:00"/>
    <n v="4"/>
    <x v="0"/>
    <s v="Accepted"/>
    <x v="0"/>
    <s v="Completed"/>
    <n v="15"/>
    <x v="1"/>
    <x v="2"/>
    <n v="1"/>
    <s v="Dr James"/>
    <x v="2"/>
    <s v="Tech A"/>
    <s v="HMO"/>
    <s v="Test-department mismatch"/>
  </r>
  <r>
    <s v="S1731"/>
    <s v="P79128"/>
    <s v="Male"/>
    <n v="68"/>
    <x v="4"/>
    <s v="Blood"/>
    <x v="3"/>
    <d v="2026-01-11T00:00:00"/>
    <x v="3"/>
    <d v="1899-12-30T07:08:00"/>
    <n v="6"/>
    <d v="2026-01-11T00:00:00"/>
    <d v="1899-12-30T18:08:00"/>
    <n v="11"/>
    <x v="0"/>
    <s v="Accepted"/>
    <x v="0"/>
    <s v="Completed"/>
    <n v="40"/>
    <x v="0"/>
    <x v="2"/>
    <n v="2"/>
    <s v="Dr Adebayo"/>
    <x v="1"/>
    <s v="Tech C"/>
    <s v="HMO"/>
    <s v="Test-department mismatch"/>
  </r>
  <r>
    <s v="S1732"/>
    <s v="P95584"/>
    <s v="Female"/>
    <n v="13"/>
    <x v="1"/>
    <s v="Blood"/>
    <x v="2"/>
    <d v="2026-04-18T00:00:00"/>
    <x v="0"/>
    <d v="1899-12-30T15:19:00"/>
    <n v="3"/>
    <d v="2026-04-19T00:00:00"/>
    <d v="1899-12-30T00:19:00"/>
    <n v="9"/>
    <x v="0"/>
    <s v="Accepted"/>
    <x v="0"/>
    <s v="Completed"/>
    <n v="15"/>
    <x v="1"/>
    <x v="2"/>
    <n v="2"/>
    <s v="Dr Okafor"/>
    <x v="2"/>
    <s v="Tech B"/>
    <s v="NHIA"/>
    <m/>
  </r>
  <r>
    <s v="S1733"/>
    <s v="P55168"/>
    <s v="Female"/>
    <n v="25"/>
    <x v="3"/>
    <s v="Blood"/>
    <x v="4"/>
    <d v="2026-03-31T00:00:00"/>
    <x v="1"/>
    <d v="1899-12-30T13:01:00"/>
    <n v="24"/>
    <d v="2026-04-01T00:00:00"/>
    <d v="1899-12-30T21:01:00"/>
    <n v="32"/>
    <x v="0"/>
    <s v="Accepted"/>
    <x v="0"/>
    <s v="Completed"/>
    <n v="50"/>
    <x v="0"/>
    <x v="0"/>
    <n v="4"/>
    <s v="Dr Adebayo"/>
    <x v="0"/>
    <s v="Tech A"/>
    <s v="NHIA"/>
    <s v="Female patient with PSA test"/>
  </r>
  <r>
    <s v="S1734"/>
    <s v="P40788"/>
    <s v="Male"/>
    <n v="53"/>
    <x v="5"/>
    <s v="Blood"/>
    <x v="3"/>
    <d v="2026-01-12T00:00:00"/>
    <x v="3"/>
    <d v="1899-12-30T07:23:00"/>
    <n v="4"/>
    <d v="2026-01-12T00:00:00"/>
    <d v="1899-12-30T16:23:00"/>
    <n v="9"/>
    <x v="0"/>
    <s v="Accepted"/>
    <x v="0"/>
    <s v="Completed"/>
    <n v="25"/>
    <x v="1"/>
    <x v="2"/>
    <n v="1"/>
    <s v="Dr Ahmed"/>
    <x v="0"/>
    <s v="Tech B"/>
    <s v="NHIA"/>
    <s v="Test-department mismatch"/>
  </r>
  <r>
    <s v="S1735"/>
    <s v="P14189"/>
    <s v="Male"/>
    <n v="47"/>
    <x v="5"/>
    <s v="Blood"/>
    <x v="1"/>
    <d v="2026-02-26T00:00:00"/>
    <x v="5"/>
    <d v="1899-12-30T10:38:00"/>
    <n v="4"/>
    <d v="2026-02-26T00:00:00"/>
    <d v="1899-12-30T16:38:00"/>
    <n v="6"/>
    <x v="0"/>
    <s v="Accepted"/>
    <x v="0"/>
    <s v="Completed"/>
    <n v="25"/>
    <x v="0"/>
    <x v="1"/>
    <n v="3"/>
    <s v="Dr Adebayo"/>
    <x v="1"/>
    <s v="Tech B"/>
    <s v="Private"/>
    <s v="Test-department mismatch"/>
  </r>
  <r>
    <s v="S1736"/>
    <s v="P55921"/>
    <s v="Male"/>
    <n v="84"/>
    <x v="5"/>
    <s v="Blood"/>
    <x v="3"/>
    <d v="2026-04-11T00:00:00"/>
    <x v="0"/>
    <d v="1899-12-30T11:08:00"/>
    <n v="4"/>
    <d v="2026-04-11T00:00:00"/>
    <d v="1899-12-30T21:08:00"/>
    <n v="10"/>
    <x v="0"/>
    <s v="Accepted"/>
    <x v="0"/>
    <s v="Completed"/>
    <n v="25"/>
    <x v="1"/>
    <x v="2"/>
    <n v="2"/>
    <s v="Dr James"/>
    <x v="3"/>
    <s v="Tech B"/>
    <s v="HMO"/>
    <s v="Test-department mismatch"/>
  </r>
  <r>
    <s v="S1737"/>
    <s v="P61820"/>
    <s v="Male"/>
    <n v="65"/>
    <x v="5"/>
    <s v="Blood"/>
    <x v="1"/>
    <d v="2026-06-23T00:00:00"/>
    <x v="2"/>
    <d v="1899-12-30T08:38:00"/>
    <n v="4"/>
    <d v="2026-06-23T00:00:00"/>
    <d v="1899-12-30T16:38:00"/>
    <n v="8"/>
    <x v="0"/>
    <s v="Accepted"/>
    <x v="0"/>
    <s v="Completed"/>
    <n v="25"/>
    <x v="0"/>
    <x v="0"/>
    <n v="1"/>
    <s v="Dr Adebayo"/>
    <x v="1"/>
    <s v="Tech B"/>
    <s v="NHIA"/>
    <s v="Test-department mismatch"/>
  </r>
  <r>
    <s v="S1738"/>
    <s v="P65035"/>
    <s v="Male"/>
    <n v="21"/>
    <x v="5"/>
    <s v="Blood"/>
    <x v="4"/>
    <d v="2026-06-10T00:00:00"/>
    <x v="2"/>
    <d v="1899-12-30T16:10:00"/>
    <n v="4"/>
    <d v="2026-06-10T00:00:00"/>
    <d v="1899-12-30T22:10:00"/>
    <n v="6"/>
    <x v="0"/>
    <s v="Accepted"/>
    <x v="0"/>
    <s v="Completed"/>
    <n v="25"/>
    <x v="0"/>
    <x v="2"/>
    <n v="5"/>
    <s v="Dr James"/>
    <x v="2"/>
    <s v="Tech A"/>
    <s v="NHIA"/>
    <s v="Test-department mismatch"/>
  </r>
  <r>
    <s v="S1739"/>
    <s v="P71048"/>
    <s v="Female"/>
    <n v="4"/>
    <x v="2"/>
    <s v="Urine"/>
    <x v="3"/>
    <d v="2026-04-03T00:00:00"/>
    <x v="0"/>
    <d v="1899-12-30T15:35:00"/>
    <n v="8"/>
    <d v="2026-04-04T00:00:00"/>
    <d v="1899-12-30T04:35:00"/>
    <n v="13"/>
    <x v="0"/>
    <s v="Rejected"/>
    <x v="3"/>
    <s v="Completed"/>
    <n v="20"/>
    <x v="1"/>
    <x v="1"/>
    <n v="2"/>
    <s v="Dr Okafor"/>
    <x v="2"/>
    <s v="Tech A"/>
    <s v="Private"/>
    <s v="Sample-test status mismatch; Rejected sample with released result"/>
  </r>
  <r>
    <s v="S1740"/>
    <s v="P16351"/>
    <s v="Male"/>
    <n v="60"/>
    <x v="5"/>
    <s v="Blood"/>
    <x v="1"/>
    <d v="2026-06-30T00:00:00"/>
    <x v="2"/>
    <d v="1899-12-30T16:38:00"/>
    <n v="4"/>
    <d v="2026-06-30T00:00:00"/>
    <d v="1899-12-30T19:38:00"/>
    <n v="3"/>
    <x v="1"/>
    <s v="Accepted"/>
    <x v="0"/>
    <s v="Completed"/>
    <n v="25"/>
    <x v="1"/>
    <x v="1"/>
    <n v="3"/>
    <s v="Dr James"/>
    <x v="2"/>
    <s v="Tech C"/>
    <s v="Private"/>
    <s v="Test-department mismatch"/>
  </r>
  <r>
    <s v="S1741"/>
    <s v="P34741"/>
    <s v="Male"/>
    <n v="46"/>
    <x v="4"/>
    <s v="Blood"/>
    <x v="0"/>
    <d v="2026-05-19T00:00:00"/>
    <x v="4"/>
    <d v="1899-12-30T09:29:00"/>
    <n v="6"/>
    <d v="2026-05-19T00:00:00"/>
    <d v="1899-12-30T16:29:00"/>
    <n v="7"/>
    <x v="0"/>
    <s v="Accepted"/>
    <x v="0"/>
    <s v="Completed"/>
    <n v="40"/>
    <x v="0"/>
    <x v="0"/>
    <n v="3"/>
    <s v="Dr James"/>
    <x v="1"/>
    <s v="Tech C"/>
    <s v="HMO"/>
    <s v=" "/>
  </r>
  <r>
    <s v="S1742"/>
    <s v="P91299"/>
    <s v="Female"/>
    <n v="41"/>
    <x v="3"/>
    <s v="Blood"/>
    <x v="4"/>
    <d v="2026-05-24T00:00:00"/>
    <x v="4"/>
    <d v="1899-12-30T13:27:00"/>
    <n v="24"/>
    <d v="2026-05-25T00:00:00"/>
    <d v="1899-12-30T16:27:00"/>
    <n v="27"/>
    <x v="0"/>
    <s v="Accepted"/>
    <x v="0"/>
    <s v="Pending"/>
    <n v="50"/>
    <x v="0"/>
    <x v="1"/>
    <n v="3"/>
    <s v="Dr James"/>
    <x v="1"/>
    <s v="Tech A"/>
    <s v="NHIA"/>
    <s v="Female patient with PSA test; Pending test with released result"/>
  </r>
  <r>
    <s v="S1743"/>
    <s v="P41076"/>
    <s v="Male"/>
    <n v="12"/>
    <x v="2"/>
    <s v="Urine"/>
    <x v="4"/>
    <d v="2026-06-17T00:00:00"/>
    <x v="2"/>
    <d v="1899-12-30T10:49:00"/>
    <n v="8"/>
    <d v="2026-06-17T00:00:00"/>
    <d v="1899-12-30T19:49:00"/>
    <n v="9"/>
    <x v="0"/>
    <s v="Accepted"/>
    <x v="0"/>
    <s v="Completed"/>
    <n v="20"/>
    <x v="1"/>
    <x v="1"/>
    <n v="5"/>
    <s v="Dr Ahmed"/>
    <x v="0"/>
    <s v="Tech C"/>
    <s v="HMO"/>
    <s v="Test-department mismatch"/>
  </r>
  <r>
    <s v="S1744"/>
    <s v="P86114"/>
    <s v="Male"/>
    <n v="68"/>
    <x v="2"/>
    <s v="Urine"/>
    <x v="1"/>
    <d v="2026-06-24T00:00:00"/>
    <x v="2"/>
    <d v="1899-12-30T14:55:00"/>
    <n v="8"/>
    <d v="2026-06-25T00:00:00"/>
    <d v="1899-12-30T05:55:00"/>
    <n v="15"/>
    <x v="0"/>
    <s v="Accepted"/>
    <x v="0"/>
    <s v="Completed"/>
    <n v="20"/>
    <x v="1"/>
    <x v="2"/>
    <n v="2"/>
    <s v="Dr Adebayo"/>
    <x v="3"/>
    <s v="Tech C"/>
    <s v="NHIA"/>
    <s v="Test-department mismatch"/>
  </r>
  <r>
    <s v="S1745"/>
    <s v="P34760"/>
    <s v="Female"/>
    <n v="35"/>
    <x v="2"/>
    <s v="Urine"/>
    <x v="4"/>
    <d v="2026-03-16T00:00:00"/>
    <x v="1"/>
    <d v="1899-12-30T14:20:00"/>
    <n v="8"/>
    <d v="2026-03-17T00:00:00"/>
    <d v="1899-12-30T03:20:00"/>
    <n v="13"/>
    <x v="0"/>
    <s v="Accepted"/>
    <x v="0"/>
    <s v="Completed"/>
    <n v="20"/>
    <x v="0"/>
    <x v="0"/>
    <n v="2"/>
    <s v="Dr Adebayo"/>
    <x v="1"/>
    <s v="Tech A"/>
    <s v="HMO"/>
    <s v="Test-department mismatch"/>
  </r>
  <r>
    <s v="S1746"/>
    <s v="P20048"/>
    <s v="Male"/>
    <n v="65"/>
    <x v="0"/>
    <s v="Blood"/>
    <x v="4"/>
    <d v="2026-01-24T00:00:00"/>
    <x v="3"/>
    <d v="1899-12-30T16:30:00"/>
    <n v="5"/>
    <d v="2026-01-25T00:00:00"/>
    <d v="1899-12-30T01:30:00"/>
    <n v="9"/>
    <x v="0"/>
    <s v="Accepted"/>
    <x v="0"/>
    <s v="Completed"/>
    <n v="35"/>
    <x v="1"/>
    <x v="0"/>
    <n v="1"/>
    <s v="Dr Okafor"/>
    <x v="1"/>
    <s v="Tech A"/>
    <s v="NHIA"/>
    <s v="Test-department mismatch"/>
  </r>
  <r>
    <s v="S1747"/>
    <s v="P52137"/>
    <s v="Male"/>
    <n v="78"/>
    <x v="3"/>
    <s v="Blood"/>
    <x v="3"/>
    <d v="2026-04-01T00:00:00"/>
    <x v="0"/>
    <d v="1899-12-30T12:59:00"/>
    <n v="24"/>
    <d v="2026-04-02T00:00:00"/>
    <d v="1899-12-30T12:59:00"/>
    <n v="24"/>
    <x v="1"/>
    <s v="Accepted"/>
    <x v="0"/>
    <s v="Completed"/>
    <n v="50"/>
    <x v="1"/>
    <x v="2"/>
    <n v="5"/>
    <s v="Dr James"/>
    <x v="0"/>
    <s v="Tech B"/>
    <s v="Private"/>
    <s v="Test-department mismatch"/>
  </r>
  <r>
    <s v="S1748"/>
    <s v="P80330"/>
    <s v="Female"/>
    <n v="79"/>
    <x v="3"/>
    <s v="Blood"/>
    <x v="4"/>
    <d v="2026-02-14T00:00:00"/>
    <x v="5"/>
    <d v="1899-12-30T16:41:00"/>
    <n v="24"/>
    <d v="2026-02-15T00:00:00"/>
    <d v="1899-12-30T22:41:00"/>
    <n v="30"/>
    <x v="0"/>
    <s v="Accepted"/>
    <x v="0"/>
    <s v="Completed"/>
    <n v="50"/>
    <x v="1"/>
    <x v="0"/>
    <n v="1"/>
    <s v="Dr James"/>
    <x v="1"/>
    <s v="Tech A"/>
    <s v="NHIA"/>
    <s v="Female patient with PSA test"/>
  </r>
  <r>
    <s v="S1749"/>
    <s v="P51373"/>
    <s v="Female"/>
    <n v="79"/>
    <x v="4"/>
    <s v="Blood"/>
    <x v="0"/>
    <d v="2026-06-23T00:00:00"/>
    <x v="2"/>
    <d v="1899-12-30T12:22:00"/>
    <n v="6"/>
    <d v="2026-06-23T00:00:00"/>
    <d v="1899-12-30T17:22:00"/>
    <n v="5"/>
    <x v="1"/>
    <s v="Accepted"/>
    <x v="0"/>
    <s v="Completed"/>
    <n v="40"/>
    <x v="1"/>
    <x v="2"/>
    <n v="3"/>
    <s v="Dr Adebayo"/>
    <x v="1"/>
    <s v="Tech A"/>
    <s v="Private"/>
    <s v=" "/>
  </r>
  <r>
    <s v="S1750"/>
    <s v="P23114"/>
    <s v="Male"/>
    <n v="150"/>
    <x v="3"/>
    <s v="Blood"/>
    <x v="0"/>
    <d v="2026-03-23T00:00:00"/>
    <x v="1"/>
    <d v="1899-12-30T13:02:00"/>
    <n v="24"/>
    <d v="2026-03-24T00:00:00"/>
    <d v="1899-12-30T19:02:00"/>
    <n v="30"/>
    <x v="0"/>
    <s v="Accepted"/>
    <x v="0"/>
    <s v="Completed"/>
    <n v="50"/>
    <x v="1"/>
    <x v="2"/>
    <n v="3"/>
    <s v="Dr Adebayo"/>
    <x v="1"/>
    <s v="Tech A"/>
    <s v="HMO"/>
    <s v="Invalid Age;Test-department mismatch"/>
  </r>
  <r>
    <s v="S1751"/>
    <s v="P16890"/>
    <s v="Female"/>
    <n v="87"/>
    <x v="4"/>
    <s v="Blood"/>
    <x v="0"/>
    <d v="2026-05-16T00:00:00"/>
    <x v="4"/>
    <d v="1899-12-30T08:47:00"/>
    <n v="6"/>
    <d v="2026-05-16T00:00:00"/>
    <d v="1899-12-30T22:47:00"/>
    <n v="14"/>
    <x v="0"/>
    <s v="Accepted"/>
    <x v="0"/>
    <s v="Completed"/>
    <n v="40"/>
    <x v="0"/>
    <x v="1"/>
    <n v="2"/>
    <s v="Dr Ahmed"/>
    <x v="0"/>
    <s v="Tech B"/>
    <s v="Private"/>
    <s v=" "/>
  </r>
  <r>
    <s v="S1752"/>
    <s v="P14379"/>
    <s v="Male"/>
    <n v="54"/>
    <x v="4"/>
    <s v="Blood"/>
    <x v="0"/>
    <d v="2026-01-03T00:00:00"/>
    <x v="3"/>
    <d v="1899-12-30T11:56:00"/>
    <n v="6"/>
    <d v="2026-01-04T00:00:00"/>
    <d v="1899-12-30T00:56:00"/>
    <n v="13"/>
    <x v="0"/>
    <s v="Accepted"/>
    <x v="0"/>
    <s v="Completed"/>
    <n v="40"/>
    <x v="0"/>
    <x v="2"/>
    <n v="3"/>
    <s v="Dr James"/>
    <x v="2"/>
    <s v="Tech C"/>
    <s v="NHIA"/>
    <s v=" "/>
  </r>
  <r>
    <s v="S1753"/>
    <s v="P77913"/>
    <s v="Female"/>
    <n v="16"/>
    <x v="1"/>
    <s v="Blood"/>
    <x v="2"/>
    <d v="2026-05-06T00:00:00"/>
    <x v="4"/>
    <d v="1899-12-30T07:51:00"/>
    <n v="3"/>
    <d v="2026-05-06T00:00:00"/>
    <d v="1899-12-30T09:51:00"/>
    <n v="2"/>
    <x v="1"/>
    <s v="Accepted"/>
    <x v="0"/>
    <s v="Completed"/>
    <n v="15"/>
    <x v="1"/>
    <x v="1"/>
    <n v="4"/>
    <s v="Dr Ahmed"/>
    <x v="0"/>
    <s v="Tech B"/>
    <s v="Private"/>
    <m/>
  </r>
  <r>
    <s v="S1754"/>
    <s v="P55905"/>
    <s v="Male"/>
    <n v="7"/>
    <x v="3"/>
    <s v="Blood"/>
    <x v="2"/>
    <d v="2026-01-15T00:00:00"/>
    <x v="3"/>
    <d v="1899-12-30T12:40:00"/>
    <n v="24"/>
    <d v="2026-01-16T00:00:00"/>
    <d v="1899-12-30T18:40:00"/>
    <n v="30"/>
    <x v="0"/>
    <s v="Accepted"/>
    <x v="0"/>
    <s v="Completed"/>
    <n v="50"/>
    <x v="1"/>
    <x v="1"/>
    <n v="1"/>
    <s v="Dr Adebayo"/>
    <x v="2"/>
    <s v="Tech B"/>
    <s v="Private"/>
    <s v="Suspicious Test-Age Combination;Test-department mismatch"/>
  </r>
  <r>
    <s v="S1755"/>
    <s v="P27578"/>
    <s v="Female"/>
    <n v="72"/>
    <x v="2"/>
    <s v="Urine"/>
    <x v="3"/>
    <d v="2026-05-17T00:00:00"/>
    <x v="4"/>
    <d v="1899-12-30T09:00:00"/>
    <n v="8"/>
    <d v="2026-05-18T00:00:00"/>
    <d v="1899-12-30T00:00:00"/>
    <n v="15"/>
    <x v="0"/>
    <s v="Accepted"/>
    <x v="0"/>
    <s v="Completed"/>
    <n v="20"/>
    <x v="0"/>
    <x v="0"/>
    <n v="3"/>
    <s v="Dr Okafor"/>
    <x v="3"/>
    <s v="Tech B"/>
    <s v="NHIA"/>
    <s v=" "/>
  </r>
  <r>
    <s v="S1756"/>
    <s v="P20426"/>
    <s v="Male"/>
    <n v="63"/>
    <x v="4"/>
    <s v="Blood"/>
    <x v="0"/>
    <d v="2026-03-13T00:00:00"/>
    <x v="1"/>
    <d v="1899-12-30T07:12:00"/>
    <n v="6"/>
    <d v="2026-03-13T00:00:00"/>
    <d v="1899-12-30T13:12:00"/>
    <n v="6"/>
    <x v="1"/>
    <s v="Accepted"/>
    <x v="0"/>
    <s v="Completed"/>
    <n v="40"/>
    <x v="1"/>
    <x v="1"/>
    <n v="2"/>
    <s v="Dr Adebayo"/>
    <x v="3"/>
    <s v="Tech C"/>
    <s v="HMO"/>
    <s v=" "/>
  </r>
  <r>
    <s v="S1757"/>
    <s v="P97249"/>
    <s v="Female"/>
    <n v="67"/>
    <x v="1"/>
    <s v="Blood"/>
    <x v="2"/>
    <d v="2026-02-13T00:00:00"/>
    <x v="5"/>
    <d v="1899-12-30T08:12:00"/>
    <n v="3"/>
    <d v="2026-02-13T00:00:00"/>
    <d v="1899-12-30T13:12:00"/>
    <n v="5"/>
    <x v="0"/>
    <s v="Rejected"/>
    <x v="2"/>
    <s v="Completed"/>
    <n v="15"/>
    <x v="1"/>
    <x v="0"/>
    <n v="5"/>
    <s v="Dr Adebayo"/>
    <x v="1"/>
    <s v="Tech B"/>
    <s v="Private"/>
    <s v=" Sample-test status mismatch; Rejected sample with released result"/>
  </r>
  <r>
    <s v="S1758"/>
    <s v="P68072"/>
    <s v="Female"/>
    <n v="33"/>
    <x v="2"/>
    <s v="Urine"/>
    <x v="3"/>
    <d v="2026-01-30T00:00:00"/>
    <x v="3"/>
    <d v="1899-12-30T13:49:00"/>
    <n v="8"/>
    <d v="2026-01-30T00:00:00"/>
    <d v="1899-12-30T22:49:00"/>
    <n v="9"/>
    <x v="0"/>
    <s v="Accepted"/>
    <x v="0"/>
    <s v="Pending"/>
    <n v="20"/>
    <x v="0"/>
    <x v="2"/>
    <n v="3"/>
    <s v="Dr Ahmed"/>
    <x v="3"/>
    <s v="Tech B"/>
    <s v="Private"/>
    <s v="Pending test with released result"/>
  </r>
  <r>
    <s v="S1759"/>
    <s v="P29947"/>
    <s v="Male"/>
    <n v="84"/>
    <x v="5"/>
    <s v="Blood"/>
    <x v="1"/>
    <d v="2026-02-23T00:00:00"/>
    <x v="5"/>
    <d v="1899-12-30T11:35:00"/>
    <n v="4"/>
    <d v="2026-02-23T00:00:00"/>
    <d v="1899-12-30T18:35:00"/>
    <n v="7"/>
    <x v="0"/>
    <s v="Rejected"/>
    <x v="3"/>
    <s v="Completed"/>
    <n v="25"/>
    <x v="1"/>
    <x v="1"/>
    <n v="4"/>
    <s v="Dr Okafor"/>
    <x v="1"/>
    <s v="Tech A"/>
    <s v="NHIA"/>
    <s v="Test-department mismatch; Sample-test status mismatch; Rejected sample with released result"/>
  </r>
  <r>
    <s v="S1760"/>
    <s v="P86941"/>
    <s v="Male"/>
    <n v="18"/>
    <x v="1"/>
    <s v="Blood"/>
    <x v="2"/>
    <d v="2026-06-05T00:00:00"/>
    <x v="2"/>
    <d v="1899-12-30T13:34:00"/>
    <n v="3"/>
    <d v="2026-06-05T00:00:00"/>
    <d v="1899-12-30T23:34:00"/>
    <n v="10"/>
    <x v="0"/>
    <s v="Rejected"/>
    <x v="3"/>
    <s v="Completed"/>
    <n v="15"/>
    <x v="0"/>
    <x v="0"/>
    <n v="4"/>
    <s v="Dr James"/>
    <x v="1"/>
    <s v="Tech B"/>
    <s v="Private"/>
    <s v=" Sample-test status mismatch; Rejected sample with released result"/>
  </r>
  <r>
    <s v="S1761"/>
    <s v="P29636"/>
    <s v="Female"/>
    <n v="17"/>
    <x v="0"/>
    <s v="Blood"/>
    <x v="0"/>
    <d v="2026-05-31T00:00:00"/>
    <x v="4"/>
    <d v="1899-12-30T16:16:00"/>
    <n v="5"/>
    <d v="2026-06-01T00:00:00"/>
    <d v="1899-12-30T00:16:00"/>
    <n v="8"/>
    <x v="0"/>
    <s v="Accepted"/>
    <x v="0"/>
    <s v="Completed"/>
    <n v="35"/>
    <x v="1"/>
    <x v="2"/>
    <n v="3"/>
    <s v="Dr James"/>
    <x v="0"/>
    <s v="Tech C"/>
    <s v="Private"/>
    <s v=" "/>
  </r>
  <r>
    <s v="S1762"/>
    <s v="P79899"/>
    <s v="Male"/>
    <n v="38"/>
    <x v="2"/>
    <s v="Urine"/>
    <x v="1"/>
    <d v="2026-01-17T00:00:00"/>
    <x v="3"/>
    <d v="1899-12-30T09:27:00"/>
    <n v="8"/>
    <d v="2026-01-17T00:00:00"/>
    <d v="1899-12-30T21:27:00"/>
    <n v="12"/>
    <x v="0"/>
    <s v="Accepted"/>
    <x v="0"/>
    <s v="Completed"/>
    <n v="20"/>
    <x v="1"/>
    <x v="1"/>
    <n v="2"/>
    <s v="Dr Adebayo"/>
    <x v="0"/>
    <s v="Tech C"/>
    <s v="Private"/>
    <s v="Test-department mismatch"/>
  </r>
  <r>
    <s v="S1763"/>
    <s v="P29584"/>
    <s v="Female"/>
    <n v="8"/>
    <x v="1"/>
    <s v="Blood"/>
    <x v="3"/>
    <d v="2026-06-17T00:00:00"/>
    <x v="2"/>
    <d v="1899-12-30T07:36:00"/>
    <n v="3"/>
    <d v="2026-06-17T00:00:00"/>
    <d v="1899-12-30T11:36:00"/>
    <n v="4"/>
    <x v="0"/>
    <s v="Accepted"/>
    <x v="0"/>
    <s v="Completed"/>
    <n v="15"/>
    <x v="0"/>
    <x v="2"/>
    <n v="3"/>
    <s v="Dr Okafor"/>
    <x v="2"/>
    <s v="Tech B"/>
    <s v="HMO"/>
    <s v="Test-department mismatch"/>
  </r>
  <r>
    <s v="S1764"/>
    <s v="P96919"/>
    <s v="Male"/>
    <n v="83"/>
    <x v="3"/>
    <s v="Blood"/>
    <x v="3"/>
    <d v="2026-04-21T00:00:00"/>
    <x v="0"/>
    <d v="1899-12-30T11:30:00"/>
    <n v="24"/>
    <d v="2026-04-22T00:00:00"/>
    <d v="1899-12-30T16:30:00"/>
    <n v="29"/>
    <x v="0"/>
    <s v="Accepted"/>
    <x v="0"/>
    <s v="Completed"/>
    <n v="50"/>
    <x v="1"/>
    <x v="2"/>
    <n v="1"/>
    <s v="Dr Ahmed"/>
    <x v="3"/>
    <s v="Tech B"/>
    <s v="HMO"/>
    <s v="Test-department mismatch"/>
  </r>
  <r>
    <s v="S1765"/>
    <s v="P42641"/>
    <s v="Female"/>
    <n v="12"/>
    <x v="3"/>
    <s v="Blood"/>
    <x v="1"/>
    <d v="2026-06-16T00:00:00"/>
    <x v="2"/>
    <d v="1899-12-30T07:49:00"/>
    <n v="24"/>
    <d v="2026-06-17T00:00:00"/>
    <d v="1899-12-30T07:49:00"/>
    <n v="24"/>
    <x v="1"/>
    <s v="Accepted"/>
    <x v="0"/>
    <s v="Completed"/>
    <n v="50"/>
    <x v="0"/>
    <x v="0"/>
    <n v="4"/>
    <s v="Dr Adebayo"/>
    <x v="3"/>
    <s v="Tech B"/>
    <s v="NHIA"/>
    <s v="Female patient with PSA test; Suspicious Test-Age Combination;Test-department mismatch"/>
  </r>
  <r>
    <s v="S1766"/>
    <s v="P87438"/>
    <s v="Female"/>
    <n v="82"/>
    <x v="3"/>
    <s v="Blood"/>
    <x v="3"/>
    <d v="2026-04-11T00:00:00"/>
    <x v="0"/>
    <d v="1899-12-30T16:49:00"/>
    <n v="24"/>
    <d v="2026-04-12T00:00:00"/>
    <d v="1899-12-30T23:49:00"/>
    <n v="31"/>
    <x v="0"/>
    <s v="Accepted"/>
    <x v="0"/>
    <s v="Completed"/>
    <n v="50"/>
    <x v="1"/>
    <x v="0"/>
    <n v="5"/>
    <s v="Dr Adebayo"/>
    <x v="3"/>
    <s v="Tech B"/>
    <s v="NHIA"/>
    <s v="Female patient with PSA test;Test-department mismatch"/>
  </r>
  <r>
    <s v="S1767"/>
    <s v="P37708"/>
    <s v="Female"/>
    <n v="88"/>
    <x v="2"/>
    <s v="Urine"/>
    <x v="0"/>
    <d v="2026-04-20T00:00:00"/>
    <x v="0"/>
    <d v="1899-12-30T09:14:00"/>
    <n v="8"/>
    <d v="2026-04-20T00:00:00"/>
    <d v="1899-12-30T16:14:00"/>
    <n v="7"/>
    <x v="1"/>
    <s v="Accepted"/>
    <x v="0"/>
    <s v="Completed"/>
    <n v="20"/>
    <x v="1"/>
    <x v="2"/>
    <n v="2"/>
    <s v="Dr Okafor"/>
    <x v="3"/>
    <s v="Tech A"/>
    <s v="Private"/>
    <s v="Test-department mismatch"/>
  </r>
  <r>
    <s v="S1768"/>
    <s v="P20295"/>
    <s v="Male"/>
    <n v="58"/>
    <x v="5"/>
    <s v="Blood"/>
    <x v="2"/>
    <d v="2026-05-08T00:00:00"/>
    <x v="4"/>
    <d v="1899-12-30T10:18:00"/>
    <n v="4"/>
    <d v="2026-05-08T00:00:00"/>
    <d v="1899-12-30T19:18:00"/>
    <n v="9"/>
    <x v="0"/>
    <s v="Accepted"/>
    <x v="0"/>
    <s v="Completed"/>
    <n v="25"/>
    <x v="1"/>
    <x v="0"/>
    <n v="4"/>
    <s v="Dr Okafor"/>
    <x v="2"/>
    <s v="Tech C"/>
    <s v="Private"/>
    <s v="Test-department mismatch"/>
  </r>
  <r>
    <s v="S1769"/>
    <s v="P51845"/>
    <s v="Female"/>
    <n v="88"/>
    <x v="0"/>
    <s v="Blood"/>
    <x v="0"/>
    <d v="2026-06-12T00:00:00"/>
    <x v="2"/>
    <d v="1899-12-30T14:15:00"/>
    <n v="5"/>
    <d v="2026-06-12T00:00:00"/>
    <d v="1899-12-30T19:15:00"/>
    <n v="5"/>
    <x v="1"/>
    <s v="Accepted"/>
    <x v="0"/>
    <s v="Completed"/>
    <n v="35"/>
    <x v="1"/>
    <x v="0"/>
    <n v="3"/>
    <s v="Dr Adebayo"/>
    <x v="2"/>
    <s v="Tech B"/>
    <s v="NHIA"/>
    <s v=" "/>
  </r>
  <r>
    <s v="S1770"/>
    <s v="P45319"/>
    <s v="Female"/>
    <n v="85"/>
    <x v="3"/>
    <s v="Blood"/>
    <x v="3"/>
    <d v="2026-05-06T00:00:00"/>
    <x v="4"/>
    <d v="1899-12-30T15:12:00"/>
    <n v="24"/>
    <d v="2026-05-07T00:00:00"/>
    <d v="1899-12-30T15:12:00"/>
    <n v="24"/>
    <x v="1"/>
    <s v="Accepted"/>
    <x v="0"/>
    <s v="Completed"/>
    <n v="50"/>
    <x v="1"/>
    <x v="2"/>
    <n v="3"/>
    <s v="Dr Adebayo"/>
    <x v="0"/>
    <s v="Tech A"/>
    <s v="NHIA"/>
    <s v="Female patient with PSA test"/>
  </r>
  <r>
    <s v="S1771"/>
    <s v="P12570"/>
    <s v="Female"/>
    <n v="41"/>
    <x v="1"/>
    <s v="Blood"/>
    <x v="3"/>
    <d v="2026-04-30T00:00:00"/>
    <x v="0"/>
    <d v="1899-12-30T16:30:00"/>
    <n v="3"/>
    <d v="2026-04-30T00:00:00"/>
    <d v="1899-12-30T20:30:00"/>
    <n v="4"/>
    <x v="0"/>
    <s v="Accepted"/>
    <x v="0"/>
    <s v="Completed"/>
    <n v="15"/>
    <x v="1"/>
    <x v="2"/>
    <n v="2"/>
    <s v="Dr Ahmed"/>
    <x v="1"/>
    <s v="Tech A"/>
    <s v="NHIA"/>
    <s v="Test-department mismatch"/>
  </r>
  <r>
    <s v="S1772"/>
    <s v="P62344"/>
    <s v="Male"/>
    <n v="9"/>
    <x v="3"/>
    <s v="Blood"/>
    <x v="4"/>
    <d v="2026-06-13T00:00:00"/>
    <x v="2"/>
    <d v="1899-12-30T13:30:00"/>
    <n v="24"/>
    <d v="2026-06-14T00:00:00"/>
    <d v="1899-12-30T12:30:00"/>
    <n v="23"/>
    <x v="1"/>
    <s v="Accepted"/>
    <x v="0"/>
    <s v="Completed"/>
    <n v="50"/>
    <x v="1"/>
    <x v="2"/>
    <n v="4"/>
    <s v="Dr Ahmed"/>
    <x v="1"/>
    <s v="Tech B"/>
    <s v="NHIA"/>
    <s v="Suspicious Test-Age Combination"/>
  </r>
  <r>
    <s v="S1773"/>
    <s v="P91502"/>
    <s v="Female"/>
    <n v="31"/>
    <x v="2"/>
    <s v="Urine"/>
    <x v="3"/>
    <d v="2026-03-25T00:00:00"/>
    <x v="1"/>
    <d v="1899-12-30T11:28:00"/>
    <n v="8"/>
    <d v="2026-03-25T00:00:00"/>
    <d v="1899-12-30T20:28:00"/>
    <n v="9"/>
    <x v="0"/>
    <s v="Accepted"/>
    <x v="0"/>
    <s v="Completed"/>
    <n v="20"/>
    <x v="1"/>
    <x v="0"/>
    <n v="3"/>
    <s v="Dr Ahmed"/>
    <x v="3"/>
    <s v="Tech C"/>
    <s v="NHIA"/>
    <s v=" "/>
  </r>
  <r>
    <s v="S1774"/>
    <s v="P26740"/>
    <s v="Female"/>
    <n v="19"/>
    <x v="0"/>
    <s v="Blood"/>
    <x v="0"/>
    <d v="2026-03-14T00:00:00"/>
    <x v="1"/>
    <d v="1899-12-30T11:29:00"/>
    <n v="5"/>
    <d v="2026-03-14T00:00:00"/>
    <d v="1899-12-30T23:29:00"/>
    <n v="12"/>
    <x v="0"/>
    <s v="Accepted"/>
    <x v="0"/>
    <s v="Completed"/>
    <n v="35"/>
    <x v="0"/>
    <x v="1"/>
    <n v="5"/>
    <s v="Dr Ahmed"/>
    <x v="2"/>
    <s v="Tech C"/>
    <s v="NHIA"/>
    <s v=" "/>
  </r>
  <r>
    <s v="S1775"/>
    <s v="P37079"/>
    <s v="Male"/>
    <n v="15"/>
    <x v="2"/>
    <s v="Urine"/>
    <x v="3"/>
    <d v="2026-03-01T00:00:00"/>
    <x v="1"/>
    <d v="1899-12-30T13:50:00"/>
    <n v="8"/>
    <d v="2026-03-02T00:00:00"/>
    <d v="1899-12-30T02:50:00"/>
    <n v="13"/>
    <x v="0"/>
    <s v="Accepted"/>
    <x v="0"/>
    <s v="Completed"/>
    <n v="20"/>
    <x v="1"/>
    <x v="0"/>
    <n v="2"/>
    <s v="Dr Adebayo"/>
    <x v="0"/>
    <s v="Tech B"/>
    <s v="Private"/>
    <s v=" "/>
  </r>
  <r>
    <s v="S1776"/>
    <s v="P51642"/>
    <s v="Female"/>
    <n v="53"/>
    <x v="4"/>
    <s v="Blood"/>
    <x v="0"/>
    <d v="2026-03-09T00:00:00"/>
    <x v="1"/>
    <d v="1899-12-30T11:52:00"/>
    <n v="6"/>
    <d v="2026-03-09T00:00:00"/>
    <d v="1899-12-30T17:52:00"/>
    <n v="6"/>
    <x v="1"/>
    <s v="Accepted"/>
    <x v="0"/>
    <s v="Completed"/>
    <n v="40"/>
    <x v="0"/>
    <x v="0"/>
    <n v="5"/>
    <s v="Dr Okafor"/>
    <x v="0"/>
    <s v="Tech A"/>
    <s v="NHIA"/>
    <s v=" "/>
  </r>
  <r>
    <s v="S1777"/>
    <s v="P67180"/>
    <s v="Male"/>
    <n v="65"/>
    <x v="2"/>
    <s v="Urine"/>
    <x v="3"/>
    <d v="2026-03-02T00:00:00"/>
    <x v="1"/>
    <d v="1899-12-30T15:12:00"/>
    <n v="8"/>
    <d v="2026-03-03T00:00:00"/>
    <d v="1899-12-30T01:12:00"/>
    <n v="10"/>
    <x v="0"/>
    <s v="Accepted"/>
    <x v="0"/>
    <s v="Completed"/>
    <n v="20"/>
    <x v="1"/>
    <x v="1"/>
    <n v="4"/>
    <s v="Dr Adebayo"/>
    <x v="1"/>
    <s v="Tech B"/>
    <s v="HMO"/>
    <s v=" "/>
  </r>
  <r>
    <s v="S1778"/>
    <s v="P39100"/>
    <s v="Male"/>
    <n v="52"/>
    <x v="0"/>
    <s v="Blood"/>
    <x v="0"/>
    <d v="2026-06-22T00:00:00"/>
    <x v="2"/>
    <d v="1899-12-30T07:46:00"/>
    <n v="5"/>
    <d v="2026-06-22T00:00:00"/>
    <d v="1899-12-30T12:46:00"/>
    <n v="5"/>
    <x v="1"/>
    <s v="Accepted"/>
    <x v="0"/>
    <s v="Completed"/>
    <n v="35"/>
    <x v="1"/>
    <x v="1"/>
    <n v="2"/>
    <s v="Dr Ahmed"/>
    <x v="1"/>
    <s v="Tech A"/>
    <s v="HMO"/>
    <s v=" "/>
  </r>
  <r>
    <s v="S1779"/>
    <s v="P82068"/>
    <s v="Male"/>
    <n v="51"/>
    <x v="3"/>
    <s v="Blood"/>
    <x v="4"/>
    <d v="2026-05-13T00:00:00"/>
    <x v="4"/>
    <d v="1899-12-30T12:52:00"/>
    <n v="24"/>
    <d v="2026-05-14T00:00:00"/>
    <d v="1899-12-30T20:52:00"/>
    <n v="32"/>
    <x v="0"/>
    <s v="Rejected"/>
    <x v="3"/>
    <s v="Completed"/>
    <n v="50"/>
    <x v="1"/>
    <x v="0"/>
    <n v="5"/>
    <s v="Dr Okafor"/>
    <x v="2"/>
    <s v="Tech B"/>
    <s v="Private"/>
    <s v="Sample-test status mismatch; Rejected sample with released result"/>
  </r>
  <r>
    <s v="S1780"/>
    <s v="P80654"/>
    <s v="Male"/>
    <n v="29"/>
    <x v="4"/>
    <s v="Blood"/>
    <x v="0"/>
    <d v="2026-01-13T00:00:00"/>
    <x v="3"/>
    <d v="1899-12-30T11:38:00"/>
    <n v="6"/>
    <d v="2026-01-13T00:00:00"/>
    <d v="1899-12-30T18:38:00"/>
    <n v="7"/>
    <x v="0"/>
    <s v="Accepted"/>
    <x v="0"/>
    <s v="Completed"/>
    <n v="40"/>
    <x v="1"/>
    <x v="2"/>
    <n v="3"/>
    <s v="Dr Adebayo"/>
    <x v="2"/>
    <s v="Tech B"/>
    <s v="NHIA"/>
    <s v=" "/>
  </r>
  <r>
    <s v="S1781"/>
    <s v="P62757"/>
    <s v="Male"/>
    <n v="20"/>
    <x v="0"/>
    <s v="Blood"/>
    <x v="1"/>
    <d v="2026-04-22T00:00:00"/>
    <x v="0"/>
    <d v="1899-12-30T07:59:00"/>
    <n v="5"/>
    <d v="2026-04-22T00:00:00"/>
    <d v="1899-12-30T18:59:00"/>
    <n v="11"/>
    <x v="0"/>
    <s v="Rejected"/>
    <x v="2"/>
    <s v="Completed"/>
    <n v="35"/>
    <x v="1"/>
    <x v="2"/>
    <n v="1"/>
    <s v="Dr Okafor"/>
    <x v="2"/>
    <s v="Tech B"/>
    <s v="NHIA"/>
    <s v="Test-department mismatch; Sample-test status mismatch; Rejected sample with released result"/>
  </r>
  <r>
    <s v="S1782"/>
    <s v="P33794"/>
    <s v="Male"/>
    <n v="7"/>
    <x v="2"/>
    <s v="Urine"/>
    <x v="3"/>
    <d v="2026-01-07T00:00:00"/>
    <x v="3"/>
    <d v="1899-12-30T15:35:00"/>
    <n v="8"/>
    <d v="2026-01-08T00:00:00"/>
    <d v="1899-12-30T05:35:00"/>
    <n v="14"/>
    <x v="0"/>
    <s v="Accepted"/>
    <x v="0"/>
    <s v="Completed"/>
    <n v="20"/>
    <x v="1"/>
    <x v="2"/>
    <n v="3"/>
    <s v="Dr James"/>
    <x v="3"/>
    <s v="Tech A"/>
    <s v="HMO"/>
    <s v=" "/>
  </r>
  <r>
    <s v="S1783"/>
    <s v="P47975"/>
    <s v="Female"/>
    <n v="10"/>
    <x v="4"/>
    <s v="Blood"/>
    <x v="1"/>
    <d v="2026-03-21T00:00:00"/>
    <x v="1"/>
    <d v="1899-12-30T10:39:00"/>
    <n v="6"/>
    <d v="2026-03-21T00:00:00"/>
    <d v="1899-12-30T15:39:00"/>
    <n v="5"/>
    <x v="1"/>
    <s v="Accepted"/>
    <x v="0"/>
    <s v="Completed"/>
    <n v="40"/>
    <x v="1"/>
    <x v="2"/>
    <n v="3"/>
    <s v="Dr James"/>
    <x v="1"/>
    <s v="Tech B"/>
    <s v="Private"/>
    <s v="Test-department mismatch"/>
  </r>
  <r>
    <s v="S1784"/>
    <s v="P83865"/>
    <s v="Male"/>
    <n v="43"/>
    <x v="2"/>
    <s v="Urine"/>
    <x v="0"/>
    <d v="2026-04-27T00:00:00"/>
    <x v="0"/>
    <d v="1899-12-30T07:58:00"/>
    <n v="8"/>
    <d v="2026-04-27T00:00:00"/>
    <d v="1899-12-30T17:58:00"/>
    <n v="10"/>
    <x v="0"/>
    <s v="Rejected"/>
    <x v="2"/>
    <s v="Completed"/>
    <n v="20"/>
    <x v="1"/>
    <x v="0"/>
    <n v="5"/>
    <s v="Dr Adebayo"/>
    <x v="3"/>
    <s v="Tech A"/>
    <s v="Private"/>
    <s v="Test-department mismatch; Sample-test status mismatch; Rejected sample with released result"/>
  </r>
  <r>
    <s v="S1785"/>
    <s v="P51708"/>
    <s v="Male"/>
    <n v="43"/>
    <x v="3"/>
    <s v="Blood"/>
    <x v="0"/>
    <d v="2026-05-21T00:00:00"/>
    <x v="4"/>
    <d v="1899-12-30T08:16:00"/>
    <n v="24"/>
    <d v="2026-05-22T00:00:00"/>
    <d v="1899-12-30T09:16:00"/>
    <n v="25"/>
    <x v="0"/>
    <s v="Accepted"/>
    <x v="0"/>
    <s v="Completed"/>
    <n v="50"/>
    <x v="1"/>
    <x v="0"/>
    <n v="2"/>
    <s v="Dr Adebayo"/>
    <x v="1"/>
    <s v="Tech B"/>
    <s v="NHIA"/>
    <s v="Test-department mismatch"/>
  </r>
  <r>
    <s v="S1786"/>
    <s v="P61582"/>
    <s v="Male"/>
    <n v="86"/>
    <x v="5"/>
    <s v="Blood"/>
    <x v="1"/>
    <d v="2026-02-05T00:00:00"/>
    <x v="5"/>
    <d v="1899-12-30T09:06:00"/>
    <n v="4"/>
    <d v="2026-02-05T00:00:00"/>
    <d v="1899-12-30T12:06:00"/>
    <n v="3"/>
    <x v="1"/>
    <s v="Accepted"/>
    <x v="0"/>
    <s v="Completed"/>
    <n v="25"/>
    <x v="0"/>
    <x v="2"/>
    <n v="2"/>
    <s v="Dr Okafor"/>
    <x v="2"/>
    <s v="Tech A"/>
    <s v="NHIA"/>
    <s v="Test-department mismatch"/>
  </r>
  <r>
    <s v="S1787"/>
    <s v="P60519"/>
    <s v="Female"/>
    <n v="80"/>
    <x v="0"/>
    <s v="Blood"/>
    <x v="0"/>
    <d v="2026-06-26T00:00:00"/>
    <x v="2"/>
    <d v="1899-12-30T08:12:00"/>
    <n v="5"/>
    <d v="2026-06-26T00:00:00"/>
    <d v="1899-12-30T14:12:00"/>
    <n v="6"/>
    <x v="0"/>
    <s v="Accepted"/>
    <x v="0"/>
    <s v="Completed"/>
    <n v="35"/>
    <x v="0"/>
    <x v="0"/>
    <n v="3"/>
    <s v="Dr Okafor"/>
    <x v="2"/>
    <s v="Tech B"/>
    <s v="Private"/>
    <s v=" "/>
  </r>
  <r>
    <s v="S1788"/>
    <s v="P54276"/>
    <s v="Male"/>
    <n v="80"/>
    <x v="1"/>
    <s v="Blood"/>
    <x v="2"/>
    <d v="2026-03-16T00:00:00"/>
    <x v="1"/>
    <d v="1899-12-30T09:09:00"/>
    <n v="3"/>
    <d v="2026-03-16T00:00:00"/>
    <d v="1899-12-30T19:09:00"/>
    <n v="10"/>
    <x v="0"/>
    <s v="Accepted"/>
    <x v="0"/>
    <s v="Completed"/>
    <n v="15"/>
    <x v="1"/>
    <x v="1"/>
    <n v="2"/>
    <s v="Dr James"/>
    <x v="3"/>
    <s v="Tech C"/>
    <s v="Private"/>
    <m/>
  </r>
  <r>
    <s v="S1789"/>
    <s v="P91263"/>
    <s v="Male"/>
    <n v="71"/>
    <x v="5"/>
    <s v="Blood"/>
    <x v="4"/>
    <d v="2026-04-24T00:00:00"/>
    <x v="0"/>
    <d v="1899-12-30T11:45:00"/>
    <n v="4"/>
    <d v="2026-04-24T00:00:00"/>
    <d v="1899-12-30T23:45:00"/>
    <n v="12"/>
    <x v="0"/>
    <s v="Accepted"/>
    <x v="0"/>
    <s v="Completed"/>
    <n v="25"/>
    <x v="1"/>
    <x v="1"/>
    <n v="4"/>
    <s v="Dr James"/>
    <x v="1"/>
    <s v="Tech B"/>
    <s v="HMO"/>
    <s v="Test-department mismatch"/>
  </r>
  <r>
    <s v="S1790"/>
    <s v="P13744"/>
    <s v="Female"/>
    <n v="43"/>
    <x v="1"/>
    <s v="Blood"/>
    <x v="2"/>
    <d v="2026-01-19T00:00:00"/>
    <x v="3"/>
    <d v="1899-12-30T13:36:00"/>
    <n v="3"/>
    <d v="2026-01-19T00:00:00"/>
    <d v="1899-12-30T20:36:00"/>
    <n v="7"/>
    <x v="0"/>
    <s v="Accepted"/>
    <x v="0"/>
    <s v="Completed"/>
    <n v="15"/>
    <x v="1"/>
    <x v="0"/>
    <n v="4"/>
    <s v="Dr Okafor"/>
    <x v="3"/>
    <s v="Tech C"/>
    <s v="Private"/>
    <m/>
  </r>
  <r>
    <s v="S1791"/>
    <s v="P88610"/>
    <s v="Female"/>
    <n v="11"/>
    <x v="2"/>
    <s v="Urine"/>
    <x v="3"/>
    <d v="2026-01-04T00:00:00"/>
    <x v="3"/>
    <d v="1899-12-30T11:16:00"/>
    <n v="8"/>
    <d v="2026-01-04T00:00:00"/>
    <d v="1899-12-30T21:16:00"/>
    <n v="10"/>
    <x v="0"/>
    <s v="Accepted"/>
    <x v="0"/>
    <s v="Completed"/>
    <n v="20"/>
    <x v="1"/>
    <x v="2"/>
    <n v="4"/>
    <s v="Dr Ahmed"/>
    <x v="2"/>
    <s v="Tech C"/>
    <s v="HMO"/>
    <s v=" "/>
  </r>
  <r>
    <s v="S1792"/>
    <s v="P10969"/>
    <s v="Male"/>
    <n v="62"/>
    <x v="4"/>
    <s v="Blood"/>
    <x v="0"/>
    <d v="2026-06-04T00:00:00"/>
    <x v="2"/>
    <d v="1899-12-30T09:29:00"/>
    <n v="6"/>
    <d v="2026-06-04T00:00:00"/>
    <d v="1899-12-30T14:29:00"/>
    <n v="5"/>
    <x v="1"/>
    <s v="Accepted"/>
    <x v="0"/>
    <s v="Completed"/>
    <n v="40"/>
    <x v="0"/>
    <x v="1"/>
    <n v="3"/>
    <s v="Dr Ahmed"/>
    <x v="3"/>
    <s v="Tech B"/>
    <s v="HMO"/>
    <s v=" "/>
  </r>
  <r>
    <s v="S1793"/>
    <s v="P92648"/>
    <s v="Male"/>
    <n v="21"/>
    <x v="1"/>
    <s v="Blood"/>
    <x v="4"/>
    <d v="2026-06-19T00:00:00"/>
    <x v="2"/>
    <d v="1899-12-30T07:07:00"/>
    <n v="3"/>
    <d v="2026-06-19T00:00:00"/>
    <d v="1899-12-30T09:07:00"/>
    <n v="2"/>
    <x v="1"/>
    <s v="Rejected"/>
    <x v="4"/>
    <s v="Completed"/>
    <n v="15"/>
    <x v="1"/>
    <x v="0"/>
    <n v="4"/>
    <s v="Dr James"/>
    <x v="1"/>
    <s v="Tech C"/>
    <s v="Private"/>
    <s v="Test-department mismatch; Sample-test status mismatch; Rejected sample with released result"/>
  </r>
  <r>
    <s v="S1794"/>
    <s v="P60988"/>
    <s v="Male"/>
    <n v="60"/>
    <x v="1"/>
    <s v="Blood"/>
    <x v="2"/>
    <d v="2026-01-17T00:00:00"/>
    <x v="3"/>
    <d v="1899-12-30T13:56:00"/>
    <n v="3"/>
    <d v="2026-01-17T00:00:00"/>
    <d v="1899-12-30T16:56:00"/>
    <n v="3"/>
    <x v="1"/>
    <s v="Accepted"/>
    <x v="0"/>
    <s v="Completed"/>
    <n v="15"/>
    <x v="0"/>
    <x v="1"/>
    <n v="2"/>
    <s v="Dr Okafor"/>
    <x v="3"/>
    <s v="Tech B"/>
    <s v="Private"/>
    <m/>
  </r>
  <r>
    <s v="S1795"/>
    <s v="P94499"/>
    <s v="Female"/>
    <n v="34"/>
    <x v="1"/>
    <s v="Blood"/>
    <x v="0"/>
    <d v="2026-06-24T00:00:00"/>
    <x v="2"/>
    <d v="1899-12-30T11:07:00"/>
    <n v="3"/>
    <d v="2026-06-24T00:00:00"/>
    <d v="1899-12-30T22:07:00"/>
    <n v="11"/>
    <x v="0"/>
    <s v="Rejected"/>
    <x v="3"/>
    <s v="Completed"/>
    <n v="15"/>
    <x v="1"/>
    <x v="2"/>
    <n v="4"/>
    <s v="Dr James"/>
    <x v="2"/>
    <s v="Tech C"/>
    <s v="Private"/>
    <s v="Test-department mismatch; Sample-test status mismatch; Rejected sample with released result"/>
  </r>
  <r>
    <s v="S1796"/>
    <s v="P22995"/>
    <s v="Female"/>
    <n v="87"/>
    <x v="4"/>
    <s v="Blood"/>
    <x v="1"/>
    <d v="2026-04-22T00:00:00"/>
    <x v="0"/>
    <d v="1899-12-30T15:13:00"/>
    <n v="6"/>
    <d v="2026-04-22T00:00:00"/>
    <d v="1899-12-30T20:13:00"/>
    <n v="5"/>
    <x v="1"/>
    <s v="Accepted"/>
    <x v="0"/>
    <s v="Completed"/>
    <n v="40"/>
    <x v="1"/>
    <x v="2"/>
    <n v="5"/>
    <s v="Dr Okafor"/>
    <x v="1"/>
    <s v="Tech C"/>
    <s v="Private"/>
    <s v="Test-department mismatch"/>
  </r>
  <r>
    <s v="S1797"/>
    <s v="P68234"/>
    <s v="Female"/>
    <n v="25"/>
    <x v="2"/>
    <s v="Urine"/>
    <x v="3"/>
    <d v="2026-06-23T00:00:00"/>
    <x v="2"/>
    <d v="1899-12-30T10:31:00"/>
    <n v="8"/>
    <d v="2026-06-23T00:00:00"/>
    <d v="1899-12-30T18:31:00"/>
    <n v="8"/>
    <x v="1"/>
    <s v="Rejected"/>
    <x v="1"/>
    <s v="Completed"/>
    <n v="20"/>
    <x v="1"/>
    <x v="0"/>
    <n v="3"/>
    <s v="Dr Ahmed"/>
    <x v="2"/>
    <s v="Tech B"/>
    <s v="HMO"/>
    <s v="Sample-test status mismatch; Rejected sample with released result"/>
  </r>
  <r>
    <s v="S1798"/>
    <s v="P78133"/>
    <s v="Male"/>
    <n v="78"/>
    <x v="3"/>
    <s v="Blood"/>
    <x v="4"/>
    <d v="2026-02-26T00:00:00"/>
    <x v="5"/>
    <d v="1899-12-30T11:34:00"/>
    <n v="24"/>
    <d v="2026-02-27T00:00:00"/>
    <d v="1899-12-30T18:34:00"/>
    <n v="31"/>
    <x v="0"/>
    <s v="Accepted"/>
    <x v="0"/>
    <s v="Completed"/>
    <m/>
    <x v="1"/>
    <x v="2"/>
    <n v="2"/>
    <s v="Dr Ahmed"/>
    <x v="1"/>
    <s v="Tech A"/>
    <s v="NHIA"/>
    <s v=" "/>
  </r>
  <r>
    <s v="S1799"/>
    <s v="P23081"/>
    <s v="Female"/>
    <n v="80"/>
    <x v="5"/>
    <s v="Blood"/>
    <x v="1"/>
    <d v="2026-04-11T00:00:00"/>
    <x v="0"/>
    <d v="1899-12-30T10:42:00"/>
    <n v="4"/>
    <d v="2026-04-11T00:00:00"/>
    <d v="1899-12-30T14:42:00"/>
    <n v="4"/>
    <x v="1"/>
    <s v="Accepted"/>
    <x v="0"/>
    <s v="Completed"/>
    <n v="25"/>
    <x v="1"/>
    <x v="2"/>
    <n v="1"/>
    <s v="Dr Ahmed"/>
    <x v="1"/>
    <s v="Tech A"/>
    <s v="HMO"/>
    <s v="Test-department mismatch"/>
  </r>
  <r>
    <s v="S1005"/>
    <s v="P14245"/>
    <s v="Female"/>
    <n v="7"/>
    <x v="1"/>
    <s v="Blood"/>
    <x v="2"/>
    <d v="2026-02-12T00:00:00"/>
    <x v="5"/>
    <d v="1899-12-30T08:16:00"/>
    <n v="3"/>
    <d v="2026-02-12T00:00:00"/>
    <d v="1899-12-30T17:16:00"/>
    <n v="9"/>
    <x v="0"/>
    <s v="Accepted"/>
    <x v="0"/>
    <s v="Completed"/>
    <n v="15"/>
    <x v="1"/>
    <x v="0"/>
    <n v="2"/>
    <s v="Dr Ahmed"/>
    <x v="3"/>
    <s v="Tech B"/>
    <s v="HMO"/>
    <s v="Duplicate Sample ID"/>
  </r>
  <r>
    <s v="S1801"/>
    <s v="P21058"/>
    <s v="Male"/>
    <n v="68"/>
    <x v="2"/>
    <s v="Urine"/>
    <x v="2"/>
    <d v="2026-04-06T00:00:00"/>
    <x v="0"/>
    <d v="1899-12-30T09:04:00"/>
    <n v="8"/>
    <d v="2026-04-06T00:00:00"/>
    <d v="1899-12-30T17:04:00"/>
    <n v="8"/>
    <x v="1"/>
    <s v="Accepted"/>
    <x v="0"/>
    <s v="Completed"/>
    <n v="20"/>
    <x v="1"/>
    <x v="0"/>
    <n v="4"/>
    <s v="Dr Adebayo"/>
    <x v="0"/>
    <s v="Tech C"/>
    <s v="HMO"/>
    <s v="Test-department mismatch"/>
  </r>
  <r>
    <s v="S1802"/>
    <s v="P20633"/>
    <s v="Male"/>
    <n v="40"/>
    <x v="0"/>
    <s v="Blood"/>
    <x v="4"/>
    <d v="2026-04-04T00:00:00"/>
    <x v="0"/>
    <d v="1899-12-30T16:09:00"/>
    <n v="5"/>
    <d v="2026-04-05T00:00:00"/>
    <d v="1899-12-30T03:09:00"/>
    <n v="11"/>
    <x v="0"/>
    <s v="Accepted"/>
    <x v="0"/>
    <s v="Completed"/>
    <n v="35"/>
    <x v="0"/>
    <x v="0"/>
    <n v="5"/>
    <s v="Dr Ahmed"/>
    <x v="1"/>
    <s v="Tech A"/>
    <s v="HMO"/>
    <s v="Test-department mismatch"/>
  </r>
  <r>
    <s v="S1803"/>
    <s v="P62488"/>
    <s v="Male"/>
    <n v="72"/>
    <x v="3"/>
    <s v="Blood"/>
    <x v="1"/>
    <d v="2026-02-04T00:00:00"/>
    <x v="5"/>
    <d v="1899-12-30T10:48:00"/>
    <n v="24"/>
    <d v="2026-02-05T00:00:00"/>
    <d v="1899-12-30T11:48:00"/>
    <n v="25"/>
    <x v="0"/>
    <s v="Accepted"/>
    <x v="0"/>
    <s v="Completed"/>
    <n v="50"/>
    <x v="0"/>
    <x v="1"/>
    <n v="3"/>
    <s v="Dr James"/>
    <x v="2"/>
    <s v="Tech B"/>
    <s v="NHIA"/>
    <s v="Test-department mismatch"/>
  </r>
  <r>
    <s v="S1804"/>
    <s v="P80327"/>
    <s v="Female"/>
    <n v="52"/>
    <x v="5"/>
    <s v="Blood"/>
    <x v="1"/>
    <d v="2026-01-25T00:00:00"/>
    <x v="3"/>
    <d v="1899-12-30T15:16:00"/>
    <n v="4"/>
    <d v="2026-01-26T00:00:00"/>
    <d v="1899-12-30T02:16:00"/>
    <n v="11"/>
    <x v="0"/>
    <s v="Accepted"/>
    <x v="0"/>
    <s v="Completed"/>
    <n v="25"/>
    <x v="1"/>
    <x v="2"/>
    <n v="4"/>
    <s v="Dr Okafor"/>
    <x v="0"/>
    <s v="Tech A"/>
    <s v="NHIA"/>
    <s v="Test-department mismatch"/>
  </r>
  <r>
    <s v="S1805"/>
    <s v="P11260"/>
    <s v="Male"/>
    <n v="83"/>
    <x v="3"/>
    <s v="Blood"/>
    <x v="3"/>
    <d v="2026-03-14T00:00:00"/>
    <x v="1"/>
    <d v="1899-12-30T13:24:00"/>
    <n v="24"/>
    <d v="2026-03-15T00:00:00"/>
    <d v="1899-12-30T18:24:00"/>
    <n v="29"/>
    <x v="0"/>
    <s v="Accepted"/>
    <x v="0"/>
    <s v="Completed"/>
    <n v="50"/>
    <x v="1"/>
    <x v="2"/>
    <n v="1"/>
    <s v="Dr Ahmed"/>
    <x v="0"/>
    <s v="Tech A"/>
    <s v="HMO"/>
    <s v="Test-department mismatch"/>
  </r>
  <r>
    <s v="S1806"/>
    <s v="P64111"/>
    <s v="Female"/>
    <n v="25"/>
    <x v="3"/>
    <s v="Blood"/>
    <x v="1"/>
    <d v="2026-06-19T00:00:00"/>
    <x v="2"/>
    <d v="1899-12-30T12:31:00"/>
    <n v="24"/>
    <d v="2026-06-20T00:00:00"/>
    <d v="1899-12-30T13:31:00"/>
    <n v="25"/>
    <x v="0"/>
    <s v="Accepted"/>
    <x v="0"/>
    <s v="Completed"/>
    <n v="50"/>
    <x v="0"/>
    <x v="1"/>
    <n v="1"/>
    <s v="Dr Okafor"/>
    <x v="1"/>
    <s v="Tech A"/>
    <s v="Private"/>
    <s v="Female patient with PSA test; Test-department mismatch"/>
  </r>
  <r>
    <s v="S1807"/>
    <s v="P26096"/>
    <s v="Female"/>
    <n v="87"/>
    <x v="3"/>
    <s v="Blood"/>
    <x v="3"/>
    <d v="2026-06-05T00:00:00"/>
    <x v="2"/>
    <d v="1899-12-30T15:35:00"/>
    <n v="24"/>
    <d v="2026-06-06T00:00:00"/>
    <d v="1899-12-30T17:35:00"/>
    <n v="26"/>
    <x v="0"/>
    <s v="Accepted"/>
    <x v="0"/>
    <s v="Completed"/>
    <n v="50"/>
    <x v="1"/>
    <x v="0"/>
    <n v="2"/>
    <s v="Dr Ahmed"/>
    <x v="0"/>
    <s v="Tech C"/>
    <s v="NHIA"/>
    <s v="Female patient with PSA test; Test-department mismatch"/>
  </r>
  <r>
    <s v="S1808"/>
    <s v="P10499"/>
    <s v="Female"/>
    <n v="36"/>
    <x v="1"/>
    <s v="Blood"/>
    <x v="2"/>
    <d v="2026-01-21T00:00:00"/>
    <x v="3"/>
    <d v="1899-12-30T14:23:00"/>
    <n v="3"/>
    <d v="2026-01-21T00:00:00"/>
    <d v="1899-12-30T19:23:00"/>
    <n v="5"/>
    <x v="0"/>
    <s v="Accepted"/>
    <x v="0"/>
    <s v="Completed"/>
    <n v="15"/>
    <x v="1"/>
    <x v="2"/>
    <n v="1"/>
    <s v="Dr Ahmed"/>
    <x v="1"/>
    <s v="Tech A"/>
    <s v="Private"/>
    <m/>
  </r>
  <r>
    <s v="S1809"/>
    <s v="P40936"/>
    <s v="Female"/>
    <n v="33"/>
    <x v="2"/>
    <s v="Urine"/>
    <x v="3"/>
    <d v="2026-04-15T00:00:00"/>
    <x v="0"/>
    <d v="1899-12-30T12:33:00"/>
    <n v="8"/>
    <d v="2026-04-15T00:00:00"/>
    <d v="1899-12-30T19:33:00"/>
    <n v="7"/>
    <x v="1"/>
    <s v="Accepted"/>
    <x v="0"/>
    <s v="Completed"/>
    <n v="20"/>
    <x v="0"/>
    <x v="0"/>
    <n v="5"/>
    <s v="Dr Adebayo"/>
    <x v="1"/>
    <s v="Tech B"/>
    <s v="HMO"/>
    <s v=" "/>
  </r>
  <r>
    <s v="S1810"/>
    <s v="P14690"/>
    <s v="Female"/>
    <n v="12"/>
    <x v="5"/>
    <s v="Blood"/>
    <x v="1"/>
    <d v="2026-01-15T00:00:00"/>
    <x v="3"/>
    <d v="1899-12-30T07:40:00"/>
    <n v="4"/>
    <d v="2026-01-15T00:00:00"/>
    <d v="1899-12-30T19:40:00"/>
    <n v="12"/>
    <x v="0"/>
    <s v="Accepted"/>
    <x v="0"/>
    <s v="Completed"/>
    <n v="25"/>
    <x v="0"/>
    <x v="2"/>
    <n v="1"/>
    <s v="Dr Adebayo"/>
    <x v="0"/>
    <s v="Tech C"/>
    <s v="HMO"/>
    <s v="Test-department mismatch"/>
  </r>
  <r>
    <s v="S1811"/>
    <s v="P83283"/>
    <s v="Female"/>
    <n v="85"/>
    <x v="0"/>
    <s v="Blood"/>
    <x v="0"/>
    <d v="2026-02-10T00:00:00"/>
    <x v="5"/>
    <d v="1899-12-30T14:50:00"/>
    <n v="5"/>
    <d v="2026-02-11T00:00:00"/>
    <d v="1899-12-30T03:50:00"/>
    <n v="13"/>
    <x v="0"/>
    <s v="Accepted"/>
    <x v="0"/>
    <s v="Completed"/>
    <n v="35"/>
    <x v="1"/>
    <x v="1"/>
    <n v="1"/>
    <s v="Dr James"/>
    <x v="0"/>
    <s v="Tech A"/>
    <s v="Private"/>
    <s v=" "/>
  </r>
  <r>
    <s v="S1812"/>
    <s v="P48951"/>
    <s v="Female"/>
    <n v="35"/>
    <x v="1"/>
    <s v="Blood"/>
    <x v="2"/>
    <d v="2026-03-21T00:00:00"/>
    <x v="1"/>
    <d v="1899-12-30T07:59:00"/>
    <n v="3"/>
    <d v="2026-03-21T00:00:00"/>
    <d v="1899-12-30T14:59:00"/>
    <n v="7"/>
    <x v="0"/>
    <s v="Accepted"/>
    <x v="0"/>
    <s v="Completed"/>
    <n v="15"/>
    <x v="0"/>
    <x v="1"/>
    <n v="2"/>
    <s v="Dr Ahmed"/>
    <x v="1"/>
    <s v="Tech A"/>
    <s v="HMO"/>
    <m/>
  </r>
  <r>
    <s v="S1813"/>
    <s v="P93326"/>
    <s v="Male"/>
    <n v="54"/>
    <x v="4"/>
    <s v="Blood"/>
    <x v="0"/>
    <d v="2026-05-23T00:00:00"/>
    <x v="4"/>
    <d v="1899-12-30T16:15:00"/>
    <n v="6"/>
    <d v="2026-05-23T00:00:00"/>
    <d v="1899-12-30T23:15:00"/>
    <n v="7"/>
    <x v="0"/>
    <s v="Accepted"/>
    <x v="0"/>
    <s v="Completed"/>
    <n v="40"/>
    <x v="0"/>
    <x v="0"/>
    <n v="2"/>
    <s v="Dr James"/>
    <x v="0"/>
    <s v="Tech B"/>
    <s v="HMO"/>
    <s v=" "/>
  </r>
  <r>
    <s v="S1814"/>
    <s v="P13243"/>
    <s v="Male"/>
    <n v="17"/>
    <x v="0"/>
    <s v="Blood"/>
    <x v="1"/>
    <d v="2026-04-21T00:00:00"/>
    <x v="0"/>
    <d v="1899-12-30T11:46:00"/>
    <n v="5"/>
    <d v="2026-04-21T00:00:00"/>
    <d v="1899-12-30T22:46:00"/>
    <n v="11"/>
    <x v="0"/>
    <s v="Rejected"/>
    <x v="4"/>
    <s v="Completed"/>
    <n v="35"/>
    <x v="1"/>
    <x v="2"/>
    <n v="3"/>
    <s v="Dr James"/>
    <x v="2"/>
    <s v="Tech B"/>
    <s v="NHIA"/>
    <s v="Test-department mismatch; Sample-test status mismatch; Rejected sample with released result"/>
  </r>
  <r>
    <s v="S1815"/>
    <s v="P50214"/>
    <s v="Female"/>
    <n v="63"/>
    <x v="5"/>
    <s v="Blood"/>
    <x v="4"/>
    <d v="2026-05-18T00:00:00"/>
    <x v="4"/>
    <d v="1899-12-30T15:45:00"/>
    <n v="4"/>
    <d v="2026-05-18T00:00:00"/>
    <d v="1899-12-30T23:45:00"/>
    <n v="8"/>
    <x v="0"/>
    <s v="Accepted"/>
    <x v="0"/>
    <s v="Completed"/>
    <n v="25"/>
    <x v="0"/>
    <x v="2"/>
    <n v="2"/>
    <s v="Dr Adebayo"/>
    <x v="2"/>
    <s v="Tech B"/>
    <s v="NHIA"/>
    <s v="Test-department mismatch"/>
  </r>
  <r>
    <s v="S1816"/>
    <s v="P72888"/>
    <s v="Female"/>
    <n v="39"/>
    <x v="1"/>
    <s v="Blood"/>
    <x v="2"/>
    <d v="2026-01-09T00:00:00"/>
    <x v="3"/>
    <d v="1899-12-30T13:59:00"/>
    <n v="3"/>
    <d v="2026-01-09T00:00:00"/>
    <d v="1899-12-30T21:59:00"/>
    <n v="8"/>
    <x v="0"/>
    <s v="Accepted"/>
    <x v="0"/>
    <s v="Completed"/>
    <n v="15"/>
    <x v="0"/>
    <x v="2"/>
    <n v="5"/>
    <s v="Dr James"/>
    <x v="2"/>
    <s v="Tech B"/>
    <s v="Private"/>
    <m/>
  </r>
  <r>
    <s v="S1817"/>
    <s v="P25673"/>
    <s v="Female"/>
    <n v="27"/>
    <x v="4"/>
    <s v="Blood"/>
    <x v="0"/>
    <d v="2026-01-10T00:00:00"/>
    <x v="3"/>
    <d v="1899-12-30T07:50:00"/>
    <n v="6"/>
    <d v="2026-01-10T00:00:00"/>
    <d v="1899-12-30T12:50:00"/>
    <n v="5"/>
    <x v="1"/>
    <s v="Accepted"/>
    <x v="0"/>
    <s v="Completed"/>
    <n v="40"/>
    <x v="1"/>
    <x v="0"/>
    <n v="2"/>
    <s v="Dr Okafor"/>
    <x v="2"/>
    <s v="Tech A"/>
    <s v="HMO"/>
    <s v=" "/>
  </r>
  <r>
    <s v="S1818"/>
    <s v="P70737"/>
    <s v="Female"/>
    <n v="68"/>
    <x v="3"/>
    <s v="Blood"/>
    <x v="4"/>
    <d v="2026-03-31T00:00:00"/>
    <x v="1"/>
    <d v="1899-12-30T15:52:00"/>
    <n v="24"/>
    <d v="2026-04-01T00:00:00"/>
    <d v="1899-12-30T21:52:00"/>
    <n v="30"/>
    <x v="0"/>
    <s v="Accepted"/>
    <x v="0"/>
    <s v="Completed"/>
    <n v="50"/>
    <x v="1"/>
    <x v="0"/>
    <n v="2"/>
    <s v="Dr Adebayo"/>
    <x v="0"/>
    <s v="Tech A"/>
    <s v="Private"/>
    <s v="Female patient with PSA test"/>
  </r>
  <r>
    <s v="S1819"/>
    <s v="P40772"/>
    <s v="Male"/>
    <n v="72"/>
    <x v="0"/>
    <s v="Blood"/>
    <x v="1"/>
    <d v="2026-05-28T00:00:00"/>
    <x v="4"/>
    <d v="1899-12-30T10:51:00"/>
    <n v="5"/>
    <d v="2026-05-28T00:00:00"/>
    <d v="1899-12-30T19:51:00"/>
    <n v="9"/>
    <x v="0"/>
    <s v="Accepted"/>
    <x v="0"/>
    <s v="Completed"/>
    <n v="35"/>
    <x v="0"/>
    <x v="2"/>
    <n v="1"/>
    <s v="Dr Adebayo"/>
    <x v="3"/>
    <s v="Tech B"/>
    <s v="NHIA"/>
    <s v="Test-department mismatch"/>
  </r>
  <r>
    <s v="S1820"/>
    <s v="P38262"/>
    <s v="Female"/>
    <n v="6"/>
    <x v="4"/>
    <s v="Blood"/>
    <x v="0"/>
    <d v="2026-05-25T00:00:00"/>
    <x v="4"/>
    <d v="1899-12-30T15:12:00"/>
    <n v="6"/>
    <d v="2026-05-26T00:00:00"/>
    <d v="1899-12-30T05:12:00"/>
    <n v="14"/>
    <x v="0"/>
    <s v="Accepted"/>
    <x v="0"/>
    <s v="Completed"/>
    <n v="40"/>
    <x v="0"/>
    <x v="0"/>
    <n v="1"/>
    <s v="Dr Adebayo"/>
    <x v="2"/>
    <s v="Tech C"/>
    <s v="NHIA"/>
    <s v=" "/>
  </r>
  <r>
    <s v="S1821"/>
    <s v="P12683"/>
    <s v="Female"/>
    <n v="33"/>
    <x v="2"/>
    <s v="Urine"/>
    <x v="3"/>
    <d v="2026-01-29T00:00:00"/>
    <x v="3"/>
    <d v="1899-12-30T07:30:00"/>
    <n v="8"/>
    <d v="2026-01-29T00:00:00"/>
    <d v="1899-12-30T20:30:00"/>
    <n v="13"/>
    <x v="0"/>
    <s v="Accepted"/>
    <x v="0"/>
    <s v="Completed"/>
    <n v="20"/>
    <x v="0"/>
    <x v="0"/>
    <n v="3"/>
    <s v="Dr Adebayo"/>
    <x v="2"/>
    <s v="Tech A"/>
    <s v="HMO"/>
    <s v=" "/>
  </r>
  <r>
    <s v="S1822"/>
    <s v="P68553"/>
    <s v="Male"/>
    <n v="76"/>
    <x v="1"/>
    <s v="Blood"/>
    <x v="2"/>
    <d v="2026-06-11T00:00:00"/>
    <x v="2"/>
    <d v="1899-12-30T09:15:00"/>
    <n v="3"/>
    <d v="2026-06-11T00:00:00"/>
    <d v="1899-12-30T16:15:00"/>
    <n v="7"/>
    <x v="0"/>
    <s v="Accepted"/>
    <x v="0"/>
    <s v="Completed"/>
    <n v="15"/>
    <x v="0"/>
    <x v="0"/>
    <n v="3"/>
    <s v="Dr James"/>
    <x v="3"/>
    <s v="Tech B"/>
    <s v="Private"/>
    <m/>
  </r>
  <r>
    <s v="S1823"/>
    <s v="P94473"/>
    <s v="Male"/>
    <n v="54"/>
    <x v="4"/>
    <s v="Blood"/>
    <x v="1"/>
    <d v="2026-02-10T00:00:00"/>
    <x v="5"/>
    <d v="1899-12-30T12:28:00"/>
    <n v="6"/>
    <d v="2026-02-11T00:00:00"/>
    <d v="1899-12-30T00:28:00"/>
    <n v="12"/>
    <x v="0"/>
    <s v="Accepted"/>
    <x v="0"/>
    <s v="Completed"/>
    <n v="40"/>
    <x v="0"/>
    <x v="2"/>
    <n v="5"/>
    <s v="Dr Okafor"/>
    <x v="1"/>
    <s v="Tech A"/>
    <s v="NHIA"/>
    <s v="Test-department mismatch"/>
  </r>
  <r>
    <s v="S1824"/>
    <s v="P18925"/>
    <s v="Female"/>
    <n v="37"/>
    <x v="4"/>
    <s v="Blood"/>
    <x v="0"/>
    <d v="2026-05-28T00:00:00"/>
    <x v="4"/>
    <d v="1899-12-30T08:43:00"/>
    <n v="6"/>
    <d v="2026-05-28T00:00:00"/>
    <d v="1899-12-30T22:43:00"/>
    <n v="14"/>
    <x v="0"/>
    <s v="Accepted"/>
    <x v="0"/>
    <s v="Completed"/>
    <n v="40"/>
    <x v="1"/>
    <x v="1"/>
    <n v="3"/>
    <s v="Dr Adebayo"/>
    <x v="0"/>
    <s v="Tech C"/>
    <s v="HMO"/>
    <s v=" "/>
  </r>
  <r>
    <s v="S1825"/>
    <s v="P55933"/>
    <s v="Male"/>
    <n v="18"/>
    <x v="2"/>
    <s v="Urine"/>
    <x v="3"/>
    <d v="2026-03-19T00:00:00"/>
    <x v="1"/>
    <d v="1899-12-30T13:55:00"/>
    <n v="8"/>
    <d v="2026-03-19T00:00:00"/>
    <d v="1899-12-30T23:55:00"/>
    <n v="10"/>
    <x v="0"/>
    <s v="Accepted"/>
    <x v="0"/>
    <s v="Completed"/>
    <n v="20"/>
    <x v="0"/>
    <x v="1"/>
    <n v="4"/>
    <s v="Dr Okafor"/>
    <x v="1"/>
    <s v="Tech C"/>
    <s v="HMO"/>
    <s v=" "/>
  </r>
  <r>
    <s v="S1826"/>
    <s v="P81508"/>
    <s v="Female"/>
    <n v="25"/>
    <x v="2"/>
    <s v="Urine"/>
    <x v="2"/>
    <d v="2026-02-01T00:00:00"/>
    <x v="5"/>
    <d v="1899-12-30T11:26:00"/>
    <n v="8"/>
    <d v="2026-02-01T00:00:00"/>
    <d v="1899-12-30T22:26:00"/>
    <n v="11"/>
    <x v="0"/>
    <s v="Accepted"/>
    <x v="0"/>
    <s v="Completed"/>
    <n v="20"/>
    <x v="1"/>
    <x v="0"/>
    <n v="5"/>
    <s v="Dr Okafor"/>
    <x v="2"/>
    <s v="Tech A"/>
    <s v="Private"/>
    <s v="Test-department mismatch"/>
  </r>
  <r>
    <s v="S1827"/>
    <s v="P75784"/>
    <s v="Female"/>
    <n v="58"/>
    <x v="2"/>
    <s v="Urine"/>
    <x v="3"/>
    <d v="2026-01-13T00:00:00"/>
    <x v="3"/>
    <d v="1899-12-30T07:36:00"/>
    <n v="8"/>
    <d v="2026-01-13T00:00:00"/>
    <d v="1899-12-30T15:36:00"/>
    <n v="8"/>
    <x v="1"/>
    <s v="Accepted"/>
    <x v="0"/>
    <s v="Completed"/>
    <n v="20"/>
    <x v="1"/>
    <x v="0"/>
    <n v="3"/>
    <s v="Dr James"/>
    <x v="2"/>
    <s v="Tech B"/>
    <s v="Private"/>
    <s v=" "/>
  </r>
  <r>
    <s v="S1828"/>
    <s v="P93633"/>
    <s v="Female"/>
    <n v="43"/>
    <x v="4"/>
    <s v="Blood"/>
    <x v="0"/>
    <d v="2026-03-01T00:00:00"/>
    <x v="1"/>
    <d v="1899-12-30T13:20:00"/>
    <n v="6"/>
    <d v="2026-03-02T00:00:00"/>
    <d v="1899-12-30T01:20:00"/>
    <n v="12"/>
    <x v="0"/>
    <s v="Accepted"/>
    <x v="0"/>
    <s v="Completed"/>
    <n v="40"/>
    <x v="1"/>
    <x v="0"/>
    <n v="3"/>
    <s v="Dr Okafor"/>
    <x v="0"/>
    <s v="Tech C"/>
    <s v="Private"/>
    <s v=" "/>
  </r>
  <r>
    <s v="S1829"/>
    <s v="P12987"/>
    <s v="Male"/>
    <n v="10"/>
    <x v="2"/>
    <s v="Urine"/>
    <x v="4"/>
    <d v="2026-02-26T00:00:00"/>
    <x v="5"/>
    <d v="1899-12-30T16:08:00"/>
    <n v="8"/>
    <d v="2026-02-27T00:00:00"/>
    <d v="1899-12-30T01:08:00"/>
    <n v="9"/>
    <x v="0"/>
    <s v="Accepted"/>
    <x v="0"/>
    <s v="Completed"/>
    <n v="20"/>
    <x v="0"/>
    <x v="2"/>
    <n v="5"/>
    <s v="Dr James"/>
    <x v="2"/>
    <s v="Tech A"/>
    <s v="Private"/>
    <s v="Test-department mismatch"/>
  </r>
  <r>
    <s v="S1830"/>
    <s v="P24328"/>
    <s v="Male"/>
    <n v="45"/>
    <x v="4"/>
    <s v="Blood"/>
    <x v="1"/>
    <d v="2026-01-01T00:00:00"/>
    <x v="3"/>
    <d v="1899-12-30T10:51:00"/>
    <n v="6"/>
    <d v="2026-01-01T00:00:00"/>
    <d v="1899-12-30T19:51:00"/>
    <n v="9"/>
    <x v="0"/>
    <s v="Accepted"/>
    <x v="0"/>
    <s v="Completed"/>
    <n v="40"/>
    <x v="1"/>
    <x v="1"/>
    <n v="4"/>
    <s v="Dr James"/>
    <x v="3"/>
    <s v="Tech A"/>
    <s v="NHIA"/>
    <s v="Test-department mismatch"/>
  </r>
  <r>
    <s v="S1831"/>
    <s v="P26140"/>
    <s v="Female"/>
    <n v="9"/>
    <x v="4"/>
    <s v="Blood"/>
    <x v="3"/>
    <d v="2026-04-24T00:00:00"/>
    <x v="0"/>
    <d v="1899-12-30T10:46:00"/>
    <n v="6"/>
    <d v="2026-04-24T00:00:00"/>
    <d v="1899-12-30T22:46:00"/>
    <n v="12"/>
    <x v="0"/>
    <s v="Accepted"/>
    <x v="0"/>
    <s v="Completed"/>
    <n v="40"/>
    <x v="0"/>
    <x v="2"/>
    <n v="5"/>
    <s v="Dr Adebayo"/>
    <x v="3"/>
    <s v="Tech C"/>
    <s v="Private"/>
    <s v="Test-department mismatch"/>
  </r>
  <r>
    <s v="S1832"/>
    <s v="P79855"/>
    <s v="Female"/>
    <n v="49"/>
    <x v="5"/>
    <s v="Blood"/>
    <x v="1"/>
    <d v="2026-03-25T00:00:00"/>
    <x v="1"/>
    <d v="1899-12-30T16:45:00"/>
    <n v="4"/>
    <d v="2026-03-26T00:00:00"/>
    <d v="1899-12-30T04:45:00"/>
    <n v="12"/>
    <x v="0"/>
    <s v="Accepted"/>
    <x v="0"/>
    <s v="Completed"/>
    <n v="25"/>
    <x v="1"/>
    <x v="1"/>
    <n v="4"/>
    <s v="Dr Adebayo"/>
    <x v="2"/>
    <s v="Tech B"/>
    <s v="NHIA"/>
    <s v="Test-department mismatch"/>
  </r>
  <r>
    <s v="S1833"/>
    <s v="P20643"/>
    <s v="Female"/>
    <n v="27"/>
    <x v="3"/>
    <s v="Blood"/>
    <x v="0"/>
    <d v="2026-06-03T00:00:00"/>
    <x v="2"/>
    <d v="1899-12-30T11:30:00"/>
    <n v="24"/>
    <d v="2026-06-04T00:00:00"/>
    <d v="1899-12-30T16:30:00"/>
    <n v="29"/>
    <x v="0"/>
    <s v="Accepted"/>
    <x v="0"/>
    <s v="Completed"/>
    <n v="50"/>
    <x v="1"/>
    <x v="2"/>
    <n v="3"/>
    <s v="Dr Adebayo"/>
    <x v="2"/>
    <s v="Tech A"/>
    <s v="HMO"/>
    <s v="Female patient with PSA test; Test-department mismatch"/>
  </r>
  <r>
    <s v="S1834"/>
    <s v="P95793"/>
    <s v="Female"/>
    <n v="25"/>
    <x v="4"/>
    <s v="Blood"/>
    <x v="0"/>
    <d v="2026-03-28T00:00:00"/>
    <x v="1"/>
    <d v="1899-12-30T11:08:00"/>
    <n v="6"/>
    <d v="2026-03-28T00:00:00"/>
    <d v="1899-12-30T18:08:00"/>
    <n v="7"/>
    <x v="0"/>
    <s v="Rejected"/>
    <x v="1"/>
    <s v="Completed"/>
    <n v="40"/>
    <x v="1"/>
    <x v="0"/>
    <n v="3"/>
    <s v="Dr Okafor"/>
    <x v="2"/>
    <s v="Tech B"/>
    <s v="HMO"/>
    <s v="Sample-test status mismatch; Rejected sample with released result"/>
  </r>
  <r>
    <s v="S1835"/>
    <s v="P22065"/>
    <s v="Female"/>
    <n v="13"/>
    <x v="4"/>
    <s v="Blood"/>
    <x v="0"/>
    <d v="2026-04-03T00:00:00"/>
    <x v="0"/>
    <d v="1899-12-30T09:35:00"/>
    <n v="6"/>
    <d v="2026-04-03T00:00:00"/>
    <d v="1899-12-30T21:35:00"/>
    <n v="12"/>
    <x v="0"/>
    <s v="Accepted"/>
    <x v="0"/>
    <s v="Completed"/>
    <n v="40"/>
    <x v="1"/>
    <x v="1"/>
    <n v="1"/>
    <s v="Dr Okafor"/>
    <x v="2"/>
    <s v="Tech C"/>
    <s v="Private"/>
    <s v=" "/>
  </r>
  <r>
    <s v="S1836"/>
    <s v="P24530"/>
    <s v="Female"/>
    <n v="29"/>
    <x v="1"/>
    <s v="Blood"/>
    <x v="2"/>
    <d v="2026-01-23T00:00:00"/>
    <x v="3"/>
    <d v="1899-12-30T12:04:00"/>
    <n v="3"/>
    <d v="2026-01-23T00:00:00"/>
    <d v="1899-12-30T14:04:00"/>
    <n v="2"/>
    <x v="1"/>
    <s v="Accepted"/>
    <x v="0"/>
    <s v="Completed"/>
    <n v="15"/>
    <x v="1"/>
    <x v="0"/>
    <n v="2"/>
    <s v="Dr Okafor"/>
    <x v="1"/>
    <s v="Tech C"/>
    <s v="NHIA"/>
    <m/>
  </r>
  <r>
    <s v="S1837"/>
    <s v="P18041"/>
    <s v="Male"/>
    <n v="85"/>
    <x v="0"/>
    <s v="Blood"/>
    <x v="3"/>
    <d v="2026-03-20T00:00:00"/>
    <x v="1"/>
    <d v="1899-12-30T14:33:00"/>
    <n v="5"/>
    <d v="2026-03-20T00:00:00"/>
    <d v="1899-12-30T19:33:00"/>
    <n v="5"/>
    <x v="1"/>
    <s v="Accepted"/>
    <x v="0"/>
    <s v="Completed"/>
    <n v="35"/>
    <x v="0"/>
    <x v="2"/>
    <n v="1"/>
    <s v="Dr Adebayo"/>
    <x v="0"/>
    <s v="Tech A"/>
    <s v="NHIA"/>
    <s v="Test-department mismatch"/>
  </r>
  <r>
    <s v="S1838"/>
    <s v="P50161"/>
    <s v="Male"/>
    <n v="5"/>
    <x v="2"/>
    <s v="Urine"/>
    <x v="3"/>
    <d v="2026-04-23T00:00:00"/>
    <x v="0"/>
    <d v="1899-12-30T14:32:00"/>
    <n v="8"/>
    <d v="2026-04-24T00:00:00"/>
    <d v="1899-12-30T01:32:00"/>
    <n v="11"/>
    <x v="0"/>
    <s v="Accepted"/>
    <x v="0"/>
    <s v="Completed"/>
    <n v="20"/>
    <x v="1"/>
    <x v="1"/>
    <n v="4"/>
    <s v="Dr Adebayo"/>
    <x v="2"/>
    <s v="Tech B"/>
    <s v="Private"/>
    <s v=" "/>
  </r>
  <r>
    <s v="S1839"/>
    <s v="P53411"/>
    <s v="Female"/>
    <n v="88"/>
    <x v="3"/>
    <s v="Blood"/>
    <x v="4"/>
    <d v="2026-02-27T00:00:00"/>
    <x v="5"/>
    <d v="1899-12-30T08:35:00"/>
    <n v="24"/>
    <d v="2026-02-28T00:00:00"/>
    <d v="1899-12-30T15:35:00"/>
    <n v="31"/>
    <x v="0"/>
    <s v="Accepted"/>
    <x v="0"/>
    <s v="Completed"/>
    <n v="50"/>
    <x v="0"/>
    <x v="1"/>
    <n v="3"/>
    <s v="Dr Ahmed"/>
    <x v="1"/>
    <s v="Tech A"/>
    <s v="NHIA"/>
    <s v="Female patient with PSA test"/>
  </r>
  <r>
    <s v="S1840"/>
    <s v="P58475"/>
    <s v="Female"/>
    <n v="4"/>
    <x v="0"/>
    <s v="Blood"/>
    <x v="3"/>
    <d v="2026-03-28T00:00:00"/>
    <x v="1"/>
    <d v="1899-12-30T11:49:00"/>
    <n v="5"/>
    <d v="2026-03-28T00:00:00"/>
    <d v="1899-12-30T21:49:00"/>
    <n v="10"/>
    <x v="0"/>
    <s v="Accepted"/>
    <x v="0"/>
    <s v="Completed"/>
    <n v="35"/>
    <x v="1"/>
    <x v="0"/>
    <n v="2"/>
    <s v="Dr Adebayo"/>
    <x v="1"/>
    <s v="Tech B"/>
    <s v="HMO"/>
    <s v="Test-department mismatch"/>
  </r>
  <r>
    <s v="S1841"/>
    <s v="P92672"/>
    <s v="Female"/>
    <n v="33"/>
    <x v="5"/>
    <s v="Blood"/>
    <x v="2"/>
    <d v="2026-06-13T00:00:00"/>
    <x v="2"/>
    <d v="1899-12-30T11:48:00"/>
    <n v="4"/>
    <d v="2026-06-13T00:00:00"/>
    <d v="1899-12-30T20:48:00"/>
    <n v="9"/>
    <x v="0"/>
    <s v="Accepted"/>
    <x v="0"/>
    <s v="Completed"/>
    <n v="25"/>
    <x v="1"/>
    <x v="0"/>
    <n v="2"/>
    <s v="Dr James"/>
    <x v="0"/>
    <s v="Tech B"/>
    <s v="HMO"/>
    <s v="Test-department mismatch"/>
  </r>
  <r>
    <s v="S1842"/>
    <s v="P28296"/>
    <s v="Female"/>
    <n v="39"/>
    <x v="5"/>
    <s v="Blood"/>
    <x v="1"/>
    <d v="2026-04-16T00:00:00"/>
    <x v="0"/>
    <d v="1899-12-30T07:10:00"/>
    <n v="4"/>
    <d v="2026-04-16T00:00:00"/>
    <d v="1899-12-30T17:10:00"/>
    <n v="10"/>
    <x v="0"/>
    <s v="Accepted"/>
    <x v="0"/>
    <s v="Completed"/>
    <n v="25"/>
    <x v="1"/>
    <x v="1"/>
    <n v="5"/>
    <s v="Dr Adebayo"/>
    <x v="1"/>
    <s v="Tech B"/>
    <s v="Private"/>
    <s v="Test-department mismatch"/>
  </r>
  <r>
    <s v="S1843"/>
    <s v="P50660"/>
    <s v="Male"/>
    <n v="54"/>
    <x v="5"/>
    <s v="Blood"/>
    <x v="1"/>
    <d v="2026-06-29T00:00:00"/>
    <x v="2"/>
    <d v="1899-12-30T09:54:00"/>
    <n v="4"/>
    <d v="2026-06-29T00:00:00"/>
    <d v="1899-12-30T20:54:00"/>
    <n v="11"/>
    <x v="0"/>
    <s v="Accepted"/>
    <x v="0"/>
    <s v="Pending"/>
    <n v="25"/>
    <x v="1"/>
    <x v="2"/>
    <n v="1"/>
    <s v="Dr Ahmed"/>
    <x v="1"/>
    <s v="Tech B"/>
    <s v="NHIA"/>
    <s v="Test-department mismatch; Pending test with released result"/>
  </r>
  <r>
    <s v="S1844"/>
    <s v="P15189"/>
    <s v="Female"/>
    <n v="59"/>
    <x v="4"/>
    <s v="Blood"/>
    <x v="3"/>
    <d v="2026-03-19T00:00:00"/>
    <x v="1"/>
    <d v="1899-12-30T14:05:00"/>
    <n v="6"/>
    <d v="2026-03-20T00:00:00"/>
    <d v="1899-12-30T03:05:00"/>
    <n v="13"/>
    <x v="0"/>
    <s v="Accepted"/>
    <x v="0"/>
    <s v="Completed"/>
    <n v="40"/>
    <x v="0"/>
    <x v="1"/>
    <n v="2"/>
    <s v="Dr Adebayo"/>
    <x v="3"/>
    <s v="Tech C"/>
    <s v="NHIA"/>
    <s v="Test-department mismatch"/>
  </r>
  <r>
    <s v="S1845"/>
    <s v="P68441"/>
    <s v="Female"/>
    <n v="68"/>
    <x v="3"/>
    <s v="Blood"/>
    <x v="4"/>
    <d v="2026-04-17T00:00:00"/>
    <x v="0"/>
    <d v="1899-12-30T11:02:00"/>
    <n v="24"/>
    <d v="2026-04-18T00:00:00"/>
    <d v="1899-12-30T17:02:00"/>
    <n v="30"/>
    <x v="0"/>
    <s v="Accepted"/>
    <x v="0"/>
    <s v="Pending"/>
    <n v="50"/>
    <x v="1"/>
    <x v="1"/>
    <n v="4"/>
    <s v="Dr Okafor"/>
    <x v="2"/>
    <s v="Tech B"/>
    <s v="Private"/>
    <s v="Female patient with PSA test; Pending test with released result"/>
  </r>
  <r>
    <s v="S1846"/>
    <s v="P57478"/>
    <s v="Female"/>
    <n v="15"/>
    <x v="3"/>
    <s v="Blood"/>
    <x v="3"/>
    <d v="2026-01-09T00:00:00"/>
    <x v="3"/>
    <d v="1899-12-30T11:49:00"/>
    <n v="24"/>
    <d v="2026-01-10T00:00:00"/>
    <d v="1899-12-30T11:49:00"/>
    <n v="24"/>
    <x v="1"/>
    <s v="Accepted"/>
    <x v="0"/>
    <s v="Completed"/>
    <n v="50"/>
    <x v="1"/>
    <x v="2"/>
    <n v="3"/>
    <s v="Dr Okafor"/>
    <x v="3"/>
    <s v="Tech C"/>
    <s v="NHIA"/>
    <s v="Female patient with PSA test; Suspicious Test-Age Combination; Test-department mismatch"/>
  </r>
  <r>
    <s v="S1847"/>
    <s v="P30734"/>
    <s v="Female"/>
    <n v="61"/>
    <x v="0"/>
    <s v="Blood"/>
    <x v="1"/>
    <d v="2026-02-02T00:00:00"/>
    <x v="5"/>
    <d v="1899-12-30T16:06:00"/>
    <n v="5"/>
    <d v="2026-02-03T00:00:00"/>
    <d v="1899-12-30T02:06:00"/>
    <n v="10"/>
    <x v="0"/>
    <s v="Accepted"/>
    <x v="0"/>
    <s v="Completed"/>
    <n v="35"/>
    <x v="0"/>
    <x v="2"/>
    <n v="3"/>
    <s v="Dr Ahmed"/>
    <x v="2"/>
    <s v="Tech B"/>
    <s v="Private"/>
    <s v="Test-department mismatch"/>
  </r>
  <r>
    <s v="S1848"/>
    <s v="P21305"/>
    <s v="Female"/>
    <n v="89"/>
    <x v="4"/>
    <s v="Blood"/>
    <x v="1"/>
    <d v="2026-02-18T00:00:00"/>
    <x v="5"/>
    <d v="1899-12-30T08:06:00"/>
    <n v="6"/>
    <d v="2026-02-18T00:00:00"/>
    <d v="1899-12-30T17:06:00"/>
    <n v="9"/>
    <x v="0"/>
    <s v="Accepted"/>
    <x v="0"/>
    <s v="Pending"/>
    <n v="40"/>
    <x v="0"/>
    <x v="2"/>
    <n v="3"/>
    <s v="Dr Ahmed"/>
    <x v="1"/>
    <s v="Tech C"/>
    <s v="Private"/>
    <s v="Test-department mismatch; Pending test with released result"/>
  </r>
  <r>
    <s v="S1849"/>
    <s v="P50859"/>
    <s v="Male"/>
    <n v="2"/>
    <x v="2"/>
    <s v="Urine"/>
    <x v="4"/>
    <d v="2026-01-04T00:00:00"/>
    <x v="3"/>
    <d v="1899-12-30T12:24:00"/>
    <n v="8"/>
    <d v="2026-01-04T00:00:00"/>
    <d v="1899-12-30T22:24:00"/>
    <n v="10"/>
    <x v="0"/>
    <s v="Accepted"/>
    <x v="0"/>
    <s v="Completed"/>
    <n v="20"/>
    <x v="1"/>
    <x v="1"/>
    <n v="4"/>
    <s v="Dr Adebayo"/>
    <x v="3"/>
    <s v="Tech C"/>
    <s v="NHIA"/>
    <s v="Test-department mismatch"/>
  </r>
  <r>
    <s v="S1850"/>
    <s v="P14324"/>
    <s v="Male"/>
    <n v="68"/>
    <x v="4"/>
    <s v="Blood"/>
    <x v="3"/>
    <d v="2026-01-12T00:00:00"/>
    <x v="3"/>
    <d v="1899-12-30T08:38:00"/>
    <n v="6"/>
    <d v="2026-01-12T00:00:00"/>
    <d v="1899-12-30T17:38:00"/>
    <n v="9"/>
    <x v="0"/>
    <s v="Accepted"/>
    <x v="0"/>
    <s v="Completed"/>
    <n v="40"/>
    <x v="1"/>
    <x v="2"/>
    <n v="5"/>
    <s v="Dr Adebayo"/>
    <x v="0"/>
    <s v="Tech B"/>
    <s v="Private"/>
    <s v="Test-department mismatch"/>
  </r>
  <r>
    <s v="S1851"/>
    <s v="P69235"/>
    <s v="Male"/>
    <n v="12"/>
    <x v="3"/>
    <s v="Blood"/>
    <x v="3"/>
    <d v="2026-04-15T00:00:00"/>
    <x v="0"/>
    <d v="1899-12-30T14:03:00"/>
    <n v="24"/>
    <d v="2026-04-16T00:00:00"/>
    <d v="1899-12-30T20:03:00"/>
    <n v="30"/>
    <x v="0"/>
    <s v="Accepted"/>
    <x v="0"/>
    <s v="Completed"/>
    <n v="50"/>
    <x v="1"/>
    <x v="2"/>
    <n v="4"/>
    <s v="Dr James"/>
    <x v="0"/>
    <s v="Tech B"/>
    <s v="Private"/>
    <s v="Suspicious Test-Age Combination; Test-department mismatch"/>
  </r>
  <r>
    <s v="S1852"/>
    <s v="P53853"/>
    <s v="Female"/>
    <n v="65"/>
    <x v="1"/>
    <s v="Blood"/>
    <x v="4"/>
    <d v="2026-06-15T00:00:00"/>
    <x v="2"/>
    <d v="1899-12-30T14:09:00"/>
    <n v="3"/>
    <d v="2026-06-15T00:00:00"/>
    <d v="1899-12-30T20:09:00"/>
    <n v="6"/>
    <x v="0"/>
    <s v="Accepted"/>
    <x v="0"/>
    <s v="Completed"/>
    <n v="15"/>
    <x v="0"/>
    <x v="2"/>
    <n v="4"/>
    <s v="Dr James"/>
    <x v="3"/>
    <s v="Tech B"/>
    <s v="Private"/>
    <s v="Test-department mismatch"/>
  </r>
  <r>
    <s v="S1853"/>
    <s v="P60334"/>
    <s v="Female"/>
    <n v="7"/>
    <x v="0"/>
    <s v="Blood"/>
    <x v="0"/>
    <d v="2026-04-04T00:00:00"/>
    <x v="0"/>
    <d v="1899-12-30T15:21:00"/>
    <n v="5"/>
    <d v="2026-04-04T00:00:00"/>
    <d v="1899-12-30T22:21:00"/>
    <n v="7"/>
    <x v="0"/>
    <s v="Accepted"/>
    <x v="0"/>
    <s v="Completed"/>
    <n v="35"/>
    <x v="1"/>
    <x v="1"/>
    <n v="3"/>
    <s v="Dr Ahmed"/>
    <x v="3"/>
    <s v="Tech A"/>
    <s v="HMO"/>
    <s v=" "/>
  </r>
  <r>
    <s v="S1854"/>
    <s v="P54583"/>
    <s v="Male"/>
    <n v="38"/>
    <x v="0"/>
    <s v="Blood"/>
    <x v="4"/>
    <d v="2026-06-08T00:00:00"/>
    <x v="2"/>
    <d v="1899-12-30T10:11:00"/>
    <n v="5"/>
    <d v="2026-06-08T00:00:00"/>
    <d v="1899-12-30T15:11:00"/>
    <n v="5"/>
    <x v="1"/>
    <s v="Accepted"/>
    <x v="0"/>
    <s v="Completed"/>
    <n v="35"/>
    <x v="1"/>
    <x v="0"/>
    <n v="4"/>
    <s v="Dr Adebayo"/>
    <x v="2"/>
    <s v="Tech C"/>
    <s v="Private"/>
    <s v="Test-department mismatch"/>
  </r>
  <r>
    <s v="S1855"/>
    <s v="P39426"/>
    <s v="Male"/>
    <n v="64"/>
    <x v="1"/>
    <s v="Blood"/>
    <x v="0"/>
    <d v="2026-02-19T00:00:00"/>
    <x v="5"/>
    <d v="1899-12-30T08:00:00"/>
    <n v="3"/>
    <d v="2026-02-19T00:00:00"/>
    <d v="1899-12-30T17:00:00"/>
    <n v="9"/>
    <x v="0"/>
    <s v="Accepted"/>
    <x v="0"/>
    <s v="Completed"/>
    <n v="15"/>
    <x v="0"/>
    <x v="0"/>
    <n v="3"/>
    <s v="Dr James"/>
    <x v="3"/>
    <s v="Tech A"/>
    <s v="Private"/>
    <s v="Test-department mismatch"/>
  </r>
  <r>
    <s v="S1856"/>
    <s v="P93835"/>
    <s v="Female"/>
    <n v="79"/>
    <x v="3"/>
    <s v="Blood"/>
    <x v="0"/>
    <d v="2026-04-09T00:00:00"/>
    <x v="0"/>
    <d v="1899-12-30T10:17:00"/>
    <n v="24"/>
    <d v="2026-04-10T00:00:00"/>
    <d v="1899-12-30T18:17:00"/>
    <n v="32"/>
    <x v="0"/>
    <s v="Rejected"/>
    <x v="1"/>
    <s v="Completed"/>
    <n v="50"/>
    <x v="0"/>
    <x v="2"/>
    <n v="1"/>
    <s v="Dr Okafor"/>
    <x v="2"/>
    <s v="Tech A"/>
    <s v="Private"/>
    <s v="Female patient with PSA test; Sample-test status mismatch; Rejected sample with released resultTest-department mismatch"/>
  </r>
  <r>
    <s v="S1857"/>
    <s v="P12195"/>
    <s v="Male"/>
    <n v="17"/>
    <x v="4"/>
    <s v="Blood"/>
    <x v="0"/>
    <d v="2026-01-16T00:00:00"/>
    <x v="3"/>
    <d v="1899-12-30T09:28:00"/>
    <n v="6"/>
    <d v="2026-01-16T00:00:00"/>
    <d v="1899-12-30T22:28:00"/>
    <n v="13"/>
    <x v="0"/>
    <s v="Accepted"/>
    <x v="0"/>
    <s v="Completed"/>
    <n v="40"/>
    <x v="0"/>
    <x v="0"/>
    <n v="3"/>
    <s v="Dr Adebayo"/>
    <x v="0"/>
    <s v="Tech A"/>
    <s v="HMO"/>
    <s v=" "/>
  </r>
  <r>
    <s v="S1858"/>
    <s v="P90571"/>
    <s v="Female"/>
    <n v="46"/>
    <x v="3"/>
    <s v="Blood"/>
    <x v="1"/>
    <d v="2026-01-30T00:00:00"/>
    <x v="3"/>
    <d v="1899-12-30T07:29:00"/>
    <n v="24"/>
    <d v="2026-01-31T00:00:00"/>
    <d v="1899-12-30T06:29:00"/>
    <n v="23"/>
    <x v="1"/>
    <s v="Rejected"/>
    <x v="4"/>
    <s v="Completed"/>
    <n v="50"/>
    <x v="0"/>
    <x v="0"/>
    <n v="4"/>
    <s v="Dr Adebayo"/>
    <x v="1"/>
    <s v="Tech A"/>
    <s v="Private"/>
    <s v="Female patient with PSA test; Sample-test status mismatch; Rejected sample with released resultTest-department mismatch"/>
  </r>
  <r>
    <s v="S1859"/>
    <s v="P51625"/>
    <s v="Female"/>
    <n v="84"/>
    <x v="0"/>
    <s v="Blood"/>
    <x v="2"/>
    <d v="2026-03-25T00:00:00"/>
    <x v="1"/>
    <d v="1899-12-30T08:06:00"/>
    <n v="5"/>
    <d v="2026-03-25T00:00:00"/>
    <d v="1899-12-30T21:06:00"/>
    <n v="13"/>
    <x v="0"/>
    <s v="Accepted"/>
    <x v="0"/>
    <s v="Completed"/>
    <n v="35"/>
    <x v="1"/>
    <x v="0"/>
    <n v="5"/>
    <s v="Dr Ahmed"/>
    <x v="3"/>
    <s v="Tech A"/>
    <s v="HMO"/>
    <s v="Test-department mismatch"/>
  </r>
  <r>
    <s v="S1860"/>
    <s v="P86618"/>
    <s v="Male"/>
    <n v="56"/>
    <x v="3"/>
    <s v="Blood"/>
    <x v="0"/>
    <d v="2026-06-26T00:00:00"/>
    <x v="2"/>
    <d v="1899-12-30T14:05:00"/>
    <n v="24"/>
    <d v="2026-06-27T00:00:00"/>
    <d v="1899-12-30T16:05:00"/>
    <n v="26"/>
    <x v="0"/>
    <s v="Accepted"/>
    <x v="0"/>
    <s v="Completed"/>
    <n v="50"/>
    <x v="1"/>
    <x v="1"/>
    <n v="2"/>
    <s v="Dr James"/>
    <x v="0"/>
    <s v="Tech A"/>
    <s v="NHIA"/>
    <s v="Test-department mismatch"/>
  </r>
  <r>
    <s v="S1861"/>
    <s v="P51835"/>
    <s v="Female"/>
    <n v="4"/>
    <x v="2"/>
    <s v="Urine"/>
    <x v="3"/>
    <d v="2026-05-17T00:00:00"/>
    <x v="4"/>
    <d v="1899-12-30T07:06:00"/>
    <n v="8"/>
    <d v="2026-05-17T00:00:00"/>
    <d v="1899-12-30T15:06:00"/>
    <n v="8"/>
    <x v="1"/>
    <s v="Accepted"/>
    <x v="0"/>
    <s v="Completed"/>
    <n v="20"/>
    <x v="1"/>
    <x v="0"/>
    <n v="4"/>
    <s v="Dr Okafor"/>
    <x v="0"/>
    <s v="Tech C"/>
    <s v="Private"/>
    <s v=" "/>
  </r>
  <r>
    <s v="S1862"/>
    <s v="P88991"/>
    <s v="Male"/>
    <n v="30"/>
    <x v="1"/>
    <s v="Blood"/>
    <x v="1"/>
    <d v="2026-02-12T00:00:00"/>
    <x v="5"/>
    <d v="1899-12-30T07:10:00"/>
    <n v="3"/>
    <d v="2026-02-12T00:00:00"/>
    <d v="1899-12-30T13:10:00"/>
    <n v="6"/>
    <x v="0"/>
    <s v="Accepted"/>
    <x v="0"/>
    <s v="Completed"/>
    <n v="15"/>
    <x v="0"/>
    <x v="2"/>
    <n v="1"/>
    <s v="Dr Adebayo"/>
    <x v="3"/>
    <s v="Tech C"/>
    <s v="HMO"/>
    <s v="Test-department mismatch"/>
  </r>
  <r>
    <s v="S1863"/>
    <s v="P56173"/>
    <s v="Male"/>
    <n v="34"/>
    <x v="1"/>
    <s v="Blood"/>
    <x v="2"/>
    <d v="2026-03-14T00:00:00"/>
    <x v="1"/>
    <d v="1899-12-30T11:26:00"/>
    <n v="3"/>
    <d v="2026-03-14T00:00:00"/>
    <d v="1899-12-30T13:26:00"/>
    <n v="2"/>
    <x v="1"/>
    <s v="Accepted"/>
    <x v="0"/>
    <s v="Pending"/>
    <n v="15"/>
    <x v="0"/>
    <x v="2"/>
    <n v="5"/>
    <s v="Dr Okafor"/>
    <x v="0"/>
    <s v="Tech B"/>
    <s v="NHIA"/>
    <s v=" Pending test with released result"/>
  </r>
  <r>
    <s v="S1864"/>
    <s v="P75707"/>
    <s v="Female"/>
    <n v="45"/>
    <x v="1"/>
    <s v="Blood"/>
    <x v="2"/>
    <d v="2026-01-30T00:00:00"/>
    <x v="3"/>
    <d v="1899-12-30T07:13:00"/>
    <n v="3"/>
    <d v="2026-01-30T00:00:00"/>
    <d v="1899-12-30T13:13:00"/>
    <n v="6"/>
    <x v="0"/>
    <s v="Accepted"/>
    <x v="0"/>
    <s v="Completed"/>
    <n v="15"/>
    <x v="1"/>
    <x v="1"/>
    <n v="2"/>
    <s v="Dr Adebayo"/>
    <x v="2"/>
    <s v="Tech C"/>
    <s v="HMO"/>
    <m/>
  </r>
  <r>
    <s v="S1865"/>
    <s v="P20936"/>
    <s v="Female"/>
    <n v="73"/>
    <x v="4"/>
    <s v="Blood"/>
    <x v="3"/>
    <d v="2026-06-10T00:00:00"/>
    <x v="2"/>
    <d v="1899-12-30T10:51:00"/>
    <n v="6"/>
    <d v="2026-06-10T00:00:00"/>
    <d v="1899-12-30T23:51:00"/>
    <n v="13"/>
    <x v="0"/>
    <s v="Accepted"/>
    <x v="0"/>
    <s v="Completed"/>
    <n v="40"/>
    <x v="0"/>
    <x v="0"/>
    <n v="2"/>
    <s v="Dr James"/>
    <x v="3"/>
    <s v="Tech A"/>
    <s v="HMO"/>
    <s v="Test-department mismatch"/>
  </r>
  <r>
    <s v="S1866"/>
    <s v="P96941"/>
    <s v="Male"/>
    <n v="13"/>
    <x v="5"/>
    <s v="Blood"/>
    <x v="1"/>
    <d v="2026-02-21T00:00:00"/>
    <x v="5"/>
    <d v="1899-12-30T08:21:00"/>
    <n v="4"/>
    <d v="2026-02-21T00:00:00"/>
    <d v="1899-12-30T13:21:00"/>
    <n v="5"/>
    <x v="0"/>
    <s v="Accepted"/>
    <x v="0"/>
    <s v="Completed"/>
    <n v="25"/>
    <x v="0"/>
    <x v="1"/>
    <n v="4"/>
    <s v="Dr Ahmed"/>
    <x v="2"/>
    <s v="Tech C"/>
    <s v="NHIA"/>
    <s v="Test-department mismatch"/>
  </r>
  <r>
    <s v="S1867"/>
    <s v="P61428"/>
    <s v="Female"/>
    <n v="19"/>
    <x v="4"/>
    <s v="Blood"/>
    <x v="1"/>
    <d v="2026-03-31T00:00:00"/>
    <x v="1"/>
    <d v="1899-12-30T16:45:00"/>
    <n v="6"/>
    <d v="2026-04-01T00:00:00"/>
    <d v="1899-12-30T03:45:00"/>
    <n v="11"/>
    <x v="0"/>
    <s v="Accepted"/>
    <x v="0"/>
    <s v="Completed"/>
    <n v="40"/>
    <x v="0"/>
    <x v="2"/>
    <n v="2"/>
    <s v="Dr Adebayo"/>
    <x v="2"/>
    <s v="Tech C"/>
    <s v="Private"/>
    <s v="Test-department mismatch"/>
  </r>
  <r>
    <s v="S1868"/>
    <s v="P78233"/>
    <s v="Male"/>
    <n v="8"/>
    <x v="3"/>
    <s v="Blood"/>
    <x v="4"/>
    <d v="2026-05-14T00:00:00"/>
    <x v="4"/>
    <d v="1899-12-30T07:08:00"/>
    <n v="24"/>
    <d v="2026-05-15T00:00:00"/>
    <d v="1899-12-30T11:08:00"/>
    <n v="28"/>
    <x v="0"/>
    <s v="Accepted"/>
    <x v="0"/>
    <s v="Completed"/>
    <n v="50"/>
    <x v="0"/>
    <x v="0"/>
    <n v="2"/>
    <s v="Dr Okafor"/>
    <x v="3"/>
    <s v="Tech B"/>
    <s v="Private"/>
    <s v="Suspicious Test-Age Combination"/>
  </r>
  <r>
    <s v="S1869"/>
    <s v="P85930"/>
    <s v="Female"/>
    <n v="82"/>
    <x v="0"/>
    <s v="Blood"/>
    <x v="0"/>
    <d v="2026-06-01T00:00:00"/>
    <x v="2"/>
    <d v="1899-12-30T13:48:00"/>
    <n v="5"/>
    <d v="2026-06-02T00:00:00"/>
    <d v="1899-12-30T01:48:00"/>
    <n v="12"/>
    <x v="0"/>
    <s v="Accepted"/>
    <x v="0"/>
    <s v="Completed"/>
    <n v="35"/>
    <x v="1"/>
    <x v="2"/>
    <n v="3"/>
    <s v="Dr Okafor"/>
    <x v="3"/>
    <s v="Tech B"/>
    <s v="Private"/>
    <s v=" "/>
  </r>
  <r>
    <s v="S1870"/>
    <s v="P55481"/>
    <s v="Male"/>
    <n v="53"/>
    <x v="0"/>
    <s v="Blood"/>
    <x v="4"/>
    <d v="2026-05-30T00:00:00"/>
    <x v="4"/>
    <d v="1899-12-30T13:49:00"/>
    <n v="5"/>
    <d v="2026-05-31T00:00:00"/>
    <d v="1899-12-30T02:49:00"/>
    <n v="13"/>
    <x v="0"/>
    <s v="Accepted"/>
    <x v="0"/>
    <s v="Completed"/>
    <n v="35"/>
    <x v="1"/>
    <x v="0"/>
    <n v="4"/>
    <s v="Dr Ahmed"/>
    <x v="1"/>
    <s v="Tech A"/>
    <s v="HMO"/>
    <s v="Test-department mismatch"/>
  </r>
  <r>
    <s v="S1871"/>
    <s v="P73532"/>
    <s v="Male"/>
    <n v="19"/>
    <x v="2"/>
    <s v="Urine"/>
    <x v="3"/>
    <d v="2026-02-04T00:00:00"/>
    <x v="5"/>
    <d v="1899-12-30T11:48:00"/>
    <n v="8"/>
    <d v="2026-02-04T00:00:00"/>
    <d v="1899-12-30T21:48:00"/>
    <n v="10"/>
    <x v="0"/>
    <s v="Accepted"/>
    <x v="0"/>
    <s v="Completed"/>
    <n v="20"/>
    <x v="1"/>
    <x v="0"/>
    <n v="3"/>
    <s v="Dr Adebayo"/>
    <x v="1"/>
    <s v="Tech A"/>
    <s v="HMO"/>
    <s v=" "/>
  </r>
  <r>
    <s v="S1872"/>
    <s v="P25121"/>
    <s v="Male"/>
    <n v="77"/>
    <x v="3"/>
    <s v="Blood"/>
    <x v="0"/>
    <d v="2026-06-01T00:00:00"/>
    <x v="2"/>
    <d v="1899-12-30T14:51:00"/>
    <n v="24"/>
    <d v="2026-06-02T00:00:00"/>
    <d v="1899-12-30T14:51:00"/>
    <n v="24"/>
    <x v="1"/>
    <s v="Accepted"/>
    <x v="0"/>
    <s v="Completed"/>
    <n v="50"/>
    <x v="1"/>
    <x v="1"/>
    <n v="3"/>
    <s v="Dr James"/>
    <x v="0"/>
    <s v="Tech C"/>
    <s v="NHIA"/>
    <s v="Test-department mismatch"/>
  </r>
  <r>
    <s v="S1873"/>
    <s v="P33337"/>
    <s v="Female"/>
    <n v="54"/>
    <x v="3"/>
    <s v="Blood"/>
    <x v="4"/>
    <d v="2026-01-16T00:00:00"/>
    <x v="3"/>
    <d v="1899-12-30T14:00:00"/>
    <n v="24"/>
    <d v="2026-01-17T00:00:00"/>
    <d v="1899-12-30T18:00:00"/>
    <n v="28"/>
    <x v="0"/>
    <s v="Accepted"/>
    <x v="0"/>
    <s v="Completed"/>
    <n v="50"/>
    <x v="1"/>
    <x v="1"/>
    <n v="2"/>
    <s v="Dr James"/>
    <x v="1"/>
    <s v="Tech C"/>
    <s v="HMO"/>
    <s v="Female patient with PSA test"/>
  </r>
  <r>
    <s v="S1874"/>
    <s v="P25857"/>
    <s v="Male"/>
    <n v="53"/>
    <x v="0"/>
    <s v="Blood"/>
    <x v="2"/>
    <d v="2026-02-18T00:00:00"/>
    <x v="5"/>
    <d v="1899-12-30T08:47:00"/>
    <n v="5"/>
    <d v="2026-02-18T00:00:00"/>
    <d v="1899-12-30T13:47:00"/>
    <n v="5"/>
    <x v="1"/>
    <s v="Accepted"/>
    <x v="0"/>
    <s v="Completed"/>
    <n v="35"/>
    <x v="0"/>
    <x v="1"/>
    <n v="2"/>
    <s v="Dr Ahmed"/>
    <x v="1"/>
    <s v="Tech A"/>
    <s v="Private"/>
    <s v="Test-department mismatch"/>
  </r>
  <r>
    <s v="S1875"/>
    <s v="P35833"/>
    <s v="Male"/>
    <n v="87"/>
    <x v="3"/>
    <s v="Blood"/>
    <x v="4"/>
    <d v="2026-05-20T00:00:00"/>
    <x v="4"/>
    <d v="1899-12-30T10:42:00"/>
    <n v="24"/>
    <d v="2026-05-21T00:00:00"/>
    <d v="1899-12-30T16:42:00"/>
    <n v="30"/>
    <x v="0"/>
    <s v="Accepted"/>
    <x v="0"/>
    <s v="Completed"/>
    <n v="-20"/>
    <x v="1"/>
    <x v="0"/>
    <n v="2"/>
    <s v="Dr Adebayo"/>
    <x v="3"/>
    <s v="Tech B"/>
    <s v="HMO"/>
    <s v=" "/>
  </r>
  <r>
    <s v="S1876"/>
    <s v="P52191"/>
    <s v="Female"/>
    <n v="29"/>
    <x v="5"/>
    <s v="Blood"/>
    <x v="0"/>
    <d v="2026-02-05T00:00:00"/>
    <x v="5"/>
    <d v="1899-12-30T10:42:00"/>
    <n v="4"/>
    <d v="2026-02-05T00:00:00"/>
    <d v="1899-12-30T16:42:00"/>
    <n v="6"/>
    <x v="0"/>
    <s v="Accepted"/>
    <x v="0"/>
    <s v="Completed"/>
    <n v="25"/>
    <x v="1"/>
    <x v="0"/>
    <n v="2"/>
    <s v="Dr Okafor"/>
    <x v="3"/>
    <s v="Tech C"/>
    <s v="HMO"/>
    <s v="Test-department mismatch"/>
  </r>
  <r>
    <s v="S1877"/>
    <s v="P32458"/>
    <s v="Male"/>
    <n v="41"/>
    <x v="3"/>
    <s v="Blood"/>
    <x v="3"/>
    <d v="2026-03-02T00:00:00"/>
    <x v="1"/>
    <d v="1899-12-30T12:18:00"/>
    <n v="24"/>
    <d v="2026-03-03T00:00:00"/>
    <d v="1899-12-30T20:18:00"/>
    <n v="32"/>
    <x v="0"/>
    <s v="Accepted"/>
    <x v="0"/>
    <s v="Pending"/>
    <n v="50"/>
    <x v="1"/>
    <x v="1"/>
    <n v="4"/>
    <s v="Dr Ahmed"/>
    <x v="1"/>
    <s v="Tech B"/>
    <s v="NHIA"/>
    <s v="Test-department mismatch; Pending test with released result"/>
  </r>
  <r>
    <s v="S1878"/>
    <s v="P93199"/>
    <s v="Male"/>
    <n v="77"/>
    <x v="1"/>
    <s v="Blood"/>
    <x v="1"/>
    <d v="2026-01-20T00:00:00"/>
    <x v="3"/>
    <d v="1899-12-30T14:06:00"/>
    <n v="3"/>
    <d v="2026-01-20T00:00:00"/>
    <d v="1899-12-30T23:06:00"/>
    <n v="9"/>
    <x v="0"/>
    <s v="Accepted"/>
    <x v="0"/>
    <s v="Completed"/>
    <n v="15"/>
    <x v="1"/>
    <x v="2"/>
    <n v="5"/>
    <s v="Dr Okafor"/>
    <x v="2"/>
    <s v="Tech A"/>
    <s v="Private"/>
    <s v="Test-department mismatch"/>
  </r>
  <r>
    <s v="S1879"/>
    <s v="P59491"/>
    <s v="Male"/>
    <n v="16"/>
    <x v="5"/>
    <s v="Blood"/>
    <x v="1"/>
    <d v="2026-01-09T00:00:00"/>
    <x v="3"/>
    <d v="1899-12-30T08:00:00"/>
    <n v="4"/>
    <d v="2026-01-09T00:00:00"/>
    <d v="1899-12-30T16:00:00"/>
    <n v="8"/>
    <x v="0"/>
    <s v="Rejected"/>
    <x v="1"/>
    <s v="Completed"/>
    <n v="25"/>
    <x v="1"/>
    <x v="2"/>
    <n v="2"/>
    <s v="Dr James"/>
    <x v="1"/>
    <s v="Tech C"/>
    <s v="NHIA"/>
    <s v="Test-department mismatch; Sample-test status mismatch; Rejected sample with released result"/>
  </r>
  <r>
    <s v="S1880"/>
    <s v="P99090"/>
    <s v="Male"/>
    <n v="32"/>
    <x v="3"/>
    <s v="Blood"/>
    <x v="4"/>
    <d v="2026-03-26T00:00:00"/>
    <x v="1"/>
    <d v="1899-12-30T15:22:00"/>
    <n v="24"/>
    <d v="2026-03-27T00:00:00"/>
    <d v="1899-12-30T23:22:00"/>
    <n v="32"/>
    <x v="0"/>
    <s v="Rejected"/>
    <x v="1"/>
    <s v="Completed"/>
    <n v="50"/>
    <x v="0"/>
    <x v="0"/>
    <n v="2"/>
    <s v="Dr James"/>
    <x v="0"/>
    <s v="Tech C"/>
    <s v="HMO"/>
    <s v="Sample-test status mismatch; Rejected sample with released result"/>
  </r>
  <r>
    <s v="S1881"/>
    <s v="P64383"/>
    <s v="Male"/>
    <n v="73"/>
    <x v="5"/>
    <s v="Blood"/>
    <x v="1"/>
    <d v="2026-03-14T00:00:00"/>
    <x v="1"/>
    <d v="1899-12-30T08:54:00"/>
    <n v="4"/>
    <d v="2026-03-14T00:00:00"/>
    <d v="1899-12-30T14:54:00"/>
    <n v="6"/>
    <x v="0"/>
    <s v="Rejected"/>
    <x v="2"/>
    <s v="Completed"/>
    <n v="25"/>
    <x v="1"/>
    <x v="1"/>
    <n v="4"/>
    <s v="Dr Okafor"/>
    <x v="3"/>
    <s v="Tech C"/>
    <s v="Private"/>
    <s v="Test-department mismatch; Sample-test status mismatch; Rejected sample with released result"/>
  </r>
  <r>
    <s v="S1882"/>
    <s v="P77880"/>
    <s v="Female"/>
    <n v="27"/>
    <x v="0"/>
    <s v="Blood"/>
    <x v="0"/>
    <d v="2026-01-07T00:00:00"/>
    <x v="3"/>
    <d v="1899-12-30T13:49:00"/>
    <n v="5"/>
    <d v="2026-01-07T00:00:00"/>
    <d v="1899-12-30T23:49:00"/>
    <n v="10"/>
    <x v="0"/>
    <s v="Rejected"/>
    <x v="3"/>
    <s v="Completed"/>
    <n v="35"/>
    <x v="0"/>
    <x v="1"/>
    <n v="5"/>
    <s v="Dr Okafor"/>
    <x v="3"/>
    <s v="Tech B"/>
    <s v="NHIA"/>
    <s v="Sample-test status mismatch; Rejected sample with released result"/>
  </r>
  <r>
    <s v="S1883"/>
    <s v="P64331"/>
    <s v="Female"/>
    <n v="30"/>
    <x v="4"/>
    <s v="Blood"/>
    <x v="0"/>
    <d v="2026-06-16T00:00:00"/>
    <x v="2"/>
    <d v="1899-12-30T15:09:00"/>
    <n v="6"/>
    <d v="2026-06-17T00:00:00"/>
    <d v="1899-12-30T00:09:00"/>
    <n v="9"/>
    <x v="0"/>
    <s v="Accepted"/>
    <x v="0"/>
    <s v="Completed"/>
    <n v="40"/>
    <x v="1"/>
    <x v="0"/>
    <n v="4"/>
    <s v="Dr Okafor"/>
    <x v="1"/>
    <s v="Tech B"/>
    <s v="NHIA"/>
    <s v=" "/>
  </r>
  <r>
    <s v="S1884"/>
    <s v="P31900"/>
    <s v="Female"/>
    <n v="67"/>
    <x v="1"/>
    <s v="Blood"/>
    <x v="2"/>
    <d v="2026-02-09T00:00:00"/>
    <x v="5"/>
    <d v="1899-12-30T07:54:00"/>
    <n v="3"/>
    <d v="2026-02-09T00:00:00"/>
    <d v="1899-12-30T18:54:00"/>
    <n v="11"/>
    <x v="0"/>
    <s v="Accepted"/>
    <x v="0"/>
    <s v="Completed"/>
    <n v="15"/>
    <x v="0"/>
    <x v="0"/>
    <n v="5"/>
    <s v="Dr Adebayo"/>
    <x v="0"/>
    <s v="Tech A"/>
    <s v="Private"/>
    <m/>
  </r>
  <r>
    <s v="S1885"/>
    <s v="P82768"/>
    <s v="Female"/>
    <n v="21"/>
    <x v="0"/>
    <s v="Blood"/>
    <x v="0"/>
    <d v="2026-06-10T00:00:00"/>
    <x v="2"/>
    <d v="1899-12-30T13:23:00"/>
    <n v="5"/>
    <d v="2026-06-11T00:00:00"/>
    <d v="1899-12-30T02:23:00"/>
    <n v="13"/>
    <x v="0"/>
    <s v="Accepted"/>
    <x v="0"/>
    <s v="Completed"/>
    <n v="35"/>
    <x v="1"/>
    <x v="2"/>
    <n v="4"/>
    <s v="Dr James"/>
    <x v="1"/>
    <s v="Tech A"/>
    <s v="Private"/>
    <s v=" "/>
  </r>
  <r>
    <s v="S1886"/>
    <s v="P54985"/>
    <s v="Female"/>
    <n v="17"/>
    <x v="5"/>
    <s v="Blood"/>
    <x v="1"/>
    <d v="2026-06-27T00:00:00"/>
    <x v="2"/>
    <d v="1899-12-30T14:02:00"/>
    <n v="4"/>
    <d v="2026-06-28T00:00:00"/>
    <d v="1899-12-30T00:02:00"/>
    <n v="10"/>
    <x v="0"/>
    <s v="Accepted"/>
    <x v="0"/>
    <s v="Completed"/>
    <n v="25"/>
    <x v="1"/>
    <x v="1"/>
    <n v="5"/>
    <s v="Dr Ahmed"/>
    <x v="0"/>
    <s v="Tech C"/>
    <s v="Private"/>
    <s v="Test-department mismatch"/>
  </r>
  <r>
    <s v="S1887"/>
    <s v="P25252"/>
    <s v="Female"/>
    <n v="79"/>
    <x v="2"/>
    <s v="Urine"/>
    <x v="3"/>
    <d v="2026-03-28T00:00:00"/>
    <x v="1"/>
    <d v="1899-12-30T10:00:00"/>
    <n v="8"/>
    <d v="2026-03-28T00:00:00"/>
    <d v="1899-12-30T20:00:00"/>
    <n v="10"/>
    <x v="0"/>
    <s v="Accepted"/>
    <x v="0"/>
    <s v="Completed"/>
    <n v="20"/>
    <x v="0"/>
    <x v="2"/>
    <n v="1"/>
    <s v="Dr Adebayo"/>
    <x v="0"/>
    <s v="Tech A"/>
    <s v="NHIA"/>
    <s v=" "/>
  </r>
  <r>
    <s v="S1888"/>
    <s v="P39566"/>
    <s v="Female"/>
    <n v="10"/>
    <x v="2"/>
    <s v="Urine"/>
    <x v="3"/>
    <d v="2026-05-10T00:00:00"/>
    <x v="4"/>
    <d v="1899-12-30T08:50:00"/>
    <n v="8"/>
    <d v="2026-05-11T00:00:00"/>
    <d v="1899-12-30T00:50:00"/>
    <n v="16"/>
    <x v="0"/>
    <s v="Accepted"/>
    <x v="0"/>
    <s v="Completed"/>
    <n v="20"/>
    <x v="1"/>
    <x v="0"/>
    <n v="1"/>
    <s v="Dr Ahmed"/>
    <x v="2"/>
    <s v="Tech B"/>
    <s v="NHIA"/>
    <s v=" "/>
  </r>
  <r>
    <s v="S1889"/>
    <s v="P86628"/>
    <s v="Female"/>
    <n v="10"/>
    <x v="5"/>
    <s v="Blood"/>
    <x v="1"/>
    <d v="2026-03-14T00:00:00"/>
    <x v="1"/>
    <d v="1899-12-30T07:23:00"/>
    <n v="4"/>
    <d v="2026-03-14T00:00:00"/>
    <d v="1899-12-30T14:23:00"/>
    <n v="7"/>
    <x v="0"/>
    <s v="Accepted"/>
    <x v="0"/>
    <s v="Completed"/>
    <n v="25"/>
    <x v="1"/>
    <x v="1"/>
    <n v="5"/>
    <s v="Dr Ahmed"/>
    <x v="1"/>
    <s v="Tech B"/>
    <s v="HMO"/>
    <s v="Test-department mismatch"/>
  </r>
  <r>
    <s v="S1890"/>
    <s v="P91984"/>
    <s v="Male"/>
    <n v="9"/>
    <x v="4"/>
    <s v="Blood"/>
    <x v="4"/>
    <d v="2026-03-20T00:00:00"/>
    <x v="1"/>
    <d v="1899-12-30T13:47:00"/>
    <n v="6"/>
    <d v="2026-03-20T00:00:00"/>
    <d v="1899-12-30T21:47:00"/>
    <n v="8"/>
    <x v="0"/>
    <s v="Accepted"/>
    <x v="0"/>
    <s v="Completed"/>
    <n v="40"/>
    <x v="1"/>
    <x v="2"/>
    <n v="1"/>
    <s v="Dr James"/>
    <x v="1"/>
    <s v="Tech A"/>
    <s v="Private"/>
    <s v="Patient ID with Conflicting Age &amp; Gender; Test-department mismatch"/>
  </r>
  <r>
    <s v="S1891"/>
    <s v="P98085"/>
    <s v="Female"/>
    <n v="74"/>
    <x v="4"/>
    <s v="Blood"/>
    <x v="3"/>
    <d v="2026-02-06T00:00:00"/>
    <x v="5"/>
    <d v="1899-12-30T12:32:00"/>
    <n v="6"/>
    <d v="2026-02-06T00:00:00"/>
    <d v="1899-12-30T20:32:00"/>
    <n v="8"/>
    <x v="0"/>
    <s v="Accepted"/>
    <x v="0"/>
    <s v="Completed"/>
    <n v="40"/>
    <x v="1"/>
    <x v="0"/>
    <n v="3"/>
    <s v="Dr Adebayo"/>
    <x v="3"/>
    <s v="Tech C"/>
    <s v="Private"/>
    <s v="Test-department mismatch"/>
  </r>
  <r>
    <s v="S1892"/>
    <s v="P79374"/>
    <s v="Male"/>
    <n v="70"/>
    <x v="4"/>
    <s v="Blood"/>
    <x v="1"/>
    <d v="2026-04-15T00:00:00"/>
    <x v="0"/>
    <d v="1899-12-30T08:47:00"/>
    <n v="6"/>
    <d v="2026-04-15T00:00:00"/>
    <d v="1899-12-30T18:47:00"/>
    <n v="10"/>
    <x v="0"/>
    <s v="Accepted"/>
    <x v="0"/>
    <s v="Completed"/>
    <n v="40"/>
    <x v="1"/>
    <x v="1"/>
    <n v="5"/>
    <s v="Dr Ahmed"/>
    <x v="3"/>
    <s v="Tech A"/>
    <s v="Private"/>
    <s v="Test-department mismatch"/>
  </r>
  <r>
    <s v="S1893"/>
    <s v="P96896"/>
    <s v="Male"/>
    <n v="70"/>
    <x v="4"/>
    <s v="Blood"/>
    <x v="3"/>
    <d v="2026-04-16T00:00:00"/>
    <x v="0"/>
    <d v="1899-12-30T15:29:00"/>
    <n v="6"/>
    <d v="2026-04-17T00:00:00"/>
    <d v="1899-12-30T01:29:00"/>
    <n v="10"/>
    <x v="0"/>
    <s v="Accepted"/>
    <x v="0"/>
    <s v="Completed"/>
    <n v="40"/>
    <x v="1"/>
    <x v="2"/>
    <n v="1"/>
    <s v="Dr James"/>
    <x v="1"/>
    <s v="Tech B"/>
    <s v="NHIA"/>
    <s v="Test-department mismatch"/>
  </r>
  <r>
    <s v="S1894"/>
    <s v="P48921"/>
    <s v="Male"/>
    <n v="23"/>
    <x v="1"/>
    <s v="Blood"/>
    <x v="0"/>
    <d v="2026-06-26T00:00:00"/>
    <x v="2"/>
    <d v="1899-12-30T10:23:00"/>
    <n v="3"/>
    <d v="2026-06-26T00:00:00"/>
    <d v="1899-12-30T15:23:00"/>
    <n v="5"/>
    <x v="0"/>
    <s v="Accepted"/>
    <x v="0"/>
    <s v="Completed"/>
    <n v="15"/>
    <x v="1"/>
    <x v="2"/>
    <n v="3"/>
    <s v="Dr Ahmed"/>
    <x v="1"/>
    <s v="Tech A"/>
    <s v="Private"/>
    <s v="Test-department mismatch"/>
  </r>
  <r>
    <s v="S1895"/>
    <s v="P34494"/>
    <s v="Female"/>
    <n v="58"/>
    <x v="0"/>
    <s v="Blood"/>
    <x v="0"/>
    <d v="2026-01-30T00:00:00"/>
    <x v="3"/>
    <d v="1899-12-30T14:33:00"/>
    <n v="5"/>
    <d v="2026-01-30T00:00:00"/>
    <d v="1899-12-30T18:33:00"/>
    <n v="4"/>
    <x v="1"/>
    <s v="Accepted"/>
    <x v="0"/>
    <s v="Completed"/>
    <n v="35"/>
    <x v="1"/>
    <x v="1"/>
    <n v="2"/>
    <s v="Dr Okafor"/>
    <x v="3"/>
    <s v="Tech A"/>
    <s v="Private"/>
    <s v=" "/>
  </r>
  <r>
    <s v="S1896"/>
    <s v="P53855"/>
    <s v="Male"/>
    <n v="39"/>
    <x v="5"/>
    <s v="Blood"/>
    <x v="1"/>
    <d v="2026-05-03T00:00:00"/>
    <x v="4"/>
    <d v="1899-12-30T07:21:00"/>
    <n v="4"/>
    <d v="2026-05-03T00:00:00"/>
    <d v="1899-12-30T18:21:00"/>
    <n v="11"/>
    <x v="0"/>
    <s v="Accepted"/>
    <x v="0"/>
    <s v="Completed"/>
    <n v="25"/>
    <x v="1"/>
    <x v="0"/>
    <n v="1"/>
    <s v="Dr Ahmed"/>
    <x v="0"/>
    <s v="Tech B"/>
    <s v="NHIA"/>
    <s v="Test-department mismatch"/>
  </r>
  <r>
    <s v="S1897"/>
    <s v="P27742"/>
    <s v="Male"/>
    <n v="1"/>
    <x v="3"/>
    <s v="Blood"/>
    <x v="4"/>
    <d v="2026-05-05T00:00:00"/>
    <x v="4"/>
    <d v="1899-12-30T12:27:00"/>
    <n v="24"/>
    <d v="2026-05-06T00:00:00"/>
    <d v="1899-12-30T17:27:00"/>
    <n v="29"/>
    <x v="0"/>
    <s v="Rejected"/>
    <x v="1"/>
    <s v="Completed"/>
    <n v="50"/>
    <x v="1"/>
    <x v="0"/>
    <n v="5"/>
    <s v="Dr Adebayo"/>
    <x v="2"/>
    <s v="Tech B"/>
    <s v="HMO"/>
    <s v="Suspicious Test-Age Combination; Sample-test status mismatch; Rejected sample with released result"/>
  </r>
  <r>
    <s v="S1898"/>
    <s v="P11681"/>
    <s v="Male"/>
    <n v="29"/>
    <x v="5"/>
    <s v="Blood"/>
    <x v="1"/>
    <d v="2026-03-10T00:00:00"/>
    <x v="1"/>
    <d v="1899-12-30T11:21:00"/>
    <n v="4"/>
    <d v="2026-03-10T00:00:00"/>
    <d v="1899-12-30T18:21:00"/>
    <n v="7"/>
    <x v="0"/>
    <s v="Rejected"/>
    <x v="2"/>
    <s v="Completed"/>
    <n v="25"/>
    <x v="1"/>
    <x v="2"/>
    <n v="1"/>
    <s v="Dr Ahmed"/>
    <x v="1"/>
    <s v="Tech C"/>
    <s v="Private"/>
    <s v="Test-department mismatch; Sample-test status mismatch; Rejected sample with released result"/>
  </r>
  <r>
    <s v="S1899"/>
    <s v="P14843"/>
    <s v="Female"/>
    <n v="7"/>
    <x v="4"/>
    <s v="Blood"/>
    <x v="3"/>
    <d v="2026-05-18T00:00:00"/>
    <x v="4"/>
    <d v="1899-12-30T09:46:00"/>
    <n v="6"/>
    <d v="2026-05-18T00:00:00"/>
    <d v="1899-12-30T17:46:00"/>
    <n v="8"/>
    <x v="0"/>
    <s v="Accepted"/>
    <x v="0"/>
    <s v="Completed"/>
    <n v="40"/>
    <x v="0"/>
    <x v="1"/>
    <n v="1"/>
    <s v="Dr Ahmed"/>
    <x v="1"/>
    <s v="Tech A"/>
    <s v="HMO"/>
    <s v="Test-department mismatch"/>
  </r>
  <r>
    <s v="S1900"/>
    <s v="P23375"/>
    <s v="Male"/>
    <n v="150"/>
    <x v="5"/>
    <s v="Blood"/>
    <x v="4"/>
    <d v="2026-02-08T00:00:00"/>
    <x v="5"/>
    <d v="1899-12-30T08:25:00"/>
    <n v="4"/>
    <d v="2026-02-08T00:00:00"/>
    <d v="1899-12-30T12:25:00"/>
    <n v="4"/>
    <x v="1"/>
    <s v="Accepted"/>
    <x v="0"/>
    <s v="Completed"/>
    <n v="25"/>
    <x v="1"/>
    <x v="2"/>
    <n v="3"/>
    <s v="Dr Ahmed"/>
    <x v="2"/>
    <s v="Tech A"/>
    <s v="HMO"/>
    <s v="Invalid Age; Test-department mismatch"/>
  </r>
  <r>
    <s v="S1901"/>
    <s v="P65713"/>
    <s v="Male"/>
    <n v="89"/>
    <x v="5"/>
    <s v="Blood"/>
    <x v="1"/>
    <d v="2026-05-10T00:00:00"/>
    <x v="4"/>
    <d v="1899-12-30T07:20:00"/>
    <n v="4"/>
    <d v="2026-05-10T00:00:00"/>
    <d v="1899-12-30T18:20:00"/>
    <n v="11"/>
    <x v="0"/>
    <s v="Accepted"/>
    <x v="0"/>
    <s v="Pending"/>
    <n v="25"/>
    <x v="1"/>
    <x v="1"/>
    <n v="3"/>
    <s v="Dr Ahmed"/>
    <x v="0"/>
    <s v="Tech B"/>
    <s v="NHIA"/>
    <s v="Test-department mismatch; Pending test with released result"/>
  </r>
  <r>
    <s v="S1902"/>
    <s v="P31399"/>
    <s v="Male"/>
    <n v="56"/>
    <x v="2"/>
    <s v="Urine"/>
    <x v="3"/>
    <d v="2026-04-15T00:00:00"/>
    <x v="0"/>
    <d v="1899-12-30T12:26:00"/>
    <n v="8"/>
    <d v="2026-04-16T00:00:00"/>
    <d v="1899-12-30T00:26:00"/>
    <n v="12"/>
    <x v="0"/>
    <s v="Accepted"/>
    <x v="0"/>
    <s v="Completed"/>
    <n v="20"/>
    <x v="1"/>
    <x v="0"/>
    <n v="5"/>
    <s v="Dr James"/>
    <x v="0"/>
    <s v="Tech B"/>
    <s v="HMO"/>
    <s v=" "/>
  </r>
  <r>
    <s v="S1903"/>
    <s v="P30549"/>
    <s v="Male"/>
    <n v="21"/>
    <x v="2"/>
    <s v="Urine"/>
    <x v="3"/>
    <d v="2026-01-18T00:00:00"/>
    <x v="3"/>
    <d v="1899-12-30T15:04:00"/>
    <n v="8"/>
    <d v="2026-01-19T00:00:00"/>
    <d v="1899-12-30T02:04:00"/>
    <n v="11"/>
    <x v="0"/>
    <s v="Accepted"/>
    <x v="0"/>
    <s v="Completed"/>
    <n v="20"/>
    <x v="1"/>
    <x v="0"/>
    <n v="4"/>
    <s v="Dr Okafor"/>
    <x v="0"/>
    <s v="Tech A"/>
    <s v="HMO"/>
    <s v=" "/>
  </r>
  <r>
    <s v="S1904"/>
    <s v="P53623"/>
    <s v="Female"/>
    <n v="31"/>
    <x v="3"/>
    <s v="Blood"/>
    <x v="4"/>
    <d v="2026-02-04T00:00:00"/>
    <x v="5"/>
    <d v="1899-12-30T13:00:00"/>
    <n v="24"/>
    <d v="2026-02-05T00:00:00"/>
    <d v="1899-12-30T14:00:00"/>
    <n v="25"/>
    <x v="0"/>
    <s v="Accepted"/>
    <x v="0"/>
    <s v="Completed"/>
    <n v="50"/>
    <x v="0"/>
    <x v="2"/>
    <n v="4"/>
    <s v="Dr Ahmed"/>
    <x v="3"/>
    <s v="Tech C"/>
    <s v="HMO"/>
    <s v="Female patient with PSA test"/>
  </r>
  <r>
    <s v="S1905"/>
    <s v="P87469"/>
    <s v="Female"/>
    <n v="11"/>
    <x v="3"/>
    <s v="Blood"/>
    <x v="4"/>
    <d v="2026-01-13T00:00:00"/>
    <x v="3"/>
    <d v="1899-12-30T07:35:00"/>
    <n v="24"/>
    <d v="2026-01-14T00:00:00"/>
    <d v="1899-12-30T06:35:00"/>
    <n v="23"/>
    <x v="1"/>
    <s v="Accepted"/>
    <x v="0"/>
    <s v="Completed"/>
    <n v="50"/>
    <x v="1"/>
    <x v="1"/>
    <n v="3"/>
    <s v="Dr Ahmed"/>
    <x v="1"/>
    <s v="Tech C"/>
    <s v="NHIA"/>
    <s v="Female patient with PSA test; Suspicious Test-Age Combination"/>
  </r>
  <r>
    <s v="S1906"/>
    <s v="P59107"/>
    <s v="Male"/>
    <n v="90"/>
    <x v="5"/>
    <s v="Blood"/>
    <x v="1"/>
    <d v="2026-06-23T00:00:00"/>
    <x v="2"/>
    <d v="1899-12-30T13:00:00"/>
    <n v="4"/>
    <d v="2026-06-23T00:00:00"/>
    <d v="1899-12-30T19:00:00"/>
    <n v="6"/>
    <x v="0"/>
    <s v="Accepted"/>
    <x v="0"/>
    <s v="Completed"/>
    <n v="25"/>
    <x v="0"/>
    <x v="0"/>
    <n v="4"/>
    <s v="Dr Okafor"/>
    <x v="2"/>
    <s v="Tech A"/>
    <s v="Private"/>
    <s v="Patient ID with Conflicting Age; Test-department mismatch"/>
  </r>
  <r>
    <s v="S1907"/>
    <s v="P64835"/>
    <s v="Female"/>
    <n v="56"/>
    <x v="0"/>
    <s v="Blood"/>
    <x v="3"/>
    <d v="2026-02-12T00:00:00"/>
    <x v="5"/>
    <d v="1899-12-30T09:14:00"/>
    <n v="5"/>
    <d v="2026-02-12T00:00:00"/>
    <d v="1899-12-30T20:14:00"/>
    <n v="11"/>
    <x v="0"/>
    <s v="Accepted"/>
    <x v="0"/>
    <s v="Completed"/>
    <n v="35"/>
    <x v="0"/>
    <x v="0"/>
    <n v="4"/>
    <s v="Dr James"/>
    <x v="1"/>
    <s v="Tech C"/>
    <s v="NHIA"/>
    <s v="Test-department mismatch"/>
  </r>
  <r>
    <s v="S1908"/>
    <s v="P11779"/>
    <s v="Female"/>
    <n v="6"/>
    <x v="0"/>
    <s v="Blood"/>
    <x v="0"/>
    <d v="2026-01-23T00:00:00"/>
    <x v="3"/>
    <d v="1899-12-30T07:09:00"/>
    <n v="5"/>
    <d v="2026-01-23T00:00:00"/>
    <d v="1899-12-30T20:09:00"/>
    <n v="13"/>
    <x v="0"/>
    <s v="Rejected"/>
    <x v="1"/>
    <s v="Completed"/>
    <n v="35"/>
    <x v="0"/>
    <x v="0"/>
    <n v="3"/>
    <s v="Dr Ahmed"/>
    <x v="2"/>
    <s v="Tech B"/>
    <s v="NHIA"/>
    <s v="Sample-test status mismatch; Rejected sample with released result"/>
  </r>
  <r>
    <s v="S1909"/>
    <s v="P59038"/>
    <s v="Female"/>
    <n v="79"/>
    <x v="0"/>
    <s v="Blood"/>
    <x v="0"/>
    <d v="2026-01-29T00:00:00"/>
    <x v="3"/>
    <d v="1899-12-30T14:37:00"/>
    <n v="5"/>
    <d v="2026-01-29T00:00:00"/>
    <d v="1899-12-30T23:37:00"/>
    <n v="9"/>
    <x v="0"/>
    <s v="Accepted"/>
    <x v="0"/>
    <s v="Completed"/>
    <n v="35"/>
    <x v="1"/>
    <x v="0"/>
    <n v="1"/>
    <s v="Dr Adebayo"/>
    <x v="3"/>
    <s v="Tech B"/>
    <s v="Private"/>
    <s v=" "/>
  </r>
  <r>
    <s v="S1910"/>
    <s v="P44487"/>
    <s v="Male"/>
    <n v="68"/>
    <x v="4"/>
    <s v="Blood"/>
    <x v="0"/>
    <d v="2026-03-01T00:00:00"/>
    <x v="1"/>
    <d v="1899-12-30T15:21:00"/>
    <n v="6"/>
    <d v="2026-03-01T00:00:00"/>
    <d v="1899-12-30T20:21:00"/>
    <n v="5"/>
    <x v="1"/>
    <s v="Accepted"/>
    <x v="0"/>
    <s v="Completed"/>
    <n v="40"/>
    <x v="1"/>
    <x v="2"/>
    <n v="1"/>
    <s v="Dr Okafor"/>
    <x v="1"/>
    <s v="Tech A"/>
    <s v="NHIA"/>
    <s v=" "/>
  </r>
  <r>
    <s v="S1911"/>
    <s v="P94360"/>
    <s v="Male"/>
    <n v="4"/>
    <x v="2"/>
    <s v="Urine"/>
    <x v="3"/>
    <d v="2026-03-18T00:00:00"/>
    <x v="1"/>
    <d v="1899-12-30T12:04:00"/>
    <n v="8"/>
    <d v="2026-03-18T00:00:00"/>
    <d v="1899-12-30T20:04:00"/>
    <n v="8"/>
    <x v="1"/>
    <s v="Accepted"/>
    <x v="0"/>
    <s v="Completed"/>
    <n v="20"/>
    <x v="1"/>
    <x v="1"/>
    <n v="1"/>
    <s v="Dr Adebayo"/>
    <x v="1"/>
    <s v="Tech A"/>
    <s v="NHIA"/>
    <s v=" "/>
  </r>
  <r>
    <s v="S1912"/>
    <s v="P44140"/>
    <s v="Male"/>
    <n v="69"/>
    <x v="4"/>
    <s v="Blood"/>
    <x v="2"/>
    <d v="2026-05-25T00:00:00"/>
    <x v="4"/>
    <d v="1899-12-30T12:29:00"/>
    <n v="6"/>
    <d v="2026-05-26T00:00:00"/>
    <d v="1899-12-30T02:29:00"/>
    <n v="14"/>
    <x v="0"/>
    <s v="Accepted"/>
    <x v="0"/>
    <s v="Completed"/>
    <n v="40"/>
    <x v="1"/>
    <x v="2"/>
    <n v="2"/>
    <s v="Dr Adebayo"/>
    <x v="1"/>
    <s v="Tech A"/>
    <s v="Private"/>
    <s v="Test-department mismatch"/>
  </r>
  <r>
    <s v="S1913"/>
    <s v="P61722"/>
    <s v="Male"/>
    <n v="64"/>
    <x v="1"/>
    <s v="Blood"/>
    <x v="3"/>
    <d v="2026-02-17T00:00:00"/>
    <x v="5"/>
    <d v="1899-12-30T07:00:00"/>
    <n v="3"/>
    <d v="2026-02-17T00:00:00"/>
    <d v="1899-12-30T18:00:00"/>
    <n v="11"/>
    <x v="0"/>
    <s v="Accepted"/>
    <x v="0"/>
    <s v="Completed"/>
    <n v="15"/>
    <x v="1"/>
    <x v="2"/>
    <n v="2"/>
    <s v="Dr Okafor"/>
    <x v="3"/>
    <s v="Tech A"/>
    <s v="HMO"/>
    <s v="Test-department mismatch"/>
  </r>
  <r>
    <s v="S1914"/>
    <s v="P63602"/>
    <s v="Male"/>
    <n v="77"/>
    <x v="2"/>
    <s v="Urine"/>
    <x v="3"/>
    <d v="2026-05-21T00:00:00"/>
    <x v="4"/>
    <d v="1899-12-30T10:02:00"/>
    <n v="8"/>
    <d v="2026-05-22T00:00:00"/>
    <d v="1899-12-30T02:02:00"/>
    <n v="16"/>
    <x v="0"/>
    <s v="Accepted"/>
    <x v="0"/>
    <s v="Completed"/>
    <n v="20"/>
    <x v="0"/>
    <x v="1"/>
    <n v="1"/>
    <s v="Dr Okafor"/>
    <x v="3"/>
    <s v="Tech C"/>
    <s v="Private"/>
    <s v=" "/>
  </r>
  <r>
    <s v="S1915"/>
    <s v="P73074"/>
    <s v="Female"/>
    <n v="35"/>
    <x v="4"/>
    <s v="Blood"/>
    <x v="2"/>
    <d v="2026-05-21T00:00:00"/>
    <x v="4"/>
    <d v="1899-12-30T16:31:00"/>
    <n v="6"/>
    <d v="2026-05-22T00:00:00"/>
    <d v="1899-12-30T05:31:00"/>
    <n v="13"/>
    <x v="0"/>
    <s v="Accepted"/>
    <x v="0"/>
    <s v="Completed"/>
    <n v="40"/>
    <x v="1"/>
    <x v="1"/>
    <n v="5"/>
    <s v="Dr Adebayo"/>
    <x v="1"/>
    <s v="Tech B"/>
    <s v="NHIA"/>
    <s v="Test-department mismatch"/>
  </r>
  <r>
    <s v="S1916"/>
    <s v="P65382"/>
    <s v="Male"/>
    <n v="4"/>
    <x v="3"/>
    <s v="Blood"/>
    <x v="3"/>
    <d v="2026-06-05T00:00:00"/>
    <x v="2"/>
    <d v="1899-12-30T12:22:00"/>
    <n v="24"/>
    <d v="2026-06-06T00:00:00"/>
    <d v="1899-12-30T11:22:00"/>
    <n v="23"/>
    <x v="1"/>
    <s v="Accepted"/>
    <x v="0"/>
    <s v="Pending"/>
    <n v="50"/>
    <x v="1"/>
    <x v="1"/>
    <n v="1"/>
    <s v="Dr Ahmed"/>
    <x v="2"/>
    <s v="Tech C"/>
    <s v="HMO"/>
    <s v="Suspicious Test-Age Combination; Pending test with released resultTest-department mismatch"/>
  </r>
  <r>
    <s v="S1917"/>
    <s v="P44821"/>
    <s v="Female"/>
    <n v="70"/>
    <x v="0"/>
    <s v="Blood"/>
    <x v="3"/>
    <d v="2026-03-23T00:00:00"/>
    <x v="1"/>
    <d v="1899-12-30T10:09:00"/>
    <n v="5"/>
    <d v="2026-03-23T00:00:00"/>
    <d v="1899-12-30T23:09:00"/>
    <n v="13"/>
    <x v="0"/>
    <s v="Accepted"/>
    <x v="0"/>
    <s v="Completed"/>
    <n v="35"/>
    <x v="1"/>
    <x v="0"/>
    <n v="2"/>
    <s v="Dr Ahmed"/>
    <x v="2"/>
    <s v="Tech C"/>
    <s v="NHIA"/>
    <s v="Test-department mismatch"/>
  </r>
  <r>
    <s v="S1918"/>
    <s v="P18582"/>
    <s v="Female"/>
    <n v="56"/>
    <x v="1"/>
    <s v="Blood"/>
    <x v="2"/>
    <d v="2026-01-20T00:00:00"/>
    <x v="3"/>
    <d v="1899-12-30T14:25:00"/>
    <n v="3"/>
    <d v="2026-01-21T00:00:00"/>
    <d v="1899-12-30T00:25:00"/>
    <n v="10"/>
    <x v="0"/>
    <s v="Rejected"/>
    <x v="2"/>
    <s v="Completed"/>
    <n v="15"/>
    <x v="1"/>
    <x v="2"/>
    <n v="2"/>
    <s v="Dr James"/>
    <x v="2"/>
    <s v="Tech C"/>
    <s v="HMO"/>
    <s v=" Sample-test status mismatch; Rejected sample with released result"/>
  </r>
  <r>
    <s v="S1919"/>
    <s v="P96755"/>
    <s v="Female"/>
    <n v="74"/>
    <x v="0"/>
    <s v="Blood"/>
    <x v="0"/>
    <d v="2026-06-03T00:00:00"/>
    <x v="2"/>
    <d v="1899-12-30T09:59:00"/>
    <n v="5"/>
    <d v="2026-06-03T00:00:00"/>
    <d v="1899-12-30T13:59:00"/>
    <n v="4"/>
    <x v="1"/>
    <s v="Accepted"/>
    <x v="0"/>
    <s v="Completed"/>
    <n v="35"/>
    <x v="1"/>
    <x v="0"/>
    <n v="3"/>
    <s v="Dr Okafor"/>
    <x v="1"/>
    <s v="Tech B"/>
    <s v="HMO"/>
    <s v=" "/>
  </r>
  <r>
    <s v="S1920"/>
    <s v="P23791"/>
    <s v="Female"/>
    <n v="1"/>
    <x v="1"/>
    <s v="Blood"/>
    <x v="1"/>
    <d v="2026-05-16T00:00:00"/>
    <x v="4"/>
    <d v="1899-12-30T10:31:00"/>
    <n v="3"/>
    <d v="2026-05-16T00:00:00"/>
    <d v="1899-12-30T12:31:00"/>
    <n v="2"/>
    <x v="1"/>
    <s v="Accepted"/>
    <x v="0"/>
    <s v="Completed"/>
    <n v="15"/>
    <x v="0"/>
    <x v="2"/>
    <n v="3"/>
    <s v="Dr Adebayo"/>
    <x v="2"/>
    <s v="Tech B"/>
    <s v="Private"/>
    <s v="Test-department mismatch"/>
  </r>
  <r>
    <s v="S1921"/>
    <s v="P90975"/>
    <s v="Male"/>
    <n v="16"/>
    <x v="0"/>
    <s v="Blood"/>
    <x v="2"/>
    <d v="2026-03-09T00:00:00"/>
    <x v="1"/>
    <d v="1899-12-30T11:17:00"/>
    <n v="5"/>
    <d v="2026-03-09T00:00:00"/>
    <d v="1899-12-30T15:17:00"/>
    <n v="4"/>
    <x v="1"/>
    <s v="Accepted"/>
    <x v="0"/>
    <s v="Completed"/>
    <n v="35"/>
    <x v="1"/>
    <x v="2"/>
    <n v="3"/>
    <s v="Dr Adebayo"/>
    <x v="1"/>
    <s v="Tech C"/>
    <s v="Private"/>
    <s v="Test-department mismatch"/>
  </r>
  <r>
    <s v="S1922"/>
    <s v="P72553"/>
    <s v="Female"/>
    <n v="68"/>
    <x v="3"/>
    <s v="Blood"/>
    <x v="4"/>
    <d v="2026-03-20T00:00:00"/>
    <x v="1"/>
    <d v="1899-12-30T12:00:00"/>
    <n v="24"/>
    <d v="2026-03-21T00:00:00"/>
    <d v="1899-12-30T20:00:00"/>
    <n v="32"/>
    <x v="0"/>
    <s v="Accepted"/>
    <x v="0"/>
    <s v="Completed"/>
    <n v="50"/>
    <x v="1"/>
    <x v="2"/>
    <n v="3"/>
    <s v="Dr Okafor"/>
    <x v="0"/>
    <s v="Tech B"/>
    <s v="Private"/>
    <s v="Female patient with PSA test"/>
  </r>
  <r>
    <s v="S1923"/>
    <s v="P81914"/>
    <s v="Female"/>
    <n v="12"/>
    <x v="1"/>
    <s v="Blood"/>
    <x v="1"/>
    <d v="2026-02-26T00:00:00"/>
    <x v="5"/>
    <d v="1899-12-30T16:27:00"/>
    <n v="3"/>
    <d v="2026-02-27T00:00:00"/>
    <d v="1899-12-30T00:27:00"/>
    <n v="8"/>
    <x v="0"/>
    <s v="Accepted"/>
    <x v="0"/>
    <s v="Completed"/>
    <n v="15"/>
    <x v="0"/>
    <x v="0"/>
    <n v="4"/>
    <s v="Dr Ahmed"/>
    <x v="1"/>
    <s v="Tech A"/>
    <s v="HMO"/>
    <s v="Test-department mismatch"/>
  </r>
  <r>
    <s v="S1924"/>
    <s v="P20117"/>
    <s v="Male"/>
    <n v="82"/>
    <x v="1"/>
    <s v="Blood"/>
    <x v="2"/>
    <d v="2026-06-21T00:00:00"/>
    <x v="2"/>
    <d v="1899-12-30T09:36:00"/>
    <n v="3"/>
    <d v="2026-06-21T00:00:00"/>
    <d v="1899-12-30T14:36:00"/>
    <n v="5"/>
    <x v="0"/>
    <s v="Rejected"/>
    <x v="2"/>
    <s v="Completed"/>
    <n v="15"/>
    <x v="1"/>
    <x v="2"/>
    <n v="2"/>
    <s v="Dr Ahmed"/>
    <x v="2"/>
    <s v="Tech B"/>
    <s v="HMO"/>
    <s v=" Sample-test status mismatch; Rejected sample with released result"/>
  </r>
  <r>
    <s v="S1925"/>
    <s v="P56903"/>
    <s v="Male"/>
    <n v="33"/>
    <x v="5"/>
    <s v="Blood"/>
    <x v="3"/>
    <d v="2026-01-28T00:00:00"/>
    <x v="3"/>
    <d v="1899-12-30T16:54:00"/>
    <n v="4"/>
    <d v="2026-01-29T00:00:00"/>
    <d v="1899-12-30T00:54:00"/>
    <n v="8"/>
    <x v="0"/>
    <s v="Accepted"/>
    <x v="0"/>
    <s v="Completed"/>
    <n v="25"/>
    <x v="0"/>
    <x v="1"/>
    <n v="4"/>
    <s v="Dr James"/>
    <x v="1"/>
    <s v="Tech C"/>
    <s v="Private"/>
    <s v="Test-department mismatch"/>
  </r>
  <r>
    <s v="S1926"/>
    <s v="P35685"/>
    <s v="Female"/>
    <n v="34"/>
    <x v="4"/>
    <s v="Blood"/>
    <x v="0"/>
    <d v="2026-06-10T00:00:00"/>
    <x v="2"/>
    <d v="1899-12-30T11:02:00"/>
    <n v="6"/>
    <d v="2026-06-10T00:00:00"/>
    <d v="1899-12-30T20:02:00"/>
    <n v="9"/>
    <x v="0"/>
    <s v="Accepted"/>
    <x v="0"/>
    <s v="Completed"/>
    <n v="40"/>
    <x v="0"/>
    <x v="1"/>
    <n v="2"/>
    <s v="Dr James"/>
    <x v="1"/>
    <s v="Tech B"/>
    <s v="HMO"/>
    <s v=" "/>
  </r>
  <r>
    <s v="S1927"/>
    <s v="P95212"/>
    <s v="Female"/>
    <n v="3"/>
    <x v="1"/>
    <s v="Blood"/>
    <x v="2"/>
    <d v="2026-04-19T00:00:00"/>
    <x v="0"/>
    <d v="1899-12-30T11:25:00"/>
    <n v="3"/>
    <d v="2026-04-19T00:00:00"/>
    <d v="1899-12-30T14:25:00"/>
    <n v="3"/>
    <x v="1"/>
    <s v="Accepted"/>
    <x v="0"/>
    <s v="Completed"/>
    <n v="15"/>
    <x v="0"/>
    <x v="1"/>
    <n v="5"/>
    <s v="Dr Ahmed"/>
    <x v="3"/>
    <s v="Tech C"/>
    <s v="NHIA"/>
    <m/>
  </r>
  <r>
    <s v="S1928"/>
    <s v="P24039"/>
    <s v="Female"/>
    <n v="6"/>
    <x v="5"/>
    <s v="Blood"/>
    <x v="1"/>
    <d v="2026-02-12T00:00:00"/>
    <x v="5"/>
    <d v="1899-12-30T15:00:00"/>
    <n v="4"/>
    <d v="2026-02-12T00:00:00"/>
    <d v="1899-12-30T20:00:00"/>
    <n v="5"/>
    <x v="0"/>
    <s v="Accepted"/>
    <x v="0"/>
    <s v="Completed"/>
    <n v="25"/>
    <x v="1"/>
    <x v="2"/>
    <n v="1"/>
    <s v="Dr Adebayo"/>
    <x v="1"/>
    <s v="Tech C"/>
    <s v="HMO"/>
    <s v="Test-department mismatch"/>
  </r>
  <r>
    <s v="S1929"/>
    <s v="P30781"/>
    <s v="Male"/>
    <n v="15"/>
    <x v="2"/>
    <s v="Urine"/>
    <x v="3"/>
    <d v="2026-06-07T00:00:00"/>
    <x v="2"/>
    <d v="1899-12-30T10:19:00"/>
    <n v="8"/>
    <d v="2026-06-07T00:00:00"/>
    <d v="1899-12-30T19:19:00"/>
    <n v="9"/>
    <x v="0"/>
    <s v="Accepted"/>
    <x v="0"/>
    <s v="Completed"/>
    <n v="20"/>
    <x v="1"/>
    <x v="1"/>
    <n v="5"/>
    <s v="Dr Okafor"/>
    <x v="3"/>
    <s v="Tech A"/>
    <s v="NHIA"/>
    <s v=" "/>
  </r>
  <r>
    <s v="S1930"/>
    <s v="P17966"/>
    <s v="Female"/>
    <n v="32"/>
    <x v="3"/>
    <s v="Blood"/>
    <x v="1"/>
    <d v="2026-06-20T00:00:00"/>
    <x v="2"/>
    <d v="1899-12-30T16:14:00"/>
    <n v="24"/>
    <d v="2026-06-21T00:00:00"/>
    <d v="1899-12-30T23:14:00"/>
    <n v="31"/>
    <x v="0"/>
    <s v="Accepted"/>
    <x v="0"/>
    <s v="Pending"/>
    <n v="50"/>
    <x v="1"/>
    <x v="0"/>
    <n v="2"/>
    <s v="Dr Okafor"/>
    <x v="2"/>
    <s v="Tech C"/>
    <s v="HMO"/>
    <s v="Female patient with PSA test; Pending test with released resultTest-department mismatch"/>
  </r>
  <r>
    <s v="S1931"/>
    <s v="P86319"/>
    <s v="Male"/>
    <n v="52"/>
    <x v="5"/>
    <s v="Blood"/>
    <x v="1"/>
    <d v="2026-03-17T00:00:00"/>
    <x v="1"/>
    <d v="1899-12-30T09:31:00"/>
    <n v="4"/>
    <d v="2026-03-17T00:00:00"/>
    <d v="1899-12-30T16:31:00"/>
    <n v="7"/>
    <x v="0"/>
    <s v="Accepted"/>
    <x v="0"/>
    <s v="Completed"/>
    <m/>
    <x v="1"/>
    <x v="2"/>
    <n v="5"/>
    <s v="Dr James"/>
    <x v="1"/>
    <s v="Tech A"/>
    <s v="Private"/>
    <s v="Test-department mismatch"/>
  </r>
  <r>
    <s v="S1932"/>
    <s v="P30331"/>
    <s v="Female"/>
    <n v="78"/>
    <x v="4"/>
    <s v="Blood"/>
    <x v="0"/>
    <d v="2026-05-20T00:00:00"/>
    <x v="4"/>
    <d v="1899-12-30T10:36:00"/>
    <n v="6"/>
    <d v="2026-05-21T00:00:00"/>
    <d v="1899-12-30T00:36:00"/>
    <n v="14"/>
    <x v="0"/>
    <s v="Accepted"/>
    <x v="0"/>
    <s v="Completed"/>
    <n v="40"/>
    <x v="0"/>
    <x v="2"/>
    <n v="1"/>
    <s v="Dr James"/>
    <x v="1"/>
    <s v="Tech B"/>
    <s v="NHIA"/>
    <s v=" "/>
  </r>
  <r>
    <s v="S1933"/>
    <s v="P91831"/>
    <s v="Female"/>
    <n v="49"/>
    <x v="3"/>
    <s v="Blood"/>
    <x v="4"/>
    <d v="2026-04-23T00:00:00"/>
    <x v="0"/>
    <d v="1899-12-30T07:14:00"/>
    <n v="24"/>
    <d v="2026-04-24T00:00:00"/>
    <d v="1899-12-30T07:14:00"/>
    <n v="24"/>
    <x v="1"/>
    <s v="Accepted"/>
    <x v="0"/>
    <s v="Completed"/>
    <n v="50"/>
    <x v="0"/>
    <x v="2"/>
    <n v="1"/>
    <s v="Dr James"/>
    <x v="1"/>
    <s v="Tech B"/>
    <s v="Private"/>
    <s v="Female patient with PSA test"/>
  </r>
  <r>
    <s v="S1934"/>
    <s v="P55072"/>
    <s v="Female"/>
    <n v="38"/>
    <x v="0"/>
    <s v="Blood"/>
    <x v="0"/>
    <d v="2026-05-06T00:00:00"/>
    <x v="4"/>
    <d v="1899-12-30T10:17:00"/>
    <n v="5"/>
    <d v="2026-05-06T00:00:00"/>
    <d v="1899-12-30T14:17:00"/>
    <n v="4"/>
    <x v="1"/>
    <s v="Accepted"/>
    <x v="0"/>
    <s v="Completed"/>
    <n v="35"/>
    <x v="0"/>
    <x v="0"/>
    <n v="1"/>
    <s v="Dr Okafor"/>
    <x v="3"/>
    <s v="Tech A"/>
    <s v="HMO"/>
    <s v=" "/>
  </r>
  <r>
    <s v="S1935"/>
    <s v="P30895"/>
    <s v="Female"/>
    <n v="8"/>
    <x v="5"/>
    <s v="Blood"/>
    <x v="2"/>
    <d v="2026-03-19T00:00:00"/>
    <x v="1"/>
    <d v="1899-12-30T09:48:00"/>
    <n v="4"/>
    <d v="2026-03-19T00:00:00"/>
    <d v="1899-12-30T13:48:00"/>
    <n v="4"/>
    <x v="1"/>
    <s v="Accepted"/>
    <x v="0"/>
    <s v="Pending"/>
    <n v="25"/>
    <x v="1"/>
    <x v="0"/>
    <n v="1"/>
    <s v="Dr Ahmed"/>
    <x v="3"/>
    <s v="Tech B"/>
    <s v="HMO"/>
    <s v="Test-department mismatch; Pending test with released result"/>
  </r>
  <r>
    <s v="S1936"/>
    <s v="P16647"/>
    <s v="Female"/>
    <n v="62"/>
    <x v="3"/>
    <s v="Blood"/>
    <x v="1"/>
    <d v="2026-02-01T00:00:00"/>
    <x v="5"/>
    <d v="1899-12-30T13:20:00"/>
    <n v="24"/>
    <d v="2026-02-02T00:00:00"/>
    <d v="1899-12-30T13:20:00"/>
    <n v="24"/>
    <x v="1"/>
    <s v="Accepted"/>
    <x v="0"/>
    <s v="Completed"/>
    <n v="50"/>
    <x v="1"/>
    <x v="1"/>
    <n v="2"/>
    <s v="Dr James"/>
    <x v="0"/>
    <s v="Tech B"/>
    <s v="Private"/>
    <s v="Female patient with PSA test; Test-department mismatch"/>
  </r>
  <r>
    <s v="S1937"/>
    <s v="P78983"/>
    <s v="Female"/>
    <n v="48"/>
    <x v="1"/>
    <s v="Blood"/>
    <x v="0"/>
    <d v="2026-04-29T00:00:00"/>
    <x v="0"/>
    <d v="1899-12-30T10:57:00"/>
    <n v="3"/>
    <d v="2026-04-29T00:00:00"/>
    <d v="1899-12-30T15:57:00"/>
    <n v="5"/>
    <x v="0"/>
    <s v="Accepted"/>
    <x v="0"/>
    <s v="Completed"/>
    <n v="15"/>
    <x v="1"/>
    <x v="2"/>
    <n v="4"/>
    <s v="Dr Adebayo"/>
    <x v="1"/>
    <s v="Tech C"/>
    <s v="Private"/>
    <s v="Test-department mismatch"/>
  </r>
  <r>
    <s v="S1938"/>
    <s v="P20468"/>
    <s v="Male"/>
    <n v="80"/>
    <x v="3"/>
    <s v="Blood"/>
    <x v="4"/>
    <d v="2026-05-20T00:00:00"/>
    <x v="4"/>
    <d v="1899-12-30T08:40:00"/>
    <n v="24"/>
    <d v="2026-05-21T00:00:00"/>
    <d v="1899-12-30T09:40:00"/>
    <n v="25"/>
    <x v="0"/>
    <s v="Accepted"/>
    <x v="0"/>
    <s v="Completed"/>
    <n v="50"/>
    <x v="0"/>
    <x v="0"/>
    <n v="4"/>
    <s v="Dr Okafor"/>
    <x v="3"/>
    <s v="Tech B"/>
    <s v="NHIA"/>
    <s v=" "/>
  </r>
  <r>
    <s v="S1939"/>
    <s v="P84299"/>
    <s v="Male"/>
    <n v="37"/>
    <x v="4"/>
    <s v="Blood"/>
    <x v="3"/>
    <d v="2026-06-25T00:00:00"/>
    <x v="2"/>
    <d v="1899-12-30T13:18:00"/>
    <n v="6"/>
    <d v="2026-06-25T00:00:00"/>
    <d v="1899-12-30T18:18:00"/>
    <n v="5"/>
    <x v="1"/>
    <s v="Accepted"/>
    <x v="0"/>
    <s v="Completed"/>
    <n v="40"/>
    <x v="0"/>
    <x v="0"/>
    <n v="4"/>
    <s v="Dr Ahmed"/>
    <x v="3"/>
    <s v="Tech B"/>
    <s v="Private"/>
    <s v="Test-department mismatch"/>
  </r>
  <r>
    <s v="S1940"/>
    <s v="P12579"/>
    <s v="Female"/>
    <n v="13"/>
    <x v="0"/>
    <s v="Blood"/>
    <x v="0"/>
    <d v="2026-04-05T00:00:00"/>
    <x v="0"/>
    <d v="1899-12-30T13:51:00"/>
    <n v="5"/>
    <d v="2026-04-05T00:00:00"/>
    <d v="1899-12-30T20:51:00"/>
    <n v="7"/>
    <x v="0"/>
    <s v="Accepted"/>
    <x v="0"/>
    <s v="Completed"/>
    <n v="35"/>
    <x v="1"/>
    <x v="1"/>
    <n v="1"/>
    <s v="Dr Adebayo"/>
    <x v="1"/>
    <s v="Tech C"/>
    <s v="Private"/>
    <s v=" "/>
  </r>
  <r>
    <s v="S1941"/>
    <s v="P45696"/>
    <s v="Female"/>
    <n v="12"/>
    <x v="5"/>
    <s v="Blood"/>
    <x v="1"/>
    <d v="2026-04-30T00:00:00"/>
    <x v="0"/>
    <d v="1899-12-30T07:43:00"/>
    <n v="4"/>
    <d v="2026-04-30T00:00:00"/>
    <d v="1899-12-30T10:43:00"/>
    <n v="3"/>
    <x v="1"/>
    <s v="Accepted"/>
    <x v="0"/>
    <s v="Completed"/>
    <n v="25"/>
    <x v="0"/>
    <x v="2"/>
    <n v="2"/>
    <s v="Dr Ahmed"/>
    <x v="0"/>
    <s v="Tech B"/>
    <s v="Private"/>
    <s v="Test-department mismatch"/>
  </r>
  <r>
    <s v="S1942"/>
    <s v="P16173"/>
    <s v="Male"/>
    <n v="9"/>
    <x v="2"/>
    <s v="Urine"/>
    <x v="3"/>
    <d v="2026-05-26T00:00:00"/>
    <x v="4"/>
    <d v="1899-12-30T16:04:00"/>
    <n v="8"/>
    <d v="2026-05-27T00:00:00"/>
    <d v="1899-12-30T01:04:00"/>
    <n v="9"/>
    <x v="0"/>
    <s v="Rejected"/>
    <x v="3"/>
    <s v="Completed"/>
    <n v="20"/>
    <x v="1"/>
    <x v="1"/>
    <n v="4"/>
    <s v="Dr James"/>
    <x v="0"/>
    <s v="Tech A"/>
    <s v="HMO"/>
    <s v="Sample-test status mismatch; Rejected sample with released result"/>
  </r>
  <r>
    <s v="S1943"/>
    <s v="P91984"/>
    <s v="Female"/>
    <n v="13"/>
    <x v="0"/>
    <s v="Blood"/>
    <x v="2"/>
    <d v="2026-05-02T00:00:00"/>
    <x v="4"/>
    <d v="1899-12-30T08:37:00"/>
    <n v="5"/>
    <d v="2026-05-02T00:00:00"/>
    <d v="1899-12-30T16:37:00"/>
    <n v="8"/>
    <x v="0"/>
    <s v="Accepted"/>
    <x v="0"/>
    <s v="Completed"/>
    <n v="35"/>
    <x v="1"/>
    <x v="2"/>
    <n v="4"/>
    <s v="Dr Adebayo"/>
    <x v="1"/>
    <s v="Tech C"/>
    <s v="Private"/>
    <s v="Patient ID with Conflicting Age &amp; Gender; Test-department mismatch"/>
  </r>
  <r>
    <s v="S1944"/>
    <s v="P14863"/>
    <s v="Male"/>
    <n v="9"/>
    <x v="2"/>
    <s v="Urine"/>
    <x v="3"/>
    <d v="2026-02-03T00:00:00"/>
    <x v="5"/>
    <d v="1899-12-30T10:15:00"/>
    <n v="8"/>
    <d v="2026-02-04T00:00:00"/>
    <d v="1899-12-30T00:15:00"/>
    <n v="14"/>
    <x v="0"/>
    <s v="Accepted"/>
    <x v="0"/>
    <s v="Completed"/>
    <n v="20"/>
    <x v="1"/>
    <x v="1"/>
    <n v="3"/>
    <s v="Dr Okafor"/>
    <x v="2"/>
    <s v="Tech C"/>
    <s v="NHIA"/>
    <s v=" "/>
  </r>
  <r>
    <s v="S1945"/>
    <s v="P52421"/>
    <s v="Female"/>
    <n v="40"/>
    <x v="2"/>
    <s v="Urine"/>
    <x v="1"/>
    <d v="2026-01-29T00:00:00"/>
    <x v="3"/>
    <d v="1899-12-30T11:27:00"/>
    <n v="8"/>
    <d v="2026-01-30T00:00:00"/>
    <d v="1899-12-30T00:27:00"/>
    <n v="13"/>
    <x v="0"/>
    <s v="Accepted"/>
    <x v="0"/>
    <s v="Completed"/>
    <n v="20"/>
    <x v="1"/>
    <x v="2"/>
    <n v="1"/>
    <s v="Dr James"/>
    <x v="3"/>
    <s v="Tech C"/>
    <s v="Private"/>
    <s v="Test-department mismatch"/>
  </r>
  <r>
    <s v="S1946"/>
    <s v="P74518"/>
    <s v="Male"/>
    <n v="81"/>
    <x v="1"/>
    <s v="Blood"/>
    <x v="2"/>
    <d v="2026-06-22T00:00:00"/>
    <x v="2"/>
    <d v="1899-12-30T11:22:00"/>
    <n v="3"/>
    <d v="2026-06-22T00:00:00"/>
    <d v="1899-12-30T17:22:00"/>
    <n v="6"/>
    <x v="0"/>
    <s v="Accepted"/>
    <x v="0"/>
    <s v="Completed"/>
    <n v="15"/>
    <x v="0"/>
    <x v="1"/>
    <n v="3"/>
    <s v="Dr Ahmed"/>
    <x v="3"/>
    <s v="Tech B"/>
    <s v="Private"/>
    <m/>
  </r>
  <r>
    <s v="S1947"/>
    <s v="P49131"/>
    <s v="Male"/>
    <n v="59"/>
    <x v="3"/>
    <s v="Blood"/>
    <x v="4"/>
    <d v="2026-02-11T00:00:00"/>
    <x v="5"/>
    <d v="1899-12-30T15:11:00"/>
    <n v="24"/>
    <d v="2026-02-12T00:00:00"/>
    <d v="1899-12-30T22:11:00"/>
    <n v="31"/>
    <x v="0"/>
    <s v="Accepted"/>
    <x v="0"/>
    <s v="Pending"/>
    <n v="50"/>
    <x v="1"/>
    <x v="1"/>
    <n v="1"/>
    <s v="Dr Adebayo"/>
    <x v="1"/>
    <s v="Tech B"/>
    <s v="Private"/>
    <s v="Pending test with released result"/>
  </r>
  <r>
    <s v="S1948"/>
    <s v="P43397"/>
    <s v="Male"/>
    <n v="85"/>
    <x v="3"/>
    <s v="Blood"/>
    <x v="4"/>
    <d v="2026-03-04T00:00:00"/>
    <x v="1"/>
    <d v="1899-12-30T14:40:00"/>
    <n v="24"/>
    <d v="2026-03-05T00:00:00"/>
    <d v="1899-12-30T17:40:00"/>
    <n v="27"/>
    <x v="0"/>
    <s v="Accepted"/>
    <x v="0"/>
    <s v="Completed"/>
    <n v="50"/>
    <x v="1"/>
    <x v="2"/>
    <n v="5"/>
    <s v="Dr Okafor"/>
    <x v="0"/>
    <s v="Tech C"/>
    <s v="HMO"/>
    <s v=" "/>
  </r>
  <r>
    <s v="S1949"/>
    <s v="P33242"/>
    <s v="Male"/>
    <n v="22"/>
    <x v="5"/>
    <s v="Blood"/>
    <x v="1"/>
    <d v="2026-01-27T00:00:00"/>
    <x v="3"/>
    <d v="1899-12-30T16:57:00"/>
    <n v="4"/>
    <d v="2026-01-27T00:00:00"/>
    <d v="1899-12-30T20:57:00"/>
    <n v="4"/>
    <x v="1"/>
    <s v="Accepted"/>
    <x v="0"/>
    <s v="Completed"/>
    <n v="25"/>
    <x v="1"/>
    <x v="1"/>
    <n v="5"/>
    <s v="Dr Okafor"/>
    <x v="2"/>
    <s v="Tech C"/>
    <s v="HMO"/>
    <s v="Test-department mismatch"/>
  </r>
  <r>
    <s v="S1950"/>
    <s v="P75321"/>
    <s v="Male"/>
    <n v="67"/>
    <x v="3"/>
    <s v="Blood"/>
    <x v="0"/>
    <d v="2026-05-11T00:00:00"/>
    <x v="4"/>
    <d v="1899-12-30T10:05:00"/>
    <n v="24"/>
    <d v="2026-05-12T00:00:00"/>
    <d v="1899-12-30T14:05:00"/>
    <n v="28"/>
    <x v="0"/>
    <s v="Accepted"/>
    <x v="0"/>
    <s v="Completed"/>
    <n v="50"/>
    <x v="1"/>
    <x v="2"/>
    <n v="5"/>
    <s v="Dr Ahmed"/>
    <x v="2"/>
    <s v="Tech B"/>
    <s v="NHIA"/>
    <s v="Test-department mismatch"/>
  </r>
  <r>
    <s v="S1951"/>
    <s v="P95004"/>
    <s v="Male"/>
    <n v="29"/>
    <x v="4"/>
    <s v="Blood"/>
    <x v="0"/>
    <d v="2026-01-02T00:00:00"/>
    <x v="3"/>
    <d v="1899-12-30T16:50:00"/>
    <n v="6"/>
    <d v="2026-01-03T00:00:00"/>
    <d v="1899-12-30T05:50:00"/>
    <n v="13"/>
    <x v="0"/>
    <s v="Accepted"/>
    <x v="0"/>
    <s v="Completed"/>
    <n v="40"/>
    <x v="0"/>
    <x v="2"/>
    <n v="3"/>
    <s v="Dr James"/>
    <x v="1"/>
    <s v="Tech C"/>
    <s v="Private"/>
    <s v=" "/>
  </r>
  <r>
    <s v="S1952"/>
    <s v="P40101"/>
    <s v="Female"/>
    <n v="56"/>
    <x v="4"/>
    <s v="Blood"/>
    <x v="3"/>
    <d v="2026-06-17T00:00:00"/>
    <x v="2"/>
    <d v="1899-12-30T14:37:00"/>
    <n v="6"/>
    <d v="2026-06-17T00:00:00"/>
    <d v="1899-12-30T23:37:00"/>
    <n v="9"/>
    <x v="0"/>
    <s v="Accepted"/>
    <x v="0"/>
    <s v="Completed"/>
    <n v="40"/>
    <x v="1"/>
    <x v="1"/>
    <n v="2"/>
    <s v="Dr Adebayo"/>
    <x v="3"/>
    <s v="Tech A"/>
    <s v="HMO"/>
    <s v="Test-department mismatch"/>
  </r>
  <r>
    <s v="S1953"/>
    <s v="P16998"/>
    <s v="Male"/>
    <n v="72"/>
    <x v="2"/>
    <s v="Urine"/>
    <x v="3"/>
    <d v="2026-06-09T00:00:00"/>
    <x v="2"/>
    <d v="1899-12-30T08:18:00"/>
    <n v="8"/>
    <d v="2026-06-09T00:00:00"/>
    <d v="1899-12-30T21:18:00"/>
    <n v="13"/>
    <x v="0"/>
    <s v="Accepted"/>
    <x v="0"/>
    <s v="Completed"/>
    <n v="20"/>
    <x v="1"/>
    <x v="0"/>
    <n v="1"/>
    <s v="Dr Okafor"/>
    <x v="0"/>
    <s v="Tech B"/>
    <s v="Private"/>
    <s v=" "/>
  </r>
  <r>
    <s v="S1954"/>
    <s v="P71339"/>
    <s v="Male"/>
    <n v="68"/>
    <x v="4"/>
    <s v="Blood"/>
    <x v="0"/>
    <d v="2026-06-27T00:00:00"/>
    <x v="2"/>
    <d v="1899-12-30T15:26:00"/>
    <n v="6"/>
    <d v="2026-06-27T00:00:00"/>
    <d v="1899-12-30T23:26:00"/>
    <n v="8"/>
    <x v="0"/>
    <s v="Accepted"/>
    <x v="0"/>
    <s v="Completed"/>
    <n v="40"/>
    <x v="1"/>
    <x v="2"/>
    <n v="4"/>
    <s v="Dr Ahmed"/>
    <x v="2"/>
    <s v="Tech B"/>
    <s v="Private"/>
    <s v=" "/>
  </r>
  <r>
    <s v="S1955"/>
    <s v="P12553"/>
    <s v="Female"/>
    <n v="24"/>
    <x v="1"/>
    <s v="Blood"/>
    <x v="2"/>
    <d v="2026-01-21T00:00:00"/>
    <x v="3"/>
    <d v="1899-12-30T10:08:00"/>
    <n v="3"/>
    <d v="2026-01-21T00:00:00"/>
    <d v="1899-12-30T18:08:00"/>
    <n v="8"/>
    <x v="0"/>
    <s v="Accepted"/>
    <x v="0"/>
    <s v="Completed"/>
    <n v="15"/>
    <x v="0"/>
    <x v="1"/>
    <n v="5"/>
    <s v="Dr James"/>
    <x v="1"/>
    <s v="Tech C"/>
    <s v="Private"/>
    <m/>
  </r>
  <r>
    <s v="S1956"/>
    <s v="P37264"/>
    <s v="Male"/>
    <n v="42"/>
    <x v="5"/>
    <s v="Blood"/>
    <x v="1"/>
    <d v="2026-03-28T00:00:00"/>
    <x v="1"/>
    <d v="1899-12-30T09:07:00"/>
    <n v="4"/>
    <d v="2026-03-28T00:00:00"/>
    <d v="1899-12-30T13:07:00"/>
    <n v="4"/>
    <x v="1"/>
    <s v="Accepted"/>
    <x v="0"/>
    <s v="Completed"/>
    <n v="25"/>
    <x v="1"/>
    <x v="2"/>
    <n v="4"/>
    <s v="Dr James"/>
    <x v="1"/>
    <s v="Tech A"/>
    <s v="Private"/>
    <s v="Test-department mismatch"/>
  </r>
  <r>
    <s v="S1957"/>
    <s v="P67913"/>
    <s v="Female"/>
    <n v="56"/>
    <x v="1"/>
    <s v="Blood"/>
    <x v="2"/>
    <d v="2026-06-30T00:00:00"/>
    <x v="2"/>
    <d v="1899-12-30T07:43:00"/>
    <n v="3"/>
    <d v="2026-06-30T00:00:00"/>
    <d v="1899-12-30T18:43:00"/>
    <n v="11"/>
    <x v="0"/>
    <s v="Accepted"/>
    <x v="0"/>
    <s v="Completed"/>
    <n v="15"/>
    <x v="0"/>
    <x v="1"/>
    <n v="2"/>
    <s v="Dr James"/>
    <x v="2"/>
    <s v="Tech A"/>
    <s v="HMO"/>
    <m/>
  </r>
  <r>
    <s v="S1958"/>
    <s v="P14397"/>
    <s v="Female"/>
    <n v="78"/>
    <x v="4"/>
    <s v="Blood"/>
    <x v="0"/>
    <d v="2026-03-26T00:00:00"/>
    <x v="1"/>
    <d v="1899-12-30T15:46:00"/>
    <n v="6"/>
    <d v="2026-03-27T00:00:00"/>
    <d v="1899-12-30T03:46:00"/>
    <n v="12"/>
    <x v="0"/>
    <s v="Accepted"/>
    <x v="0"/>
    <s v="Completed"/>
    <n v="40"/>
    <x v="0"/>
    <x v="0"/>
    <n v="4"/>
    <s v="Dr James"/>
    <x v="2"/>
    <s v="Tech A"/>
    <s v="HMO"/>
    <s v=" "/>
  </r>
  <r>
    <s v="S1959"/>
    <s v="P45142"/>
    <s v="Male"/>
    <n v="37"/>
    <x v="4"/>
    <s v="Blood"/>
    <x v="0"/>
    <d v="2026-03-29T00:00:00"/>
    <x v="1"/>
    <d v="1899-12-30T07:07:00"/>
    <n v="6"/>
    <d v="2026-03-29T00:00:00"/>
    <d v="1899-12-30T16:07:00"/>
    <n v="9"/>
    <x v="0"/>
    <s v="Accepted"/>
    <x v="0"/>
    <s v="Completed"/>
    <n v="40"/>
    <x v="1"/>
    <x v="0"/>
    <n v="3"/>
    <s v="Dr Adebayo"/>
    <x v="2"/>
    <s v="Tech C"/>
    <s v="HMO"/>
    <s v=" "/>
  </r>
  <r>
    <s v="S1960"/>
    <s v="P14132"/>
    <s v="Male"/>
    <n v="24"/>
    <x v="0"/>
    <s v="Blood"/>
    <x v="0"/>
    <d v="2026-01-31T00:00:00"/>
    <x v="3"/>
    <d v="1899-12-30T14:08:00"/>
    <n v="5"/>
    <d v="2026-01-31T00:00:00"/>
    <d v="1899-12-30T21:08:00"/>
    <n v="7"/>
    <x v="0"/>
    <s v="Accepted"/>
    <x v="0"/>
    <s v="Completed"/>
    <n v="35"/>
    <x v="1"/>
    <x v="1"/>
    <n v="2"/>
    <s v="Dr Ahmed"/>
    <x v="1"/>
    <s v="Tech C"/>
    <s v="Private"/>
    <s v=" "/>
  </r>
  <r>
    <s v="S1961"/>
    <s v="P75964"/>
    <s v="Female"/>
    <n v="6"/>
    <x v="4"/>
    <s v="Blood"/>
    <x v="4"/>
    <d v="2026-05-24T00:00:00"/>
    <x v="4"/>
    <d v="1899-12-30T14:21:00"/>
    <n v="6"/>
    <d v="2026-05-24T00:00:00"/>
    <d v="1899-12-30T23:21:00"/>
    <n v="9"/>
    <x v="0"/>
    <s v="Accepted"/>
    <x v="0"/>
    <s v="Completed"/>
    <n v="40"/>
    <x v="0"/>
    <x v="2"/>
    <n v="2"/>
    <s v="Dr Adebayo"/>
    <x v="3"/>
    <s v="Tech B"/>
    <s v="HMO"/>
    <s v="Test-department mismatch"/>
  </r>
  <r>
    <s v="S1962"/>
    <s v="P60170"/>
    <s v="Female"/>
    <n v="33"/>
    <x v="0"/>
    <s v="Blood"/>
    <x v="0"/>
    <d v="2026-01-16T00:00:00"/>
    <x v="3"/>
    <d v="1899-12-30T11:46:00"/>
    <n v="5"/>
    <d v="2026-01-16T00:00:00"/>
    <d v="1899-12-30T23:46:00"/>
    <n v="12"/>
    <x v="0"/>
    <s v="Accepted"/>
    <x v="0"/>
    <s v="Completed"/>
    <n v="35"/>
    <x v="1"/>
    <x v="2"/>
    <n v="3"/>
    <s v="Dr Ahmed"/>
    <x v="3"/>
    <s v="Tech B"/>
    <s v="NHIA"/>
    <s v=" "/>
  </r>
  <r>
    <s v="S1963"/>
    <s v="P97543"/>
    <s v="Female"/>
    <n v="57"/>
    <x v="3"/>
    <s v="Blood"/>
    <x v="4"/>
    <d v="2026-05-09T00:00:00"/>
    <x v="4"/>
    <d v="1899-12-30T11:43:00"/>
    <n v="24"/>
    <d v="2026-05-10T00:00:00"/>
    <d v="1899-12-30T12:43:00"/>
    <n v="25"/>
    <x v="0"/>
    <s v="Accepted"/>
    <x v="0"/>
    <s v="Completed"/>
    <n v="50"/>
    <x v="1"/>
    <x v="2"/>
    <n v="5"/>
    <s v="Dr Ahmed"/>
    <x v="1"/>
    <s v="Tech C"/>
    <s v="Private"/>
    <s v="Female patient with PSA test"/>
  </r>
  <r>
    <s v="S1964"/>
    <s v="P80480"/>
    <s v="Male"/>
    <n v="37"/>
    <x v="0"/>
    <s v="Blood"/>
    <x v="4"/>
    <d v="2026-01-07T00:00:00"/>
    <x v="3"/>
    <d v="1899-12-30T16:49:00"/>
    <n v="5"/>
    <d v="2026-01-08T00:00:00"/>
    <d v="1899-12-30T04:49:00"/>
    <n v="12"/>
    <x v="0"/>
    <s v="Accepted"/>
    <x v="0"/>
    <s v="Completed"/>
    <n v="35"/>
    <x v="0"/>
    <x v="2"/>
    <n v="1"/>
    <s v="Dr Okafor"/>
    <x v="2"/>
    <s v="Tech C"/>
    <s v="HMO"/>
    <s v="Test-department mismatch"/>
  </r>
  <r>
    <s v="S1965"/>
    <s v="P22643"/>
    <s v="Female"/>
    <n v="14"/>
    <x v="5"/>
    <s v="Blood"/>
    <x v="4"/>
    <d v="2026-06-16T00:00:00"/>
    <x v="2"/>
    <d v="1899-12-30T10:08:00"/>
    <n v="4"/>
    <d v="2026-06-16T00:00:00"/>
    <d v="1899-12-30T21:08:00"/>
    <n v="11"/>
    <x v="0"/>
    <s v="Accepted"/>
    <x v="0"/>
    <s v="Completed"/>
    <n v="25"/>
    <x v="1"/>
    <x v="2"/>
    <n v="2"/>
    <s v="Dr James"/>
    <x v="0"/>
    <s v="Tech B"/>
    <s v="HMO"/>
    <s v="Test-department mismatch"/>
  </r>
  <r>
    <s v="S1966"/>
    <s v="P65063"/>
    <s v="Male"/>
    <n v="1"/>
    <x v="4"/>
    <s v="Blood"/>
    <x v="2"/>
    <d v="2026-04-16T00:00:00"/>
    <x v="0"/>
    <d v="1899-12-30T14:33:00"/>
    <n v="6"/>
    <d v="2026-04-16T00:00:00"/>
    <d v="1899-12-30T23:33:00"/>
    <n v="9"/>
    <x v="0"/>
    <s v="Accepted"/>
    <x v="0"/>
    <s v="Completed"/>
    <n v="40"/>
    <x v="1"/>
    <x v="0"/>
    <n v="2"/>
    <s v="Dr James"/>
    <x v="1"/>
    <s v="Tech C"/>
    <s v="HMO"/>
    <s v="Test-department mismatch"/>
  </r>
  <r>
    <s v="S1967"/>
    <s v="P19795"/>
    <s v="Female"/>
    <n v="86"/>
    <x v="5"/>
    <s v="Blood"/>
    <x v="1"/>
    <d v="2026-05-14T00:00:00"/>
    <x v="4"/>
    <d v="1899-12-30T16:38:00"/>
    <n v="4"/>
    <d v="2026-05-14T00:00:00"/>
    <d v="1899-12-30T20:38:00"/>
    <n v="4"/>
    <x v="1"/>
    <s v="Accepted"/>
    <x v="0"/>
    <s v="Completed"/>
    <n v="25"/>
    <x v="1"/>
    <x v="1"/>
    <n v="4"/>
    <s v="Dr Adebayo"/>
    <x v="1"/>
    <s v="Tech C"/>
    <s v="Private"/>
    <s v="Test-department mismatch"/>
  </r>
  <r>
    <s v="S1968"/>
    <s v="P61273"/>
    <s v="Male"/>
    <n v="44"/>
    <x v="1"/>
    <s v="Blood"/>
    <x v="0"/>
    <d v="2026-02-12T00:00:00"/>
    <x v="5"/>
    <d v="1899-12-30T08:37:00"/>
    <n v="3"/>
    <d v="2026-02-12T00:00:00"/>
    <d v="1899-12-30T18:37:00"/>
    <n v="10"/>
    <x v="0"/>
    <s v="Accepted"/>
    <x v="0"/>
    <s v="Completed"/>
    <n v="15"/>
    <x v="1"/>
    <x v="2"/>
    <n v="4"/>
    <s v="Dr Adebayo"/>
    <x v="2"/>
    <s v="Tech A"/>
    <s v="NHIA"/>
    <s v="Test-department mismatch"/>
  </r>
  <r>
    <s v="S1969"/>
    <s v="P88671"/>
    <s v="Female"/>
    <n v="61"/>
    <x v="3"/>
    <s v="Blood"/>
    <x v="4"/>
    <d v="2026-03-12T00:00:00"/>
    <x v="1"/>
    <d v="1899-12-30T10:39:00"/>
    <n v="24"/>
    <d v="2026-03-13T00:00:00"/>
    <d v="1899-12-30T10:39:00"/>
    <n v="24"/>
    <x v="1"/>
    <s v="Accepted"/>
    <x v="0"/>
    <s v="Pending"/>
    <n v="50"/>
    <x v="1"/>
    <x v="0"/>
    <n v="1"/>
    <s v="Dr Okafor"/>
    <x v="0"/>
    <s v="Tech A"/>
    <s v="HMO"/>
    <s v="Female patient with PSA test; Pending test with released result"/>
  </r>
  <r>
    <s v="S1970"/>
    <s v="P48842"/>
    <s v="Female"/>
    <n v="86"/>
    <x v="3"/>
    <s v="Blood"/>
    <x v="1"/>
    <d v="2026-02-13T00:00:00"/>
    <x v="5"/>
    <d v="1899-12-30T14:20:00"/>
    <n v="24"/>
    <d v="2026-02-14T00:00:00"/>
    <d v="1899-12-30T14:20:00"/>
    <n v="24"/>
    <x v="1"/>
    <s v="Accepted"/>
    <x v="0"/>
    <s v="Completed"/>
    <n v="50"/>
    <x v="0"/>
    <x v="1"/>
    <n v="1"/>
    <s v="Dr Ahmed"/>
    <x v="3"/>
    <s v="Tech A"/>
    <s v="HMO"/>
    <s v="Female patient with PSA test; Test-department mismatch"/>
  </r>
  <r>
    <s v="S1971"/>
    <s v="P58075"/>
    <s v="Male"/>
    <n v="57"/>
    <x v="2"/>
    <s v="Urine"/>
    <x v="4"/>
    <d v="2026-03-01T00:00:00"/>
    <x v="1"/>
    <d v="1899-12-30T15:40:00"/>
    <n v="8"/>
    <d v="2026-03-01T00:00:00"/>
    <d v="1899-12-30T23:40:00"/>
    <n v="8"/>
    <x v="1"/>
    <s v="Accepted"/>
    <x v="0"/>
    <s v="Completed"/>
    <n v="20"/>
    <x v="1"/>
    <x v="2"/>
    <n v="5"/>
    <s v="Dr Okafor"/>
    <x v="2"/>
    <s v="Tech B"/>
    <s v="Private"/>
    <s v="Test-department mismatch"/>
  </r>
  <r>
    <s v="S1972"/>
    <s v="P29889"/>
    <s v="Female"/>
    <n v="23"/>
    <x v="2"/>
    <s v="Urine"/>
    <x v="1"/>
    <d v="2026-04-13T00:00:00"/>
    <x v="0"/>
    <d v="1899-12-30T07:21:00"/>
    <n v="8"/>
    <d v="2026-04-13T00:00:00"/>
    <d v="1899-12-30T17:21:00"/>
    <n v="10"/>
    <x v="0"/>
    <s v="Accepted"/>
    <x v="0"/>
    <s v="Completed"/>
    <n v="20"/>
    <x v="1"/>
    <x v="1"/>
    <n v="4"/>
    <s v="Dr Okafor"/>
    <x v="0"/>
    <s v="Tech C"/>
    <s v="HMO"/>
    <s v="Test-department mismatch"/>
  </r>
  <r>
    <s v="S1973"/>
    <s v="P35963"/>
    <s v="Male"/>
    <n v="45"/>
    <x v="3"/>
    <s v="Blood"/>
    <x v="3"/>
    <d v="2026-03-18T00:00:00"/>
    <x v="1"/>
    <d v="1899-12-30T10:25:00"/>
    <n v="24"/>
    <d v="2026-03-19T00:00:00"/>
    <d v="1899-12-30T14:25:00"/>
    <n v="28"/>
    <x v="0"/>
    <s v="Rejected"/>
    <x v="1"/>
    <s v="Completed"/>
    <n v="50"/>
    <x v="0"/>
    <x v="2"/>
    <n v="5"/>
    <s v="Dr James"/>
    <x v="3"/>
    <s v="Tech B"/>
    <s v="NHIA"/>
    <s v="Test-department mismatch; Sample-test status mismatch; Rejected sample with released result"/>
  </r>
  <r>
    <s v="S1974"/>
    <s v="P68305"/>
    <s v="Female"/>
    <n v="12"/>
    <x v="3"/>
    <s v="Blood"/>
    <x v="4"/>
    <d v="2026-03-29T00:00:00"/>
    <x v="1"/>
    <d v="1899-12-30T09:49:00"/>
    <n v="24"/>
    <d v="2026-03-30T00:00:00"/>
    <d v="1899-12-30T12:49:00"/>
    <n v="27"/>
    <x v="0"/>
    <s v="Accepted"/>
    <x v="0"/>
    <s v="Completed"/>
    <n v="50"/>
    <x v="1"/>
    <x v="0"/>
    <n v="5"/>
    <s v="Dr James"/>
    <x v="3"/>
    <s v="Tech B"/>
    <s v="Private"/>
    <s v="Female patient with PSA test; Suspicious Test-Age Combination"/>
  </r>
  <r>
    <s v="S1975"/>
    <s v="P61908"/>
    <s v="Female"/>
    <n v="69"/>
    <x v="3"/>
    <s v="Blood"/>
    <x v="4"/>
    <d v="2026-06-05T00:00:00"/>
    <x v="2"/>
    <d v="1899-12-30T14:42:00"/>
    <n v="24"/>
    <d v="2026-06-06T00:00:00"/>
    <d v="1899-12-30T19:42:00"/>
    <n v="29"/>
    <x v="0"/>
    <s v="Accepted"/>
    <x v="0"/>
    <s v="Completed"/>
    <n v="50"/>
    <x v="1"/>
    <x v="1"/>
    <n v="4"/>
    <s v="Dr Ahmed"/>
    <x v="0"/>
    <s v="Tech C"/>
    <s v="HMO"/>
    <s v="Female patient with PSA test"/>
  </r>
  <r>
    <s v="S1976"/>
    <s v="P22681"/>
    <s v="Female"/>
    <n v="60"/>
    <x v="2"/>
    <s v="Urine"/>
    <x v="3"/>
    <d v="2026-05-04T00:00:00"/>
    <x v="4"/>
    <d v="1899-12-30T16:58:00"/>
    <n v="8"/>
    <d v="2026-05-04T00:00:00"/>
    <d v="1899-12-30T23:58:00"/>
    <n v="7"/>
    <x v="1"/>
    <s v="Accepted"/>
    <x v="0"/>
    <s v="Completed"/>
    <n v="20"/>
    <x v="1"/>
    <x v="1"/>
    <n v="1"/>
    <s v="Dr Ahmed"/>
    <x v="0"/>
    <s v="Tech A"/>
    <s v="NHIA"/>
    <s v=" "/>
  </r>
  <r>
    <s v="S1977"/>
    <s v="P44936"/>
    <s v="Male"/>
    <n v="74"/>
    <x v="3"/>
    <s v="Blood"/>
    <x v="4"/>
    <d v="2026-01-19T00:00:00"/>
    <x v="3"/>
    <d v="1899-12-30T16:26:00"/>
    <n v="24"/>
    <d v="2026-01-20T00:00:00"/>
    <d v="1899-12-30T18:26:00"/>
    <n v="26"/>
    <x v="0"/>
    <s v="Accepted"/>
    <x v="0"/>
    <s v="Pending"/>
    <n v="50"/>
    <x v="1"/>
    <x v="1"/>
    <n v="2"/>
    <s v="Dr James"/>
    <x v="0"/>
    <s v="Tech C"/>
    <s v="NHIA"/>
    <s v="Pending test with released result"/>
  </r>
  <r>
    <s v="S1978"/>
    <s v="P81026"/>
    <s v="Male"/>
    <n v="86"/>
    <x v="4"/>
    <s v="Blood"/>
    <x v="0"/>
    <d v="2026-02-08T00:00:00"/>
    <x v="5"/>
    <d v="1899-12-30T13:08:00"/>
    <n v="6"/>
    <d v="2026-02-08T00:00:00"/>
    <d v="1899-12-30T18:08:00"/>
    <n v="5"/>
    <x v="1"/>
    <s v="Accepted"/>
    <x v="0"/>
    <s v="Pending"/>
    <n v="40"/>
    <x v="1"/>
    <x v="0"/>
    <n v="4"/>
    <s v="Dr Okafor"/>
    <x v="0"/>
    <s v="Tech C"/>
    <s v="NHIA"/>
    <s v="Pending test with released result"/>
  </r>
  <r>
    <s v="S1979"/>
    <s v="P64540"/>
    <s v="Female"/>
    <n v="87"/>
    <x v="2"/>
    <s v="Urine"/>
    <x v="3"/>
    <d v="2026-01-30T00:00:00"/>
    <x v="3"/>
    <d v="1899-12-30T07:47:00"/>
    <n v="8"/>
    <d v="2026-01-30T00:00:00"/>
    <d v="1899-12-30T17:47:00"/>
    <n v="10"/>
    <x v="0"/>
    <s v="Accepted"/>
    <x v="0"/>
    <s v="Completed"/>
    <n v="20"/>
    <x v="1"/>
    <x v="2"/>
    <n v="1"/>
    <s v="Dr James"/>
    <x v="1"/>
    <s v="Tech C"/>
    <s v="HMO"/>
    <m/>
  </r>
  <r>
    <s v="S1980"/>
    <s v="P56970"/>
    <s v="Male"/>
    <n v="48"/>
    <x v="3"/>
    <s v="Blood"/>
    <x v="4"/>
    <d v="2026-04-07T00:00:00"/>
    <x v="0"/>
    <d v="1899-12-30T09:11:00"/>
    <n v="24"/>
    <d v="2026-04-08T00:00:00"/>
    <d v="1899-12-30T14:11:00"/>
    <n v="29"/>
    <x v="0"/>
    <s v="Accepted"/>
    <x v="0"/>
    <s v="Completed"/>
    <n v="50"/>
    <x v="0"/>
    <x v="0"/>
    <n v="3"/>
    <s v="Dr Ahmed"/>
    <x v="0"/>
    <s v="Tech B"/>
    <s v="Private"/>
    <s v=" "/>
  </r>
  <r>
    <s v="S1981"/>
    <s v="P32012"/>
    <s v="Male"/>
    <n v="68"/>
    <x v="0"/>
    <s v="Blood"/>
    <x v="2"/>
    <d v="2026-01-07T00:00:00"/>
    <x v="3"/>
    <d v="1899-12-30T16:25:00"/>
    <n v="5"/>
    <d v="2026-01-08T00:00:00"/>
    <d v="1899-12-30T01:25:00"/>
    <n v="9"/>
    <x v="0"/>
    <s v="Accepted"/>
    <x v="0"/>
    <s v="Completed"/>
    <n v="35"/>
    <x v="1"/>
    <x v="0"/>
    <n v="4"/>
    <s v="Dr Okafor"/>
    <x v="3"/>
    <s v="Tech C"/>
    <s v="NHIA"/>
    <s v="Test-department mismatch"/>
  </r>
  <r>
    <s v="S1982"/>
    <s v="P56585"/>
    <s v="Male"/>
    <n v="1"/>
    <x v="1"/>
    <s v="Blood"/>
    <x v="2"/>
    <d v="2026-05-15T00:00:00"/>
    <x v="4"/>
    <d v="1899-12-30T12:22:00"/>
    <n v="3"/>
    <d v="2026-05-15T00:00:00"/>
    <d v="1899-12-30T22:22:00"/>
    <n v="10"/>
    <x v="0"/>
    <s v="Accepted"/>
    <x v="0"/>
    <s v="Completed"/>
    <n v="15"/>
    <x v="1"/>
    <x v="1"/>
    <n v="4"/>
    <s v="Dr James"/>
    <x v="0"/>
    <s v="Tech A"/>
    <s v="HMO"/>
    <m/>
  </r>
  <r>
    <s v="S1983"/>
    <s v="P90121"/>
    <s v="Female"/>
    <n v="69"/>
    <x v="1"/>
    <s v="Blood"/>
    <x v="1"/>
    <d v="2026-06-29T00:00:00"/>
    <x v="2"/>
    <d v="1899-12-30T10:12:00"/>
    <n v="3"/>
    <d v="2026-06-29T00:00:00"/>
    <d v="1899-12-30T15:12:00"/>
    <n v="5"/>
    <x v="0"/>
    <s v="Accepted"/>
    <x v="0"/>
    <s v="Completed"/>
    <n v="15"/>
    <x v="1"/>
    <x v="1"/>
    <n v="3"/>
    <s v="Dr Adebayo"/>
    <x v="3"/>
    <s v="Tech A"/>
    <s v="HMO"/>
    <s v="Test-department mismatch"/>
  </r>
  <r>
    <s v="S1984"/>
    <s v="P49054"/>
    <s v="Female"/>
    <n v="68"/>
    <x v="5"/>
    <s v="Blood"/>
    <x v="1"/>
    <d v="2026-03-15T00:00:00"/>
    <x v="1"/>
    <d v="1899-12-30T08:45:00"/>
    <n v="4"/>
    <d v="2026-03-15T00:00:00"/>
    <d v="1899-12-30T14:45:00"/>
    <n v="6"/>
    <x v="0"/>
    <s v="Accepted"/>
    <x v="0"/>
    <s v="Completed"/>
    <n v="25"/>
    <x v="0"/>
    <x v="2"/>
    <n v="1"/>
    <s v="Dr James"/>
    <x v="0"/>
    <s v="Tech A"/>
    <s v="HMO"/>
    <s v="Test-department mismatch"/>
  </r>
  <r>
    <s v="S1985"/>
    <s v="P46905"/>
    <s v="Female"/>
    <n v="53"/>
    <x v="1"/>
    <s v="Blood"/>
    <x v="2"/>
    <d v="2026-05-13T00:00:00"/>
    <x v="4"/>
    <d v="1899-12-30T16:47:00"/>
    <n v="3"/>
    <d v="2026-05-13T00:00:00"/>
    <d v="1899-12-30T19:47:00"/>
    <n v="3"/>
    <x v="1"/>
    <s v="Accepted"/>
    <x v="0"/>
    <s v="Completed"/>
    <n v="15"/>
    <x v="0"/>
    <x v="1"/>
    <n v="1"/>
    <s v="Dr Adebayo"/>
    <x v="2"/>
    <s v="Tech B"/>
    <s v="NHIA"/>
    <m/>
  </r>
  <r>
    <s v="S1986"/>
    <s v="P33394"/>
    <s v="Male"/>
    <n v="32"/>
    <x v="3"/>
    <s v="Blood"/>
    <x v="3"/>
    <d v="2026-05-04T00:00:00"/>
    <x v="4"/>
    <d v="1899-12-30T14:46:00"/>
    <n v="24"/>
    <d v="2026-05-05T00:00:00"/>
    <d v="1899-12-30T15:46:00"/>
    <n v="25"/>
    <x v="0"/>
    <s v="Accepted"/>
    <x v="0"/>
    <s v="Completed"/>
    <n v="50"/>
    <x v="0"/>
    <x v="1"/>
    <n v="3"/>
    <s v="Dr Okafor"/>
    <x v="2"/>
    <s v="Tech B"/>
    <s v="NHIA"/>
    <s v="Test-department mismatch"/>
  </r>
  <r>
    <s v="S1987"/>
    <s v="P25929"/>
    <s v="Male"/>
    <n v="11"/>
    <x v="2"/>
    <s v="Urine"/>
    <x v="3"/>
    <d v="2026-04-25T00:00:00"/>
    <x v="0"/>
    <d v="1899-12-30T10:59:00"/>
    <n v="8"/>
    <d v="2026-04-25T00:00:00"/>
    <d v="1899-12-30T17:59:00"/>
    <n v="7"/>
    <x v="1"/>
    <s v="Accepted"/>
    <x v="0"/>
    <s v="Completed"/>
    <n v="20"/>
    <x v="1"/>
    <x v="2"/>
    <n v="2"/>
    <s v="Dr Ahmed"/>
    <x v="0"/>
    <s v="Tech A"/>
    <s v="HMO"/>
    <s v=" "/>
  </r>
  <r>
    <s v="S1988"/>
    <s v="P61997"/>
    <s v="Female"/>
    <n v="53"/>
    <x v="5"/>
    <s v="Blood"/>
    <x v="1"/>
    <d v="2026-06-11T00:00:00"/>
    <x v="2"/>
    <d v="1899-12-30T12:29:00"/>
    <n v="4"/>
    <d v="2026-06-11T00:00:00"/>
    <d v="1899-12-30T23:29:00"/>
    <n v="11"/>
    <x v="0"/>
    <s v="Accepted"/>
    <x v="0"/>
    <s v="Completed"/>
    <n v="25"/>
    <x v="0"/>
    <x v="1"/>
    <n v="1"/>
    <s v="Dr Ahmed"/>
    <x v="0"/>
    <s v="Tech C"/>
    <s v="Private"/>
    <s v="Test-department mismatch"/>
  </r>
  <r>
    <s v="S1989"/>
    <s v="P71470"/>
    <s v="Male"/>
    <n v="40"/>
    <x v="0"/>
    <s v="Blood"/>
    <x v="1"/>
    <d v="2026-04-03T00:00:00"/>
    <x v="0"/>
    <d v="1899-12-30T09:54:00"/>
    <n v="5"/>
    <d v="2026-04-03T00:00:00"/>
    <d v="1899-12-30T17:54:00"/>
    <n v="8"/>
    <x v="0"/>
    <s v="Accepted"/>
    <x v="0"/>
    <s v="Completed"/>
    <n v="35"/>
    <x v="0"/>
    <x v="0"/>
    <n v="4"/>
    <s v="Dr James"/>
    <x v="3"/>
    <s v="Tech B"/>
    <s v="NHIA"/>
    <s v="Patient ID with Conflicting Age &amp; Gender; Test-department mismatch"/>
  </r>
  <r>
    <s v="S1990"/>
    <s v="P63473"/>
    <s v="Male"/>
    <n v="8"/>
    <x v="5"/>
    <s v="Blood"/>
    <x v="1"/>
    <d v="2026-04-30T00:00:00"/>
    <x v="0"/>
    <d v="1899-12-30T08:06:00"/>
    <n v="4"/>
    <d v="2026-04-30T00:00:00"/>
    <d v="1899-12-30T17:06:00"/>
    <n v="9"/>
    <x v="0"/>
    <s v="Accepted"/>
    <x v="0"/>
    <s v="Completed"/>
    <n v="25"/>
    <x v="1"/>
    <x v="1"/>
    <n v="5"/>
    <s v="Dr Ahmed"/>
    <x v="3"/>
    <s v="Tech B"/>
    <s v="NHIA"/>
    <s v="Test-department mismatch"/>
  </r>
  <r>
    <s v="S1991"/>
    <s v="P33153"/>
    <s v="Female"/>
    <n v="14"/>
    <x v="4"/>
    <s v="Blood"/>
    <x v="3"/>
    <d v="2026-01-15T00:00:00"/>
    <x v="3"/>
    <d v="1899-12-30T12:47:00"/>
    <n v="6"/>
    <d v="2026-01-16T00:00:00"/>
    <d v="1899-12-30T00:47:00"/>
    <n v="12"/>
    <x v="0"/>
    <s v="Accepted"/>
    <x v="0"/>
    <s v="Completed"/>
    <n v="40"/>
    <x v="1"/>
    <x v="2"/>
    <n v="3"/>
    <s v="Dr Adebayo"/>
    <x v="1"/>
    <s v="Tech B"/>
    <s v="HMO"/>
    <s v="Test-department mismatch"/>
  </r>
  <r>
    <s v="S1992"/>
    <s v="P33632"/>
    <s v="Female"/>
    <n v="47"/>
    <x v="0"/>
    <s v="Blood"/>
    <x v="0"/>
    <d v="2026-02-21T00:00:00"/>
    <x v="5"/>
    <d v="1899-12-30T11:05:00"/>
    <n v="5"/>
    <d v="2026-02-21T00:00:00"/>
    <d v="1899-12-30T17:05:00"/>
    <n v="6"/>
    <x v="0"/>
    <s v="Accepted"/>
    <x v="0"/>
    <s v="Completed"/>
    <n v="35"/>
    <x v="1"/>
    <x v="1"/>
    <n v="5"/>
    <s v="Dr Adebayo"/>
    <x v="1"/>
    <s v="Tech B"/>
    <s v="NHIA"/>
    <s v=" "/>
  </r>
  <r>
    <s v="S1993"/>
    <s v="P95243"/>
    <s v="Male"/>
    <n v="25"/>
    <x v="0"/>
    <s v="Blood"/>
    <x v="0"/>
    <d v="2026-04-10T00:00:00"/>
    <x v="0"/>
    <d v="1899-12-30T11:20:00"/>
    <n v="5"/>
    <d v="2026-04-11T00:00:00"/>
    <d v="1899-12-30T00:20:00"/>
    <n v="13"/>
    <x v="0"/>
    <s v="Accepted"/>
    <x v="0"/>
    <s v="Completed"/>
    <n v="35"/>
    <x v="0"/>
    <x v="0"/>
    <n v="3"/>
    <s v="Dr Ahmed"/>
    <x v="1"/>
    <s v="Tech C"/>
    <s v="HMO"/>
    <s v=" "/>
  </r>
  <r>
    <s v="S1994"/>
    <s v="P42421"/>
    <s v="Female"/>
    <n v="84"/>
    <x v="1"/>
    <s v="Blood"/>
    <x v="2"/>
    <d v="2026-05-05T00:00:00"/>
    <x v="4"/>
    <d v="1899-12-30T07:42:00"/>
    <n v="3"/>
    <d v="2026-05-05T00:00:00"/>
    <d v="1899-12-30T12:42:00"/>
    <n v="5"/>
    <x v="0"/>
    <s v="Accepted"/>
    <x v="0"/>
    <s v="Completed"/>
    <n v="15"/>
    <x v="0"/>
    <x v="1"/>
    <n v="3"/>
    <s v="Dr Adebayo"/>
    <x v="0"/>
    <s v="Tech C"/>
    <s v="Private"/>
    <m/>
  </r>
  <r>
    <s v="S1995"/>
    <s v="P81444"/>
    <s v="Female"/>
    <n v="36"/>
    <x v="3"/>
    <s v="Blood"/>
    <x v="4"/>
    <d v="2026-03-17T00:00:00"/>
    <x v="1"/>
    <d v="1899-12-30T12:25:00"/>
    <n v="24"/>
    <d v="2026-03-18T00:00:00"/>
    <d v="1899-12-30T14:25:00"/>
    <n v="26"/>
    <x v="0"/>
    <s v="Accepted"/>
    <x v="0"/>
    <s v="Completed"/>
    <n v="50"/>
    <x v="1"/>
    <x v="2"/>
    <n v="1"/>
    <s v="Dr Ahmed"/>
    <x v="2"/>
    <s v="Tech C"/>
    <s v="Private"/>
    <s v="Female patient with PSA test"/>
  </r>
  <r>
    <s v="S1996"/>
    <s v="P73588"/>
    <s v="Female"/>
    <n v="3"/>
    <x v="1"/>
    <s v="Blood"/>
    <x v="3"/>
    <d v="2026-03-19T00:00:00"/>
    <x v="1"/>
    <d v="1899-12-30T13:34:00"/>
    <n v="3"/>
    <d v="2026-03-19T00:00:00"/>
    <d v="1899-12-30T16:34:00"/>
    <n v="3"/>
    <x v="1"/>
    <s v="Accepted"/>
    <x v="0"/>
    <s v="Completed"/>
    <n v="15"/>
    <x v="1"/>
    <x v="2"/>
    <n v="2"/>
    <s v="Dr Okafor"/>
    <x v="1"/>
    <s v="Tech C"/>
    <s v="HMO"/>
    <s v="Test-department mismatch"/>
  </r>
  <r>
    <s v="S1997"/>
    <s v="P62431"/>
    <s v="Male"/>
    <n v="58"/>
    <x v="4"/>
    <s v="Blood"/>
    <x v="0"/>
    <d v="2026-02-17T00:00:00"/>
    <x v="5"/>
    <d v="1899-12-30T13:55:00"/>
    <n v="6"/>
    <d v="2026-02-17T00:00:00"/>
    <d v="1899-12-30T19:55:00"/>
    <n v="6"/>
    <x v="1"/>
    <s v="Accepted"/>
    <x v="0"/>
    <s v="Completed"/>
    <n v="40"/>
    <x v="1"/>
    <x v="1"/>
    <n v="5"/>
    <s v="Dr Okafor"/>
    <x v="3"/>
    <s v="Tech A"/>
    <s v="NHIA"/>
    <s v=" "/>
  </r>
  <r>
    <s v="S1998"/>
    <s v="P69981"/>
    <s v="Female"/>
    <n v="26"/>
    <x v="5"/>
    <s v="Blood"/>
    <x v="1"/>
    <d v="2026-04-22T00:00:00"/>
    <x v="0"/>
    <d v="1899-12-30T13:34:00"/>
    <n v="4"/>
    <d v="2026-04-22T00:00:00"/>
    <d v="1899-12-30T23:34:00"/>
    <n v="10"/>
    <x v="0"/>
    <s v="Accepted"/>
    <x v="0"/>
    <s v="Completed"/>
    <n v="25"/>
    <x v="1"/>
    <x v="2"/>
    <n v="5"/>
    <s v="Dr Okafor"/>
    <x v="2"/>
    <s v="Tech A"/>
    <s v="Private"/>
    <s v="Test-department mismatch"/>
  </r>
  <r>
    <s v="S1999"/>
    <s v="P51354"/>
    <s v="Female"/>
    <n v="19"/>
    <x v="1"/>
    <s v="Blood"/>
    <x v="3"/>
    <d v="2026-01-20T00:00:00"/>
    <x v="3"/>
    <d v="1899-12-30T15:36:00"/>
    <n v="3"/>
    <d v="2026-01-20T00:00:00"/>
    <d v="1899-12-30T17:36:00"/>
    <n v="2"/>
    <x v="1"/>
    <s v="Accepted"/>
    <x v="0"/>
    <s v="Completed"/>
    <n v="15"/>
    <x v="1"/>
    <x v="0"/>
    <n v="1"/>
    <s v="Dr Ahmed"/>
    <x v="3"/>
    <s v="Tech A"/>
    <s v="HMO"/>
    <s v="Test-department mismatch"/>
  </r>
  <r>
    <s v="S1005"/>
    <s v="P73675"/>
    <s v="Male"/>
    <n v="47"/>
    <x v="3"/>
    <s v="Blood"/>
    <x v="3"/>
    <d v="2026-04-16T00:00:00"/>
    <x v="0"/>
    <d v="1899-12-30T11:10:00"/>
    <n v="24"/>
    <d v="2026-04-17T00:00:00"/>
    <d v="1899-12-30T19:10:00"/>
    <n v="32"/>
    <x v="0"/>
    <s v="Accepted"/>
    <x v="0"/>
    <s v="Completed"/>
    <n v="50"/>
    <x v="0"/>
    <x v="2"/>
    <n v="1"/>
    <s v="Dr Okafor"/>
    <x v="3"/>
    <s v="Tech B"/>
    <s v="NHIA"/>
    <s v="Duplicate Sample ID; Test-department mismatch"/>
  </r>
  <r>
    <s v="S2001"/>
    <s v="P47695"/>
    <s v="Female"/>
    <n v="17"/>
    <x v="0"/>
    <s v="Blood"/>
    <x v="0"/>
    <d v="2026-04-18T00:00:00"/>
    <x v="0"/>
    <d v="1899-12-30T11:37:00"/>
    <n v="5"/>
    <d v="2026-04-18T00:00:00"/>
    <d v="1899-12-30T17:37:00"/>
    <n v="6"/>
    <x v="0"/>
    <s v="Accepted"/>
    <x v="0"/>
    <s v="Completed"/>
    <n v="35"/>
    <x v="0"/>
    <x v="2"/>
    <n v="3"/>
    <s v="Dr Okafor"/>
    <x v="1"/>
    <s v="Tech C"/>
    <s v="HMO"/>
    <s v="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FFB98F-9878-4370-ACED-03D61D941BB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2:J19" firstHeaderRow="1" firstDataRow="2" firstDataCol="1"/>
  <pivotFields count="27">
    <pivotField dataField="1" showAll="0"/>
    <pivotField showAll="0"/>
    <pivotField showAll="0"/>
    <pivotField showAll="0"/>
    <pivotField showAll="0"/>
    <pivotField showAll="0"/>
    <pivotField axis="axisRow"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axis="axisCol"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14"/>
  </colFields>
  <colItems count="3">
    <i>
      <x/>
    </i>
    <i>
      <x v="1"/>
    </i>
    <i t="grand">
      <x/>
    </i>
  </colItems>
  <dataFields count="1">
    <dataField name="Count of Sample_ID" fld="0" subtotal="count" baseField="0" baseItem="0"/>
  </dataFields>
  <chartFormats count="2">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A46F25-3C4A-46CC-9102-208D60B0049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7" firstHeaderRow="1" firstDataRow="1" firstDataCol="1"/>
  <pivotFields count="27">
    <pivotField showAll="0"/>
    <pivotField showAll="0"/>
    <pivotField showAll="0"/>
    <pivotField showAll="0"/>
    <pivotField showAll="0"/>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axis="axisRow" showAll="0" sortType="descending">
      <items count="10">
        <item m="1" x="4"/>
        <item m="1" x="7"/>
        <item x="2"/>
        <item m="1" x="8"/>
        <item m="1" x="5"/>
        <item x="0"/>
        <item m="1" x="6"/>
        <item x="3"/>
        <item x="1"/>
        <item t="default"/>
      </items>
    </pivotField>
    <pivotField showAll="0"/>
    <pivotField showAll="0"/>
    <pivotField showAll="0"/>
  </pivotFields>
  <rowFields count="1">
    <field x="23"/>
  </rowFields>
  <rowItems count="5">
    <i>
      <x v="2"/>
    </i>
    <i>
      <x v="5"/>
    </i>
    <i>
      <x v="7"/>
    </i>
    <i>
      <x v="8"/>
    </i>
    <i t="grand">
      <x/>
    </i>
  </rowItems>
  <colItems count="1">
    <i/>
  </colItems>
  <dataFields count="1">
    <dataField name="Sum of Price" fld="18" baseField="0" baseItem="0"/>
  </dataFields>
  <formats count="1">
    <format dxfId="107">
      <pivotArea grandRow="1"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810923-6414-4B1B-A9BE-AB4E31A7DA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D12:E19" firstHeaderRow="1" firstDataRow="1" firstDataCol="1"/>
  <pivotFields count="27">
    <pivotField showAll="0"/>
    <pivotField showAll="0"/>
    <pivotField showAll="0"/>
    <pivotField showAll="0"/>
    <pivotField axis="axisRow" showAll="0">
      <items count="7">
        <item x="5"/>
        <item x="4"/>
        <item x="1"/>
        <item x="3"/>
        <item x="0"/>
        <item x="2"/>
        <item t="default"/>
      </items>
    </pivotField>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Price" fld="18" baseField="0" baseItem="0"/>
  </dataFields>
  <formats count="3">
    <format dxfId="110">
      <pivotArea grandRow="1" outline="0" collapsedLevelsAreSubtotals="1" fieldPosition="0"/>
    </format>
    <format dxfId="109">
      <pivotArea grandRow="1" outline="0" collapsedLevelsAreSubtotals="1" fieldPosition="0"/>
    </format>
    <format dxfId="108">
      <pivotArea grandRow="1"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281D85-1851-4CAE-B2F6-D07628099D9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5:K28" firstHeaderRow="1" firstDataRow="1" firstDataCol="1"/>
  <pivotFields count="27">
    <pivotField dataField="1" showAll="0"/>
    <pivotField showAll="0"/>
    <pivotField showAll="0"/>
    <pivotField showAll="0"/>
    <pivotField showAll="0"/>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19"/>
  </rowFields>
  <rowItems count="3">
    <i>
      <x/>
    </i>
    <i>
      <x v="1"/>
    </i>
    <i t="grand">
      <x/>
    </i>
  </rowItems>
  <colItems count="1">
    <i/>
  </colItems>
  <dataFields count="1">
    <dataField name="Count of Sample_ID" fld="0" subtotal="count"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8ADDAB-0E34-4855-9E16-126D0BF34C5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8:B39" firstHeaderRow="0" firstDataRow="1" firstDataCol="0"/>
  <pivotFields count="27">
    <pivotField dataField="1" showAll="0"/>
    <pivotField showAll="0"/>
    <pivotField showAll="0"/>
    <pivotField showAll="0"/>
    <pivotField showAll="0"/>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s>
  <rowItems count="1">
    <i/>
  </rowItems>
  <colFields count="1">
    <field x="-2"/>
  </colFields>
  <colItems count="2">
    <i>
      <x/>
    </i>
    <i i="1">
      <x v="1"/>
    </i>
  </colItems>
  <dataFields count="2">
    <dataField name="Count of Sample_ID" fld="0" subtotal="count" baseField="0" baseItem="0"/>
    <dataField name="Average of Satisfaction_Rating" fld="21" subtotal="average" baseField="0" baseItem="1" numFmtId="166"/>
  </dataFields>
  <formats count="1">
    <format dxfId="111">
      <pivotArea outline="0" collapsedLevelsAreSubtotals="1" fieldPosition="0">
        <references count="1">
          <reference field="4294967294" count="1" selected="0">
            <x v="1"/>
          </reference>
        </references>
      </pivotArea>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E2D635-6268-412F-8E9C-206F59B02F4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8" firstHeaderRow="1" firstDataRow="1" firstDataCol="1"/>
  <pivotFields count="27">
    <pivotField dataField="1" showAll="0"/>
    <pivotField showAll="0"/>
    <pivotField showAll="0"/>
    <pivotField showAll="0"/>
    <pivotField showAll="0"/>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axis="axisRow" showAll="0">
      <items count="6">
        <item x="4"/>
        <item x="1"/>
        <item x="2"/>
        <item x="3"/>
        <item h="1" x="0"/>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16"/>
  </rowFields>
  <rowItems count="5">
    <i>
      <x/>
    </i>
    <i>
      <x v="1"/>
    </i>
    <i>
      <x v="2"/>
    </i>
    <i>
      <x v="3"/>
    </i>
    <i t="grand">
      <x/>
    </i>
  </rowItems>
  <colItems count="1">
    <i/>
  </colItems>
  <dataFields count="1">
    <dataField name="Count of Sample_ID"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928976-374F-4244-9827-CB9473DBF1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
  <location ref="A12:B19" firstHeaderRow="1" firstDataRow="1" firstDataCol="1"/>
  <pivotFields count="27">
    <pivotField dataField="1" showAll="0"/>
    <pivotField showAll="0"/>
    <pivotField showAll="0"/>
    <pivotField showAll="0"/>
    <pivotField axis="axisRow" showAll="0">
      <items count="7">
        <item x="5"/>
        <item x="4"/>
        <item x="1"/>
        <item x="3"/>
        <item x="0"/>
        <item x="2"/>
        <item t="default"/>
      </items>
    </pivotField>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Sample_ID" fld="0"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93257F-51E2-4B1E-AEF9-F891BBF9E3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1:G35" firstHeaderRow="1" firstDataRow="2" firstDataCol="1"/>
  <pivotFields count="27">
    <pivotField dataField="1" showAll="0"/>
    <pivotField showAll="0"/>
    <pivotField showAll="0"/>
    <pivotField showAll="0"/>
    <pivotField showAll="0"/>
    <pivotField showAll="0"/>
    <pivotField axis="axisCol"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axis="axisRow"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14"/>
  </rowFields>
  <rowItems count="3">
    <i>
      <x/>
    </i>
    <i>
      <x v="1"/>
    </i>
    <i t="grand">
      <x/>
    </i>
  </rowItems>
  <colFields count="1">
    <field x="6"/>
  </colFields>
  <colItems count="6">
    <i>
      <x/>
    </i>
    <i>
      <x v="1"/>
    </i>
    <i>
      <x v="2"/>
    </i>
    <i>
      <x v="3"/>
    </i>
    <i>
      <x v="4"/>
    </i>
    <i t="grand">
      <x/>
    </i>
  </colItems>
  <dataFields count="1">
    <dataField name="Count of Samp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EBBF1D-69BA-4FAB-BA13-142D1C0922F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2:H8" firstHeaderRow="1" firstDataRow="1" firstDataCol="1"/>
  <pivotFields count="27">
    <pivotField showAll="0"/>
    <pivotField showAll="0"/>
    <pivotField showAll="0"/>
    <pivotField showAll="0"/>
    <pivotField showAll="0"/>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showAll="0"/>
    <pivotField showAll="0"/>
    <pivotField dataField="1" showAll="0"/>
    <pivotField showAll="0">
      <items count="3">
        <item x="1"/>
        <item x="0"/>
        <item t="default"/>
      </items>
    </pivotField>
    <pivotField axis="axisRow" showAll="0">
      <items count="6">
        <item x="2"/>
        <item x="0"/>
        <item x="1"/>
        <item x="3"/>
        <item x="4"/>
        <item t="default"/>
      </items>
    </pivotField>
    <pivotField showAll="0"/>
    <pivotField showAll="0"/>
    <pivotField showAll="0"/>
    <pivotField showAll="0"/>
    <pivotField showAll="0"/>
    <pivotField showAll="0"/>
  </pivotFields>
  <rowFields count="1">
    <field x="20"/>
  </rowFields>
  <rowItems count="6">
    <i>
      <x/>
    </i>
    <i>
      <x v="1"/>
    </i>
    <i>
      <x v="2"/>
    </i>
    <i>
      <x v="3"/>
    </i>
    <i>
      <x v="4"/>
    </i>
    <i t="grand">
      <x/>
    </i>
  </rowItems>
  <colItems count="1">
    <i/>
  </colItems>
  <dataFields count="1">
    <dataField name="Sum of Price" fld="18" baseField="0" baseItem="0"/>
  </dataFields>
  <chartFormats count="6">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20" count="1" selected="0">
            <x v="0"/>
          </reference>
        </references>
      </pivotArea>
    </chartFormat>
    <chartFormat chart="14" format="7">
      <pivotArea type="data" outline="0" fieldPosition="0">
        <references count="2">
          <reference field="4294967294" count="1" selected="0">
            <x v="0"/>
          </reference>
          <reference field="20" count="1" selected="0">
            <x v="1"/>
          </reference>
        </references>
      </pivotArea>
    </chartFormat>
    <chartFormat chart="14" format="8">
      <pivotArea type="data" outline="0" fieldPosition="0">
        <references count="2">
          <reference field="4294967294" count="1" selected="0">
            <x v="0"/>
          </reference>
          <reference field="20" count="1" selected="0">
            <x v="2"/>
          </reference>
        </references>
      </pivotArea>
    </chartFormat>
    <chartFormat chart="14" format="9">
      <pivotArea type="data" outline="0" fieldPosition="0">
        <references count="2">
          <reference field="4294967294" count="1" selected="0">
            <x v="0"/>
          </reference>
          <reference field="20" count="1" selected="0">
            <x v="3"/>
          </reference>
        </references>
      </pivotArea>
    </chartFormat>
    <chartFormat chart="14" format="10">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D07C7A-5666-4B1C-BE29-EF4CE678227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4:E27" firstHeaderRow="1" firstDataRow="1" firstDataCol="1"/>
  <pivotFields count="27">
    <pivotField dataField="1" showAll="0"/>
    <pivotField showAll="0"/>
    <pivotField showAll="0"/>
    <pivotField showAll="0"/>
    <pivotField showAll="0"/>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axis="axisRow"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14"/>
  </rowFields>
  <rowItems count="3">
    <i>
      <x/>
    </i>
    <i>
      <x v="1"/>
    </i>
    <i t="grand">
      <x/>
    </i>
  </rowItems>
  <colItems count="1">
    <i/>
  </colItems>
  <dataFields count="1">
    <dataField name="Count of Sample_ID" fld="0"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4" count="1" selected="0">
            <x v="0"/>
          </reference>
        </references>
      </pivotArea>
    </chartFormat>
    <chartFormat chart="6"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0BD39B-A9E9-49EE-B730-4E8D52C0A7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5:G26" firstHeaderRow="1" firstDataRow="1" firstDataCol="0"/>
  <pivotFields count="27">
    <pivotField dataField="1" showAll="0"/>
    <pivotField showAll="0"/>
    <pivotField showAll="0"/>
    <pivotField showAll="0"/>
    <pivotField showAll="0"/>
    <pivotField showAll="0"/>
    <pivotField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Items count="1">
    <i/>
  </rowItems>
  <colItems count="1">
    <i/>
  </colItems>
  <dataFields count="1">
    <dataField name="Count of Sample_ID" fld="0" subtotal="count" baseField="6"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135628-40D4-4487-A1CB-644156D88E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8" firstHeaderRow="1" firstDataRow="1" firstDataCol="1"/>
  <pivotFields count="27">
    <pivotField dataField="1" showAll="0"/>
    <pivotField showAll="0"/>
    <pivotField showAll="0"/>
    <pivotField showAll="0"/>
    <pivotField showAll="0"/>
    <pivotField showAll="0"/>
    <pivotField axis="axisRow" showAll="0">
      <items count="6">
        <item x="0"/>
        <item x="1"/>
        <item x="4"/>
        <item x="3"/>
        <item x="2"/>
        <item t="default"/>
      </items>
    </pivotField>
    <pivotField numFmtId="14" showAll="0"/>
    <pivotField showAll="0">
      <items count="7">
        <item x="3"/>
        <item x="5"/>
        <item x="1"/>
        <item x="0"/>
        <item x="4"/>
        <item x="2"/>
        <item t="default"/>
      </items>
    </pivotField>
    <pivotField numFmtId="20" showAll="0"/>
    <pivotField showAll="0"/>
    <pivotField numFmtId="14" showAll="0"/>
    <pivotField numFmtId="20"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Sample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415E27D4-7062-40ED-BC3A-25D7DC7B5A32}" sourceName="Payment_Status">
  <pivotTables>
    <pivotTable tabId="6" name="PivotTable10"/>
    <pivotTable tabId="6" name="PivotTable11"/>
    <pivotTable tabId="6" name="PivotTable13"/>
    <pivotTable tabId="6" name="PivotTable14"/>
    <pivotTable tabId="6" name="PivotTable15"/>
    <pivotTable tabId="6" name="PivotTable16"/>
    <pivotTable tabId="6" name="PivotTable18"/>
    <pivotTable tabId="6" name="PivotTable5"/>
    <pivotTable tabId="6" name="PivotTable6"/>
    <pivotTable tabId="6" name="PivotTable7"/>
    <pivotTable tabId="6" name="PivotTable8"/>
    <pivotTable tabId="6" name="PivotTable9"/>
  </pivotTables>
  <data>
    <tabular pivotCacheId="205647772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Type" xr10:uid="{C2D75A42-EE10-47D7-B831-D77224422310}" sourceName="Test_Type">
  <data>
    <tabular pivotCacheId="2056477722">
      <items count="6">
        <i x="5" s="1"/>
        <i x="4" s="1"/>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6B910DF-5079-4288-8B4A-5AB1EF2470C6}" sourceName="Month">
  <pivotTables>
    <pivotTable tabId="6" name="PivotTable11"/>
    <pivotTable tabId="6" name="PivotTable13"/>
    <pivotTable tabId="6" name="PivotTable14"/>
    <pivotTable tabId="6" name="PivotTable15"/>
    <pivotTable tabId="6" name="PivotTable18"/>
    <pivotTable tabId="6" name="PivotTable6"/>
    <pivotTable tabId="6" name="PivotTable7"/>
    <pivotTable tabId="6" name="PivotTable8"/>
    <pivotTable tabId="6" name="PivotTable5"/>
    <pivotTable tabId="6" name="PivotTable9"/>
    <pivotTable tabId="6" name="PivotTable10"/>
    <pivotTable tabId="6" name="PivotTable16"/>
  </pivotTables>
  <data>
    <tabular pivotCacheId="2056477722">
      <items count="6">
        <i x="3" s="1"/>
        <i x="5" s="1"/>
        <i x="1"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CB38F8-1CA7-43AC-ADAC-E4088C9E9888}" sourceName="Department">
  <pivotTables>
    <pivotTable tabId="6" name="PivotTable11"/>
    <pivotTable tabId="6" name="PivotTable13"/>
    <pivotTable tabId="6" name="PivotTable14"/>
    <pivotTable tabId="6" name="PivotTable15"/>
    <pivotTable tabId="6" name="PivotTable18"/>
    <pivotTable tabId="6" name="PivotTable6"/>
    <pivotTable tabId="6" name="PivotTable7"/>
    <pivotTable tabId="6" name="PivotTable8"/>
    <pivotTable tabId="6" name="PivotTable5"/>
    <pivotTable tabId="6" name="PivotTable9"/>
    <pivotTable tabId="6" name="PivotTable10"/>
    <pivotTable tabId="6" name="PivotTable16"/>
  </pivotTables>
  <data>
    <tabular pivotCacheId="2056477722">
      <items count="5">
        <i x="0" s="1"/>
        <i x="1"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Status" xr10:uid="{E06EDB6A-5D06-4E33-9551-FB12894ACB22}" cache="Slicer_Payment_Status" caption="Payment_Status" showCaption="0" style="SlicerStyleDark5 9" rowHeight="241300"/>
  <slicer name="Test_Type" xr10:uid="{F09879A2-CA3C-441D-9D60-A4545F5D82FD}" cache="Slicer_Test_Type" caption="Test_Type" showCaption="0" style="SlicerStyleDark5 9" rowHeight="241300"/>
  <slicer name="Month" xr10:uid="{B65B33B1-4BBA-43EF-A671-69C8C97CA0E1}" cache="Slicer_Month" caption="Month" showCaption="0" style="SlicerStyleDark5 9" rowHeight="241300"/>
  <slicer name="Department" xr10:uid="{B724ABC9-4CD7-4A2D-A84A-F0AEDDF1037B}" cache="Slicer_Department" caption="Department" showCaption="0" style="SlicerStyleDark5 9"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workbookViewId="0">
      <selection activeCell="D978" sqref="D978"/>
    </sheetView>
  </sheetViews>
  <sheetFormatPr defaultRowHeight="15"/>
  <cols>
    <col min="11" max="11" width="20.8554687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v>67</v>
      </c>
      <c r="E2" t="s">
        <v>28</v>
      </c>
      <c r="F2" t="s">
        <v>29</v>
      </c>
      <c r="G2" t="s">
        <v>30</v>
      </c>
      <c r="H2" t="s">
        <v>31</v>
      </c>
      <c r="I2" t="s">
        <v>32</v>
      </c>
      <c r="J2">
        <v>5</v>
      </c>
      <c r="K2" t="s">
        <v>31</v>
      </c>
      <c r="L2" t="s">
        <v>33</v>
      </c>
      <c r="M2">
        <v>9</v>
      </c>
      <c r="N2" t="s">
        <v>34</v>
      </c>
      <c r="O2" t="s">
        <v>35</v>
      </c>
      <c r="Q2" t="s">
        <v>36</v>
      </c>
      <c r="R2">
        <v>35</v>
      </c>
      <c r="S2" t="s">
        <v>37</v>
      </c>
      <c r="T2" t="s">
        <v>38</v>
      </c>
      <c r="U2">
        <v>1</v>
      </c>
      <c r="V2" t="s">
        <v>39</v>
      </c>
      <c r="W2" t="s">
        <v>40</v>
      </c>
      <c r="X2" t="s">
        <v>41</v>
      </c>
      <c r="Y2" t="s">
        <v>42</v>
      </c>
    </row>
    <row r="3" spans="1:25">
      <c r="A3" t="s">
        <v>43</v>
      </c>
      <c r="B3" t="s">
        <v>44</v>
      </c>
      <c r="C3" t="s">
        <v>27</v>
      </c>
      <c r="D3">
        <v>66</v>
      </c>
      <c r="E3" t="s">
        <v>28</v>
      </c>
      <c r="F3" t="s">
        <v>29</v>
      </c>
      <c r="G3" t="s">
        <v>45</v>
      </c>
      <c r="H3" t="s">
        <v>46</v>
      </c>
      <c r="I3" t="s">
        <v>47</v>
      </c>
      <c r="J3">
        <v>5</v>
      </c>
      <c r="K3" t="s">
        <v>46</v>
      </c>
      <c r="L3" t="s">
        <v>48</v>
      </c>
      <c r="M3">
        <v>13</v>
      </c>
      <c r="N3" t="s">
        <v>34</v>
      </c>
      <c r="O3" t="s">
        <v>35</v>
      </c>
      <c r="Q3" t="s">
        <v>36</v>
      </c>
      <c r="R3">
        <v>35</v>
      </c>
      <c r="S3" t="s">
        <v>49</v>
      </c>
      <c r="T3" t="s">
        <v>50</v>
      </c>
      <c r="U3">
        <v>4</v>
      </c>
      <c r="V3" t="s">
        <v>39</v>
      </c>
      <c r="W3" t="s">
        <v>51</v>
      </c>
      <c r="X3" t="s">
        <v>52</v>
      </c>
      <c r="Y3" t="s">
        <v>53</v>
      </c>
    </row>
    <row r="4" spans="1:25">
      <c r="A4" t="s">
        <v>54</v>
      </c>
      <c r="B4" t="s">
        <v>55</v>
      </c>
      <c r="C4" t="s">
        <v>56</v>
      </c>
      <c r="D4">
        <v>80</v>
      </c>
      <c r="E4" t="s">
        <v>57</v>
      </c>
      <c r="F4" t="s">
        <v>29</v>
      </c>
      <c r="G4" t="s">
        <v>58</v>
      </c>
      <c r="H4" t="s">
        <v>59</v>
      </c>
      <c r="I4" t="s">
        <v>60</v>
      </c>
      <c r="J4">
        <v>3</v>
      </c>
      <c r="K4" t="s">
        <v>59</v>
      </c>
      <c r="L4" t="s">
        <v>61</v>
      </c>
      <c r="M4">
        <v>10</v>
      </c>
      <c r="N4" t="s">
        <v>34</v>
      </c>
      <c r="O4" t="s">
        <v>35</v>
      </c>
      <c r="Q4" t="s">
        <v>36</v>
      </c>
      <c r="R4">
        <v>15</v>
      </c>
      <c r="S4" t="s">
        <v>49</v>
      </c>
      <c r="T4" t="s">
        <v>50</v>
      </c>
      <c r="U4">
        <v>1</v>
      </c>
      <c r="V4" t="s">
        <v>62</v>
      </c>
      <c r="W4" t="s">
        <v>51</v>
      </c>
      <c r="X4" t="s">
        <v>41</v>
      </c>
      <c r="Y4" t="s">
        <v>42</v>
      </c>
    </row>
    <row r="5" spans="1:25">
      <c r="A5" t="s">
        <v>63</v>
      </c>
      <c r="B5" t="s">
        <v>64</v>
      </c>
      <c r="C5" t="s">
        <v>56</v>
      </c>
      <c r="D5">
        <v>21</v>
      </c>
      <c r="E5" t="s">
        <v>28</v>
      </c>
      <c r="F5" t="s">
        <v>29</v>
      </c>
      <c r="G5" t="s">
        <v>30</v>
      </c>
      <c r="H5" t="s">
        <v>65</v>
      </c>
      <c r="I5" t="s">
        <v>66</v>
      </c>
      <c r="J5">
        <v>5</v>
      </c>
      <c r="K5" t="s">
        <v>65</v>
      </c>
      <c r="L5" t="s">
        <v>67</v>
      </c>
      <c r="M5">
        <v>5</v>
      </c>
      <c r="N5" t="s">
        <v>68</v>
      </c>
      <c r="O5" t="s">
        <v>35</v>
      </c>
      <c r="Q5" t="s">
        <v>36</v>
      </c>
      <c r="R5">
        <v>35</v>
      </c>
      <c r="S5" t="s">
        <v>49</v>
      </c>
      <c r="T5" t="s">
        <v>69</v>
      </c>
      <c r="U5">
        <v>4</v>
      </c>
      <c r="V5" t="s">
        <v>70</v>
      </c>
      <c r="W5" t="s">
        <v>51</v>
      </c>
      <c r="X5" t="s">
        <v>41</v>
      </c>
      <c r="Y5" t="s">
        <v>71</v>
      </c>
    </row>
    <row r="6" spans="1:25">
      <c r="A6" t="s">
        <v>72</v>
      </c>
      <c r="B6" t="s">
        <v>73</v>
      </c>
      <c r="C6" t="s">
        <v>27</v>
      </c>
      <c r="D6">
        <v>72</v>
      </c>
      <c r="E6" t="s">
        <v>57</v>
      </c>
      <c r="F6" t="s">
        <v>29</v>
      </c>
      <c r="G6" t="s">
        <v>58</v>
      </c>
      <c r="H6" t="s">
        <v>74</v>
      </c>
      <c r="I6" t="s">
        <v>75</v>
      </c>
      <c r="J6">
        <v>3</v>
      </c>
      <c r="K6" t="s">
        <v>74</v>
      </c>
      <c r="L6" t="s">
        <v>76</v>
      </c>
      <c r="M6">
        <v>7</v>
      </c>
      <c r="N6" t="s">
        <v>34</v>
      </c>
      <c r="O6" t="s">
        <v>35</v>
      </c>
      <c r="Q6" t="s">
        <v>36</v>
      </c>
      <c r="R6">
        <v>15</v>
      </c>
      <c r="S6" t="s">
        <v>77</v>
      </c>
      <c r="T6" t="s">
        <v>38</v>
      </c>
      <c r="U6">
        <v>5</v>
      </c>
      <c r="V6" t="s">
        <v>62</v>
      </c>
      <c r="W6" t="s">
        <v>51</v>
      </c>
      <c r="X6" t="s">
        <v>52</v>
      </c>
      <c r="Y6" t="s">
        <v>42</v>
      </c>
    </row>
    <row r="7" spans="1:25">
      <c r="A7" t="s">
        <v>78</v>
      </c>
      <c r="B7" t="s">
        <v>79</v>
      </c>
      <c r="C7" t="s">
        <v>80</v>
      </c>
      <c r="D7">
        <v>63</v>
      </c>
      <c r="E7" t="s">
        <v>81</v>
      </c>
      <c r="F7" t="s">
        <v>82</v>
      </c>
      <c r="G7" t="s">
        <v>83</v>
      </c>
      <c r="H7" t="s">
        <v>84</v>
      </c>
      <c r="I7" t="s">
        <v>85</v>
      </c>
      <c r="J7">
        <v>8</v>
      </c>
      <c r="K7" t="s">
        <v>86</v>
      </c>
      <c r="L7" t="s">
        <v>87</v>
      </c>
      <c r="M7">
        <v>14</v>
      </c>
      <c r="N7" t="s">
        <v>34</v>
      </c>
      <c r="O7" t="s">
        <v>35</v>
      </c>
      <c r="Q7" t="s">
        <v>36</v>
      </c>
      <c r="R7">
        <v>20</v>
      </c>
      <c r="S7" t="s">
        <v>37</v>
      </c>
      <c r="T7" t="s">
        <v>88</v>
      </c>
      <c r="U7">
        <v>1</v>
      </c>
      <c r="V7" t="s">
        <v>89</v>
      </c>
      <c r="W7" t="s">
        <v>51</v>
      </c>
      <c r="X7" t="s">
        <v>52</v>
      </c>
      <c r="Y7" t="s">
        <v>53</v>
      </c>
    </row>
    <row r="8" spans="1:25">
      <c r="A8" t="s">
        <v>90</v>
      </c>
      <c r="B8" t="s">
        <v>91</v>
      </c>
      <c r="C8" t="s">
        <v>56</v>
      </c>
      <c r="D8">
        <v>1</v>
      </c>
      <c r="E8" t="s">
        <v>92</v>
      </c>
      <c r="F8" t="s">
        <v>29</v>
      </c>
      <c r="G8" t="s">
        <v>93</v>
      </c>
      <c r="H8" t="s">
        <v>59</v>
      </c>
      <c r="I8" t="s">
        <v>94</v>
      </c>
      <c r="J8">
        <v>24</v>
      </c>
      <c r="K8" t="s">
        <v>95</v>
      </c>
      <c r="L8" t="s">
        <v>94</v>
      </c>
      <c r="M8">
        <v>24</v>
      </c>
      <c r="N8" t="s">
        <v>68</v>
      </c>
      <c r="O8" t="s">
        <v>35</v>
      </c>
      <c r="Q8" t="s">
        <v>36</v>
      </c>
      <c r="R8">
        <v>50</v>
      </c>
      <c r="S8" t="s">
        <v>37</v>
      </c>
      <c r="T8" t="s">
        <v>96</v>
      </c>
      <c r="U8">
        <v>5</v>
      </c>
      <c r="V8" t="s">
        <v>89</v>
      </c>
      <c r="W8" t="s">
        <v>51</v>
      </c>
      <c r="X8" t="s">
        <v>52</v>
      </c>
      <c r="Y8" t="s">
        <v>71</v>
      </c>
    </row>
    <row r="9" spans="1:25">
      <c r="A9" t="s">
        <v>97</v>
      </c>
      <c r="B9" t="s">
        <v>98</v>
      </c>
      <c r="C9" t="s">
        <v>80</v>
      </c>
      <c r="D9">
        <v>62</v>
      </c>
      <c r="E9" t="s">
        <v>81</v>
      </c>
      <c r="F9" t="s">
        <v>82</v>
      </c>
      <c r="G9" t="s">
        <v>83</v>
      </c>
      <c r="H9" t="s">
        <v>99</v>
      </c>
      <c r="I9" t="s">
        <v>100</v>
      </c>
      <c r="J9">
        <v>8</v>
      </c>
      <c r="K9" t="s">
        <v>101</v>
      </c>
      <c r="L9" t="s">
        <v>102</v>
      </c>
      <c r="M9">
        <v>13</v>
      </c>
      <c r="N9" t="s">
        <v>34</v>
      </c>
      <c r="O9" t="s">
        <v>35</v>
      </c>
      <c r="Q9" t="s">
        <v>36</v>
      </c>
      <c r="R9">
        <v>20</v>
      </c>
      <c r="S9" t="s">
        <v>37</v>
      </c>
      <c r="T9" t="s">
        <v>69</v>
      </c>
      <c r="U9">
        <v>3</v>
      </c>
      <c r="V9" t="s">
        <v>89</v>
      </c>
      <c r="W9" t="s">
        <v>103</v>
      </c>
      <c r="X9" t="s">
        <v>52</v>
      </c>
      <c r="Y9" t="s">
        <v>71</v>
      </c>
    </row>
    <row r="10" spans="1:25">
      <c r="A10" t="s">
        <v>104</v>
      </c>
      <c r="B10" t="s">
        <v>105</v>
      </c>
      <c r="C10" t="s">
        <v>56</v>
      </c>
      <c r="D10">
        <v>71</v>
      </c>
      <c r="E10" t="s">
        <v>57</v>
      </c>
      <c r="F10" t="s">
        <v>29</v>
      </c>
      <c r="G10" t="s">
        <v>58</v>
      </c>
      <c r="H10" t="s">
        <v>106</v>
      </c>
      <c r="I10" t="s">
        <v>107</v>
      </c>
      <c r="J10">
        <v>3</v>
      </c>
      <c r="K10" t="s">
        <v>106</v>
      </c>
      <c r="L10" t="s">
        <v>108</v>
      </c>
      <c r="M10">
        <v>4</v>
      </c>
      <c r="N10" t="s">
        <v>34</v>
      </c>
      <c r="O10" t="s">
        <v>35</v>
      </c>
      <c r="Q10" t="s">
        <v>36</v>
      </c>
      <c r="R10">
        <v>15</v>
      </c>
      <c r="S10" t="s">
        <v>37</v>
      </c>
      <c r="T10" t="s">
        <v>88</v>
      </c>
      <c r="U10">
        <v>2</v>
      </c>
      <c r="V10" t="s">
        <v>70</v>
      </c>
      <c r="W10" t="s">
        <v>40</v>
      </c>
      <c r="X10" t="s">
        <v>109</v>
      </c>
      <c r="Y10" t="s">
        <v>53</v>
      </c>
    </row>
    <row r="11" spans="1:25">
      <c r="A11" t="s">
        <v>110</v>
      </c>
      <c r="B11" t="s">
        <v>111</v>
      </c>
      <c r="C11" t="s">
        <v>56</v>
      </c>
      <c r="D11">
        <v>87</v>
      </c>
      <c r="E11" t="s">
        <v>92</v>
      </c>
      <c r="F11" t="s">
        <v>29</v>
      </c>
      <c r="G11" t="s">
        <v>45</v>
      </c>
      <c r="H11" t="s">
        <v>112</v>
      </c>
      <c r="I11" t="s">
        <v>113</v>
      </c>
      <c r="J11">
        <v>24</v>
      </c>
      <c r="K11" t="s">
        <v>114</v>
      </c>
      <c r="L11" t="s">
        <v>115</v>
      </c>
      <c r="M11">
        <v>32</v>
      </c>
      <c r="N11" t="s">
        <v>34</v>
      </c>
      <c r="O11" t="s">
        <v>35</v>
      </c>
      <c r="Q11" t="s">
        <v>36</v>
      </c>
      <c r="R11">
        <v>50</v>
      </c>
      <c r="S11" t="s">
        <v>49</v>
      </c>
      <c r="T11" t="s">
        <v>69</v>
      </c>
      <c r="U11">
        <v>3</v>
      </c>
      <c r="V11" t="s">
        <v>62</v>
      </c>
      <c r="W11" t="s">
        <v>103</v>
      </c>
      <c r="X11" t="s">
        <v>52</v>
      </c>
      <c r="Y11" t="s">
        <v>53</v>
      </c>
    </row>
    <row r="12" spans="1:25">
      <c r="A12" t="s">
        <v>116</v>
      </c>
      <c r="B12" t="s">
        <v>117</v>
      </c>
      <c r="C12" t="s">
        <v>27</v>
      </c>
      <c r="D12">
        <v>3</v>
      </c>
      <c r="E12" t="s">
        <v>28</v>
      </c>
      <c r="F12" t="s">
        <v>29</v>
      </c>
      <c r="G12" t="s">
        <v>30</v>
      </c>
      <c r="H12" t="s">
        <v>118</v>
      </c>
      <c r="I12" t="s">
        <v>119</v>
      </c>
      <c r="J12">
        <v>5</v>
      </c>
      <c r="K12" t="s">
        <v>118</v>
      </c>
      <c r="L12" t="s">
        <v>120</v>
      </c>
      <c r="M12">
        <v>11</v>
      </c>
      <c r="N12" t="s">
        <v>34</v>
      </c>
      <c r="O12" t="s">
        <v>35</v>
      </c>
      <c r="Q12" t="s">
        <v>36</v>
      </c>
      <c r="R12">
        <v>35</v>
      </c>
      <c r="S12" t="s">
        <v>37</v>
      </c>
      <c r="T12" t="s">
        <v>38</v>
      </c>
      <c r="U12">
        <v>3</v>
      </c>
      <c r="V12" t="s">
        <v>70</v>
      </c>
      <c r="W12" t="s">
        <v>51</v>
      </c>
      <c r="X12" t="s">
        <v>52</v>
      </c>
      <c r="Y12" t="s">
        <v>42</v>
      </c>
    </row>
    <row r="13" spans="1:25">
      <c r="A13" t="s">
        <v>121</v>
      </c>
      <c r="B13" t="s">
        <v>122</v>
      </c>
      <c r="C13" t="s">
        <v>27</v>
      </c>
      <c r="D13">
        <v>46</v>
      </c>
      <c r="E13" t="s">
        <v>81</v>
      </c>
      <c r="F13" t="s">
        <v>82</v>
      </c>
      <c r="G13" t="s">
        <v>83</v>
      </c>
      <c r="H13" t="s">
        <v>123</v>
      </c>
      <c r="I13" t="s">
        <v>124</v>
      </c>
      <c r="J13">
        <v>8</v>
      </c>
      <c r="K13" t="s">
        <v>123</v>
      </c>
      <c r="L13" t="s">
        <v>125</v>
      </c>
      <c r="M13">
        <v>7</v>
      </c>
      <c r="N13" t="s">
        <v>68</v>
      </c>
      <c r="O13" t="s">
        <v>35</v>
      </c>
      <c r="Q13" t="s">
        <v>36</v>
      </c>
      <c r="R13">
        <v>20</v>
      </c>
      <c r="S13" t="s">
        <v>49</v>
      </c>
      <c r="T13" t="s">
        <v>88</v>
      </c>
      <c r="U13">
        <v>1</v>
      </c>
      <c r="V13" t="s">
        <v>39</v>
      </c>
      <c r="W13" t="s">
        <v>103</v>
      </c>
      <c r="X13" t="s">
        <v>109</v>
      </c>
      <c r="Y13" t="s">
        <v>53</v>
      </c>
    </row>
    <row r="14" spans="1:25">
      <c r="A14" t="s">
        <v>126</v>
      </c>
      <c r="B14" t="s">
        <v>127</v>
      </c>
      <c r="C14" t="s">
        <v>56</v>
      </c>
      <c r="D14">
        <v>39</v>
      </c>
      <c r="E14" t="s">
        <v>92</v>
      </c>
      <c r="F14" t="s">
        <v>29</v>
      </c>
      <c r="G14" t="s">
        <v>83</v>
      </c>
      <c r="H14" t="s">
        <v>128</v>
      </c>
      <c r="I14" t="s">
        <v>129</v>
      </c>
      <c r="J14">
        <v>24</v>
      </c>
      <c r="K14" t="s">
        <v>130</v>
      </c>
      <c r="L14" t="s">
        <v>131</v>
      </c>
      <c r="M14">
        <v>31</v>
      </c>
      <c r="N14" t="s">
        <v>34</v>
      </c>
      <c r="O14" t="s">
        <v>35</v>
      </c>
      <c r="Q14" t="s">
        <v>132</v>
      </c>
      <c r="R14">
        <v>50</v>
      </c>
      <c r="S14" t="s">
        <v>77</v>
      </c>
      <c r="T14" t="s">
        <v>38</v>
      </c>
      <c r="U14">
        <v>1</v>
      </c>
      <c r="V14" t="s">
        <v>89</v>
      </c>
      <c r="W14" t="s">
        <v>40</v>
      </c>
      <c r="X14" t="s">
        <v>41</v>
      </c>
      <c r="Y14" t="s">
        <v>53</v>
      </c>
    </row>
    <row r="15" spans="1:25">
      <c r="A15" t="s">
        <v>133</v>
      </c>
      <c r="B15" t="s">
        <v>134</v>
      </c>
      <c r="C15" t="s">
        <v>27</v>
      </c>
      <c r="D15">
        <v>20</v>
      </c>
      <c r="E15" t="s">
        <v>57</v>
      </c>
      <c r="F15" t="s">
        <v>29</v>
      </c>
      <c r="G15" t="s">
        <v>58</v>
      </c>
      <c r="H15" t="s">
        <v>135</v>
      </c>
      <c r="I15" t="s">
        <v>136</v>
      </c>
      <c r="J15">
        <v>3</v>
      </c>
      <c r="K15" t="s">
        <v>135</v>
      </c>
      <c r="L15" t="s">
        <v>137</v>
      </c>
      <c r="M15">
        <v>7</v>
      </c>
      <c r="N15" t="s">
        <v>34</v>
      </c>
      <c r="O15" t="s">
        <v>35</v>
      </c>
      <c r="Q15" t="s">
        <v>36</v>
      </c>
      <c r="R15">
        <v>15</v>
      </c>
      <c r="S15" t="s">
        <v>37</v>
      </c>
      <c r="T15" t="s">
        <v>96</v>
      </c>
      <c r="U15">
        <v>4</v>
      </c>
      <c r="V15" t="s">
        <v>89</v>
      </c>
      <c r="W15" t="s">
        <v>103</v>
      </c>
      <c r="X15" t="s">
        <v>52</v>
      </c>
      <c r="Y15" t="s">
        <v>42</v>
      </c>
    </row>
    <row r="16" spans="1:25">
      <c r="A16" t="s">
        <v>138</v>
      </c>
      <c r="B16" t="s">
        <v>139</v>
      </c>
      <c r="C16" t="s">
        <v>27</v>
      </c>
      <c r="D16">
        <v>66</v>
      </c>
      <c r="E16" t="s">
        <v>92</v>
      </c>
      <c r="F16" t="s">
        <v>29</v>
      </c>
      <c r="G16" t="s">
        <v>93</v>
      </c>
      <c r="H16" t="s">
        <v>123</v>
      </c>
      <c r="I16" t="s">
        <v>140</v>
      </c>
      <c r="J16">
        <v>24</v>
      </c>
      <c r="K16" t="s">
        <v>141</v>
      </c>
      <c r="L16" t="s">
        <v>142</v>
      </c>
      <c r="M16">
        <v>29</v>
      </c>
      <c r="N16" t="s">
        <v>34</v>
      </c>
      <c r="O16" t="s">
        <v>35</v>
      </c>
      <c r="Q16" t="s">
        <v>36</v>
      </c>
      <c r="R16">
        <v>50</v>
      </c>
      <c r="S16" t="s">
        <v>49</v>
      </c>
      <c r="T16" t="s">
        <v>50</v>
      </c>
      <c r="U16">
        <v>1</v>
      </c>
      <c r="V16" t="s">
        <v>62</v>
      </c>
      <c r="W16" t="s">
        <v>40</v>
      </c>
      <c r="X16" t="s">
        <v>52</v>
      </c>
      <c r="Y16" t="s">
        <v>71</v>
      </c>
    </row>
    <row r="17" spans="1:25">
      <c r="A17" t="s">
        <v>143</v>
      </c>
      <c r="B17" t="s">
        <v>144</v>
      </c>
      <c r="C17" t="s">
        <v>80</v>
      </c>
      <c r="D17">
        <v>87</v>
      </c>
      <c r="E17" t="s">
        <v>81</v>
      </c>
      <c r="F17" t="s">
        <v>82</v>
      </c>
      <c r="G17" t="s">
        <v>93</v>
      </c>
      <c r="H17" t="s">
        <v>106</v>
      </c>
      <c r="I17" t="s">
        <v>145</v>
      </c>
      <c r="J17">
        <v>8</v>
      </c>
      <c r="K17" t="s">
        <v>106</v>
      </c>
      <c r="L17" t="s">
        <v>146</v>
      </c>
      <c r="M17">
        <v>14</v>
      </c>
      <c r="N17" t="s">
        <v>34</v>
      </c>
      <c r="O17" t="s">
        <v>35</v>
      </c>
      <c r="Q17" t="s">
        <v>36</v>
      </c>
      <c r="R17">
        <v>20</v>
      </c>
      <c r="S17" t="s">
        <v>49</v>
      </c>
      <c r="T17" t="s">
        <v>96</v>
      </c>
      <c r="U17">
        <v>3</v>
      </c>
      <c r="V17" t="s">
        <v>39</v>
      </c>
      <c r="W17" t="s">
        <v>51</v>
      </c>
      <c r="X17" t="s">
        <v>41</v>
      </c>
      <c r="Y17" t="s">
        <v>71</v>
      </c>
    </row>
    <row r="18" spans="1:25">
      <c r="A18" t="s">
        <v>147</v>
      </c>
      <c r="B18" t="s">
        <v>148</v>
      </c>
      <c r="C18" t="s">
        <v>56</v>
      </c>
      <c r="D18">
        <v>77</v>
      </c>
      <c r="E18" t="s">
        <v>149</v>
      </c>
      <c r="F18" t="s">
        <v>29</v>
      </c>
      <c r="G18" t="s">
        <v>150</v>
      </c>
      <c r="H18" t="s">
        <v>151</v>
      </c>
      <c r="I18" t="s">
        <v>152</v>
      </c>
      <c r="J18">
        <v>6</v>
      </c>
      <c r="K18" t="s">
        <v>153</v>
      </c>
      <c r="L18" t="s">
        <v>154</v>
      </c>
      <c r="M18">
        <v>9</v>
      </c>
      <c r="N18" t="s">
        <v>34</v>
      </c>
      <c r="O18" t="s">
        <v>35</v>
      </c>
      <c r="Q18" t="s">
        <v>36</v>
      </c>
      <c r="R18">
        <v>40</v>
      </c>
      <c r="S18" t="s">
        <v>49</v>
      </c>
      <c r="T18" t="s">
        <v>69</v>
      </c>
      <c r="U18">
        <v>3</v>
      </c>
      <c r="V18" t="s">
        <v>89</v>
      </c>
      <c r="W18" t="s">
        <v>51</v>
      </c>
      <c r="X18" t="s">
        <v>52</v>
      </c>
      <c r="Y18" t="s">
        <v>42</v>
      </c>
    </row>
    <row r="19" spans="1:25">
      <c r="A19" t="s">
        <v>155</v>
      </c>
      <c r="B19" t="s">
        <v>156</v>
      </c>
      <c r="C19" t="s">
        <v>56</v>
      </c>
      <c r="D19">
        <v>5</v>
      </c>
      <c r="E19" t="s">
        <v>81</v>
      </c>
      <c r="F19" t="s">
        <v>82</v>
      </c>
      <c r="G19" t="s">
        <v>45</v>
      </c>
      <c r="H19" t="s">
        <v>151</v>
      </c>
      <c r="I19" t="s">
        <v>157</v>
      </c>
      <c r="J19">
        <v>8</v>
      </c>
      <c r="K19" t="s">
        <v>153</v>
      </c>
      <c r="L19" t="s">
        <v>158</v>
      </c>
      <c r="M19">
        <v>13</v>
      </c>
      <c r="N19" t="s">
        <v>34</v>
      </c>
      <c r="O19" t="s">
        <v>35</v>
      </c>
      <c r="Q19" t="s">
        <v>36</v>
      </c>
      <c r="R19">
        <v>20</v>
      </c>
      <c r="S19" t="s">
        <v>49</v>
      </c>
      <c r="T19" t="s">
        <v>38</v>
      </c>
      <c r="U19">
        <v>2</v>
      </c>
      <c r="V19" t="s">
        <v>70</v>
      </c>
      <c r="W19" t="s">
        <v>103</v>
      </c>
      <c r="X19" t="s">
        <v>52</v>
      </c>
      <c r="Y19" t="s">
        <v>71</v>
      </c>
    </row>
    <row r="20" spans="1:25">
      <c r="A20" t="s">
        <v>159</v>
      </c>
      <c r="B20" t="s">
        <v>160</v>
      </c>
      <c r="C20" t="s">
        <v>80</v>
      </c>
      <c r="D20">
        <v>59</v>
      </c>
      <c r="E20" t="s">
        <v>81</v>
      </c>
      <c r="F20" t="s">
        <v>82</v>
      </c>
      <c r="G20" t="s">
        <v>30</v>
      </c>
      <c r="H20" t="s">
        <v>161</v>
      </c>
      <c r="I20" t="s">
        <v>162</v>
      </c>
      <c r="J20">
        <v>8</v>
      </c>
      <c r="K20" t="s">
        <v>161</v>
      </c>
      <c r="L20" t="s">
        <v>163</v>
      </c>
      <c r="M20">
        <v>8</v>
      </c>
      <c r="N20" t="s">
        <v>68</v>
      </c>
      <c r="O20" t="s">
        <v>35</v>
      </c>
      <c r="Q20" t="s">
        <v>36</v>
      </c>
      <c r="R20">
        <v>20</v>
      </c>
      <c r="S20" t="s">
        <v>37</v>
      </c>
      <c r="T20" t="s">
        <v>164</v>
      </c>
      <c r="U20">
        <v>2</v>
      </c>
      <c r="V20" t="s">
        <v>39</v>
      </c>
      <c r="W20" t="s">
        <v>165</v>
      </c>
      <c r="X20" t="s">
        <v>41</v>
      </c>
      <c r="Y20" t="s">
        <v>42</v>
      </c>
    </row>
    <row r="21" spans="1:25">
      <c r="A21" t="s">
        <v>166</v>
      </c>
      <c r="B21" t="s">
        <v>167</v>
      </c>
      <c r="C21" t="s">
        <v>80</v>
      </c>
      <c r="D21">
        <v>14</v>
      </c>
      <c r="E21" t="s">
        <v>149</v>
      </c>
      <c r="F21" t="s">
        <v>29</v>
      </c>
      <c r="G21" t="s">
        <v>168</v>
      </c>
      <c r="H21" t="s">
        <v>112</v>
      </c>
      <c r="I21" t="s">
        <v>169</v>
      </c>
      <c r="J21">
        <v>6</v>
      </c>
      <c r="K21" t="s">
        <v>112</v>
      </c>
      <c r="L21" t="s">
        <v>170</v>
      </c>
      <c r="M21">
        <v>10</v>
      </c>
      <c r="N21" t="s">
        <v>34</v>
      </c>
      <c r="O21" t="s">
        <v>35</v>
      </c>
      <c r="Q21" t="s">
        <v>36</v>
      </c>
      <c r="R21">
        <v>40</v>
      </c>
      <c r="S21" t="s">
        <v>37</v>
      </c>
      <c r="T21" t="s">
        <v>69</v>
      </c>
      <c r="U21">
        <v>2</v>
      </c>
      <c r="V21" t="s">
        <v>39</v>
      </c>
      <c r="W21" t="s">
        <v>51</v>
      </c>
      <c r="X21" t="s">
        <v>52</v>
      </c>
      <c r="Y21" t="s">
        <v>42</v>
      </c>
    </row>
    <row r="22" spans="1:25">
      <c r="A22" t="s">
        <v>171</v>
      </c>
      <c r="B22" t="s">
        <v>172</v>
      </c>
      <c r="C22" t="s">
        <v>56</v>
      </c>
      <c r="D22">
        <v>89</v>
      </c>
      <c r="E22" t="s">
        <v>173</v>
      </c>
      <c r="F22" t="s">
        <v>29</v>
      </c>
      <c r="G22" t="s">
        <v>168</v>
      </c>
      <c r="H22" t="s">
        <v>174</v>
      </c>
      <c r="I22" t="s">
        <v>175</v>
      </c>
      <c r="J22">
        <v>4</v>
      </c>
      <c r="K22" t="s">
        <v>174</v>
      </c>
      <c r="L22" t="s">
        <v>176</v>
      </c>
      <c r="M22">
        <v>9</v>
      </c>
      <c r="N22" t="s">
        <v>34</v>
      </c>
      <c r="O22" t="s">
        <v>35</v>
      </c>
      <c r="Q22" t="s">
        <v>36</v>
      </c>
      <c r="R22">
        <v>25</v>
      </c>
      <c r="S22" t="s">
        <v>37</v>
      </c>
      <c r="T22" t="s">
        <v>164</v>
      </c>
      <c r="U22">
        <v>1</v>
      </c>
      <c r="V22" t="s">
        <v>89</v>
      </c>
      <c r="W22" t="s">
        <v>40</v>
      </c>
      <c r="X22" t="s">
        <v>41</v>
      </c>
      <c r="Y22" t="s">
        <v>42</v>
      </c>
    </row>
    <row r="23" spans="1:25">
      <c r="A23" t="s">
        <v>177</v>
      </c>
      <c r="B23" t="s">
        <v>178</v>
      </c>
      <c r="C23" t="s">
        <v>56</v>
      </c>
      <c r="D23">
        <v>86</v>
      </c>
      <c r="E23" t="s">
        <v>173</v>
      </c>
      <c r="F23" t="s">
        <v>29</v>
      </c>
      <c r="G23" t="s">
        <v>168</v>
      </c>
      <c r="H23" t="s">
        <v>179</v>
      </c>
      <c r="I23" t="s">
        <v>180</v>
      </c>
      <c r="J23">
        <v>4</v>
      </c>
      <c r="K23" t="s">
        <v>179</v>
      </c>
      <c r="L23" t="s">
        <v>181</v>
      </c>
      <c r="M23">
        <v>12</v>
      </c>
      <c r="N23" t="s">
        <v>34</v>
      </c>
      <c r="O23" t="s">
        <v>35</v>
      </c>
      <c r="Q23" t="s">
        <v>36</v>
      </c>
      <c r="R23">
        <v>25</v>
      </c>
      <c r="S23" t="s">
        <v>77</v>
      </c>
      <c r="T23" t="s">
        <v>96</v>
      </c>
      <c r="U23">
        <v>4</v>
      </c>
      <c r="V23" t="s">
        <v>62</v>
      </c>
      <c r="W23" t="s">
        <v>165</v>
      </c>
      <c r="X23" t="s">
        <v>52</v>
      </c>
      <c r="Y23" t="s">
        <v>42</v>
      </c>
    </row>
    <row r="24" spans="1:25">
      <c r="A24" t="s">
        <v>182</v>
      </c>
      <c r="B24" t="s">
        <v>183</v>
      </c>
      <c r="C24" t="s">
        <v>27</v>
      </c>
      <c r="D24">
        <v>25</v>
      </c>
      <c r="E24" t="s">
        <v>173</v>
      </c>
      <c r="F24" t="s">
        <v>29</v>
      </c>
      <c r="G24" t="s">
        <v>58</v>
      </c>
      <c r="H24" t="s">
        <v>184</v>
      </c>
      <c r="I24" t="s">
        <v>185</v>
      </c>
      <c r="J24">
        <v>4</v>
      </c>
      <c r="K24" t="s">
        <v>184</v>
      </c>
      <c r="L24" t="s">
        <v>186</v>
      </c>
      <c r="M24">
        <v>12</v>
      </c>
      <c r="N24" t="s">
        <v>34</v>
      </c>
      <c r="O24" t="s">
        <v>35</v>
      </c>
      <c r="Q24" t="s">
        <v>36</v>
      </c>
      <c r="R24">
        <v>25</v>
      </c>
      <c r="S24" t="s">
        <v>37</v>
      </c>
      <c r="T24" t="s">
        <v>69</v>
      </c>
      <c r="U24">
        <v>1</v>
      </c>
      <c r="V24" t="s">
        <v>70</v>
      </c>
      <c r="W24" t="s">
        <v>103</v>
      </c>
      <c r="X24" t="s">
        <v>109</v>
      </c>
      <c r="Y24" t="s">
        <v>53</v>
      </c>
    </row>
    <row r="25" spans="1:25">
      <c r="A25" t="s">
        <v>187</v>
      </c>
      <c r="B25" t="s">
        <v>188</v>
      </c>
      <c r="C25" t="s">
        <v>27</v>
      </c>
      <c r="D25">
        <v>20</v>
      </c>
      <c r="E25" t="s">
        <v>57</v>
      </c>
      <c r="F25" t="s">
        <v>29</v>
      </c>
      <c r="G25" t="s">
        <v>93</v>
      </c>
      <c r="H25" t="s">
        <v>189</v>
      </c>
      <c r="I25" t="s">
        <v>190</v>
      </c>
      <c r="J25">
        <v>3</v>
      </c>
      <c r="K25" t="s">
        <v>189</v>
      </c>
      <c r="L25" t="s">
        <v>191</v>
      </c>
      <c r="M25">
        <v>9</v>
      </c>
      <c r="N25" t="s">
        <v>34</v>
      </c>
      <c r="O25" t="s">
        <v>35</v>
      </c>
      <c r="Q25" t="s">
        <v>36</v>
      </c>
      <c r="R25">
        <v>15</v>
      </c>
      <c r="S25" t="s">
        <v>49</v>
      </c>
      <c r="T25" t="s">
        <v>88</v>
      </c>
      <c r="U25">
        <v>3</v>
      </c>
      <c r="V25" t="s">
        <v>62</v>
      </c>
      <c r="W25" t="s">
        <v>165</v>
      </c>
      <c r="X25" t="s">
        <v>109</v>
      </c>
      <c r="Y25" t="s">
        <v>42</v>
      </c>
    </row>
    <row r="26" spans="1:25">
      <c r="A26" t="s">
        <v>192</v>
      </c>
      <c r="B26" t="s">
        <v>193</v>
      </c>
      <c r="C26" t="s">
        <v>80</v>
      </c>
      <c r="D26">
        <v>43</v>
      </c>
      <c r="E26" t="s">
        <v>57</v>
      </c>
      <c r="F26" t="s">
        <v>29</v>
      </c>
      <c r="G26" t="s">
        <v>45</v>
      </c>
      <c r="H26" t="s">
        <v>194</v>
      </c>
      <c r="I26" t="s">
        <v>195</v>
      </c>
      <c r="J26">
        <v>3</v>
      </c>
      <c r="K26" t="s">
        <v>194</v>
      </c>
      <c r="L26" t="s">
        <v>196</v>
      </c>
      <c r="M26">
        <v>4</v>
      </c>
      <c r="N26" t="s">
        <v>34</v>
      </c>
      <c r="O26" t="s">
        <v>35</v>
      </c>
      <c r="Q26" t="s">
        <v>36</v>
      </c>
      <c r="R26">
        <v>15</v>
      </c>
      <c r="S26" t="s">
        <v>49</v>
      </c>
      <c r="T26" t="s">
        <v>38</v>
      </c>
      <c r="U26">
        <v>3</v>
      </c>
      <c r="V26" t="s">
        <v>62</v>
      </c>
      <c r="W26" t="s">
        <v>103</v>
      </c>
      <c r="X26" t="s">
        <v>52</v>
      </c>
      <c r="Y26" t="s">
        <v>42</v>
      </c>
    </row>
    <row r="27" spans="1:25">
      <c r="A27" t="s">
        <v>197</v>
      </c>
      <c r="B27" t="s">
        <v>198</v>
      </c>
      <c r="C27" t="s">
        <v>56</v>
      </c>
      <c r="D27">
        <v>53</v>
      </c>
      <c r="E27" t="s">
        <v>173</v>
      </c>
      <c r="F27" t="s">
        <v>29</v>
      </c>
      <c r="G27" t="s">
        <v>168</v>
      </c>
      <c r="H27" t="s">
        <v>199</v>
      </c>
      <c r="I27" t="s">
        <v>200</v>
      </c>
      <c r="J27">
        <v>4</v>
      </c>
      <c r="K27" t="s">
        <v>194</v>
      </c>
      <c r="L27" t="s">
        <v>201</v>
      </c>
      <c r="M27">
        <v>12</v>
      </c>
      <c r="N27" t="s">
        <v>34</v>
      </c>
      <c r="O27" t="s">
        <v>35</v>
      </c>
      <c r="Q27" t="s">
        <v>36</v>
      </c>
      <c r="R27">
        <v>25</v>
      </c>
      <c r="S27" t="s">
        <v>49</v>
      </c>
      <c r="T27" t="s">
        <v>96</v>
      </c>
      <c r="U27">
        <v>5</v>
      </c>
      <c r="V27" t="s">
        <v>70</v>
      </c>
      <c r="W27" t="s">
        <v>51</v>
      </c>
      <c r="X27" t="s">
        <v>52</v>
      </c>
      <c r="Y27" t="s">
        <v>71</v>
      </c>
    </row>
    <row r="28" spans="1:25">
      <c r="A28" t="s">
        <v>202</v>
      </c>
      <c r="B28" t="s">
        <v>203</v>
      </c>
      <c r="C28" t="s">
        <v>204</v>
      </c>
      <c r="D28">
        <v>50</v>
      </c>
      <c r="E28" t="s">
        <v>149</v>
      </c>
      <c r="F28" t="s">
        <v>29</v>
      </c>
      <c r="G28" t="s">
        <v>30</v>
      </c>
      <c r="H28" t="s">
        <v>205</v>
      </c>
      <c r="I28" t="s">
        <v>206</v>
      </c>
      <c r="J28">
        <v>6</v>
      </c>
      <c r="K28" t="s">
        <v>207</v>
      </c>
      <c r="L28" t="s">
        <v>208</v>
      </c>
      <c r="M28">
        <v>13</v>
      </c>
      <c r="N28" t="s">
        <v>34</v>
      </c>
      <c r="O28" t="s">
        <v>35</v>
      </c>
      <c r="Q28" t="s">
        <v>36</v>
      </c>
      <c r="R28">
        <v>40</v>
      </c>
      <c r="S28" t="s">
        <v>77</v>
      </c>
      <c r="T28" t="s">
        <v>88</v>
      </c>
      <c r="U28">
        <v>3</v>
      </c>
      <c r="V28" t="s">
        <v>39</v>
      </c>
      <c r="W28" t="s">
        <v>40</v>
      </c>
      <c r="X28" t="s">
        <v>52</v>
      </c>
      <c r="Y28" t="s">
        <v>71</v>
      </c>
    </row>
    <row r="29" spans="1:25">
      <c r="A29" t="s">
        <v>209</v>
      </c>
      <c r="B29" t="s">
        <v>210</v>
      </c>
      <c r="C29" t="s">
        <v>56</v>
      </c>
      <c r="D29">
        <v>53</v>
      </c>
      <c r="E29" t="s">
        <v>92</v>
      </c>
      <c r="F29" t="s">
        <v>29</v>
      </c>
      <c r="G29" t="s">
        <v>93</v>
      </c>
      <c r="H29" t="s">
        <v>211</v>
      </c>
      <c r="I29" t="s">
        <v>212</v>
      </c>
      <c r="J29">
        <v>24</v>
      </c>
      <c r="K29" t="s">
        <v>213</v>
      </c>
      <c r="L29" t="s">
        <v>214</v>
      </c>
      <c r="M29">
        <v>28</v>
      </c>
      <c r="N29" t="s">
        <v>34</v>
      </c>
      <c r="O29" t="s">
        <v>35</v>
      </c>
      <c r="Q29" t="s">
        <v>36</v>
      </c>
      <c r="R29">
        <v>50</v>
      </c>
      <c r="S29" t="s">
        <v>37</v>
      </c>
      <c r="T29" t="s">
        <v>50</v>
      </c>
      <c r="U29">
        <v>1</v>
      </c>
      <c r="V29" t="s">
        <v>70</v>
      </c>
      <c r="W29" t="s">
        <v>40</v>
      </c>
      <c r="X29" t="s">
        <v>109</v>
      </c>
      <c r="Y29" t="s">
        <v>53</v>
      </c>
    </row>
    <row r="30" spans="1:25">
      <c r="A30" t="s">
        <v>215</v>
      </c>
      <c r="B30" t="s">
        <v>216</v>
      </c>
      <c r="C30" t="s">
        <v>204</v>
      </c>
      <c r="D30">
        <v>90</v>
      </c>
      <c r="E30" t="s">
        <v>149</v>
      </c>
      <c r="F30" t="s">
        <v>29</v>
      </c>
      <c r="G30" t="s">
        <v>30</v>
      </c>
      <c r="H30" t="s">
        <v>217</v>
      </c>
      <c r="I30" t="s">
        <v>218</v>
      </c>
      <c r="J30">
        <v>6</v>
      </c>
      <c r="K30" t="s">
        <v>217</v>
      </c>
      <c r="L30" t="s">
        <v>219</v>
      </c>
      <c r="M30">
        <v>9</v>
      </c>
      <c r="N30" t="s">
        <v>34</v>
      </c>
      <c r="O30" t="s">
        <v>35</v>
      </c>
      <c r="Q30" t="s">
        <v>36</v>
      </c>
      <c r="R30">
        <v>40</v>
      </c>
      <c r="S30" t="s">
        <v>77</v>
      </c>
      <c r="T30" t="s">
        <v>69</v>
      </c>
      <c r="U30">
        <v>3</v>
      </c>
      <c r="V30" t="s">
        <v>89</v>
      </c>
      <c r="W30" t="s">
        <v>40</v>
      </c>
      <c r="X30" t="s">
        <v>109</v>
      </c>
      <c r="Y30" t="s">
        <v>53</v>
      </c>
    </row>
    <row r="31" spans="1:25">
      <c r="A31" t="s">
        <v>220</v>
      </c>
      <c r="B31" t="s">
        <v>221</v>
      </c>
      <c r="C31" t="s">
        <v>56</v>
      </c>
      <c r="D31">
        <v>67</v>
      </c>
      <c r="E31" t="s">
        <v>92</v>
      </c>
      <c r="F31" t="s">
        <v>29</v>
      </c>
      <c r="G31" t="s">
        <v>93</v>
      </c>
      <c r="H31" t="s">
        <v>222</v>
      </c>
      <c r="I31" t="s">
        <v>223</v>
      </c>
      <c r="J31">
        <v>24</v>
      </c>
      <c r="K31" t="s">
        <v>224</v>
      </c>
      <c r="L31" t="s">
        <v>225</v>
      </c>
      <c r="M31">
        <v>27</v>
      </c>
      <c r="N31" t="s">
        <v>34</v>
      </c>
      <c r="O31" t="s">
        <v>35</v>
      </c>
      <c r="Q31" t="s">
        <v>132</v>
      </c>
      <c r="R31">
        <v>50</v>
      </c>
      <c r="S31" t="s">
        <v>37</v>
      </c>
      <c r="T31" t="s">
        <v>69</v>
      </c>
      <c r="U31">
        <v>3</v>
      </c>
      <c r="V31" t="s">
        <v>70</v>
      </c>
      <c r="W31" t="s">
        <v>165</v>
      </c>
      <c r="X31" t="s">
        <v>41</v>
      </c>
      <c r="Y31" t="s">
        <v>53</v>
      </c>
    </row>
    <row r="32" spans="1:25">
      <c r="A32" t="s">
        <v>226</v>
      </c>
      <c r="B32" t="s">
        <v>227</v>
      </c>
      <c r="C32" t="s">
        <v>204</v>
      </c>
      <c r="D32">
        <v>67</v>
      </c>
      <c r="E32" t="s">
        <v>28</v>
      </c>
      <c r="F32" t="s">
        <v>29</v>
      </c>
      <c r="G32" t="s">
        <v>150</v>
      </c>
      <c r="H32" t="s">
        <v>161</v>
      </c>
      <c r="I32" t="s">
        <v>228</v>
      </c>
      <c r="J32">
        <v>5</v>
      </c>
      <c r="K32" t="s">
        <v>161</v>
      </c>
      <c r="L32" t="s">
        <v>229</v>
      </c>
      <c r="M32">
        <v>5</v>
      </c>
      <c r="N32" t="s">
        <v>68</v>
      </c>
      <c r="O32" t="s">
        <v>35</v>
      </c>
      <c r="Q32" t="s">
        <v>36</v>
      </c>
      <c r="R32">
        <v>35</v>
      </c>
      <c r="S32" t="s">
        <v>77</v>
      </c>
      <c r="T32" t="s">
        <v>50</v>
      </c>
      <c r="U32">
        <v>1</v>
      </c>
      <c r="V32" t="s">
        <v>89</v>
      </c>
      <c r="W32" t="s">
        <v>165</v>
      </c>
      <c r="X32" t="s">
        <v>41</v>
      </c>
      <c r="Y32" t="s">
        <v>71</v>
      </c>
    </row>
    <row r="33" spans="1:25">
      <c r="A33" t="s">
        <v>230</v>
      </c>
      <c r="B33" t="s">
        <v>231</v>
      </c>
      <c r="C33" t="s">
        <v>204</v>
      </c>
      <c r="D33">
        <v>26</v>
      </c>
      <c r="E33" t="s">
        <v>173</v>
      </c>
      <c r="F33" t="s">
        <v>29</v>
      </c>
      <c r="G33" t="s">
        <v>168</v>
      </c>
      <c r="H33" t="s">
        <v>232</v>
      </c>
      <c r="I33" t="s">
        <v>233</v>
      </c>
      <c r="J33">
        <v>4</v>
      </c>
      <c r="K33" t="s">
        <v>232</v>
      </c>
      <c r="L33" t="s">
        <v>142</v>
      </c>
      <c r="M33">
        <v>12</v>
      </c>
      <c r="N33" t="s">
        <v>34</v>
      </c>
      <c r="O33" t="s">
        <v>35</v>
      </c>
      <c r="Q33" t="s">
        <v>36</v>
      </c>
      <c r="R33">
        <v>25</v>
      </c>
      <c r="S33" t="s">
        <v>37</v>
      </c>
      <c r="T33" t="s">
        <v>164</v>
      </c>
      <c r="U33">
        <v>4</v>
      </c>
      <c r="V33" t="s">
        <v>70</v>
      </c>
      <c r="W33" t="s">
        <v>51</v>
      </c>
      <c r="X33" t="s">
        <v>109</v>
      </c>
      <c r="Y33" t="s">
        <v>42</v>
      </c>
    </row>
    <row r="34" spans="1:25">
      <c r="A34" t="s">
        <v>234</v>
      </c>
      <c r="B34" t="s">
        <v>235</v>
      </c>
      <c r="C34" t="s">
        <v>80</v>
      </c>
      <c r="D34">
        <v>85</v>
      </c>
      <c r="E34" t="s">
        <v>173</v>
      </c>
      <c r="F34" t="s">
        <v>29</v>
      </c>
      <c r="G34" t="s">
        <v>83</v>
      </c>
      <c r="H34" t="s">
        <v>236</v>
      </c>
      <c r="I34" t="s">
        <v>237</v>
      </c>
      <c r="J34">
        <v>4</v>
      </c>
      <c r="K34" t="s">
        <v>236</v>
      </c>
      <c r="L34" t="s">
        <v>238</v>
      </c>
      <c r="M34">
        <v>12</v>
      </c>
      <c r="N34" t="s">
        <v>34</v>
      </c>
      <c r="O34" t="s">
        <v>35</v>
      </c>
      <c r="Q34" t="s">
        <v>36</v>
      </c>
      <c r="R34">
        <v>25</v>
      </c>
      <c r="S34" t="s">
        <v>77</v>
      </c>
      <c r="T34" t="s">
        <v>88</v>
      </c>
      <c r="U34">
        <v>4</v>
      </c>
      <c r="V34" t="s">
        <v>89</v>
      </c>
      <c r="W34" t="s">
        <v>103</v>
      </c>
      <c r="X34" t="s">
        <v>41</v>
      </c>
      <c r="Y34" t="s">
        <v>71</v>
      </c>
    </row>
    <row r="35" spans="1:25">
      <c r="A35" t="s">
        <v>239</v>
      </c>
      <c r="B35" t="s">
        <v>240</v>
      </c>
      <c r="C35" t="s">
        <v>56</v>
      </c>
      <c r="D35">
        <v>24</v>
      </c>
      <c r="E35" t="s">
        <v>28</v>
      </c>
      <c r="F35" t="s">
        <v>29</v>
      </c>
      <c r="G35" t="s">
        <v>150</v>
      </c>
      <c r="H35" t="s">
        <v>199</v>
      </c>
      <c r="I35" t="s">
        <v>241</v>
      </c>
      <c r="J35">
        <v>5</v>
      </c>
      <c r="K35" t="s">
        <v>199</v>
      </c>
      <c r="L35" t="s">
        <v>242</v>
      </c>
      <c r="M35">
        <v>6</v>
      </c>
      <c r="N35" t="s">
        <v>34</v>
      </c>
      <c r="O35" t="s">
        <v>35</v>
      </c>
      <c r="Q35" t="s">
        <v>36</v>
      </c>
      <c r="R35">
        <v>35</v>
      </c>
      <c r="S35" t="s">
        <v>37</v>
      </c>
      <c r="T35" t="s">
        <v>88</v>
      </c>
      <c r="U35">
        <v>3</v>
      </c>
      <c r="V35" t="s">
        <v>89</v>
      </c>
      <c r="W35" t="s">
        <v>165</v>
      </c>
      <c r="X35" t="s">
        <v>41</v>
      </c>
      <c r="Y35" t="s">
        <v>53</v>
      </c>
    </row>
    <row r="36" spans="1:25">
      <c r="A36" t="s">
        <v>243</v>
      </c>
      <c r="B36" t="s">
        <v>244</v>
      </c>
      <c r="C36" t="s">
        <v>80</v>
      </c>
      <c r="D36">
        <v>14</v>
      </c>
      <c r="E36" t="s">
        <v>28</v>
      </c>
      <c r="F36" t="s">
        <v>29</v>
      </c>
      <c r="G36" t="s">
        <v>30</v>
      </c>
      <c r="H36" t="s">
        <v>245</v>
      </c>
      <c r="I36" t="s">
        <v>246</v>
      </c>
      <c r="J36">
        <v>5</v>
      </c>
      <c r="K36" t="s">
        <v>247</v>
      </c>
      <c r="L36" t="s">
        <v>248</v>
      </c>
      <c r="M36">
        <v>10</v>
      </c>
      <c r="N36" t="s">
        <v>34</v>
      </c>
      <c r="O36" t="s">
        <v>35</v>
      </c>
      <c r="Q36" t="s">
        <v>36</v>
      </c>
      <c r="R36">
        <v>35</v>
      </c>
      <c r="S36" t="s">
        <v>77</v>
      </c>
      <c r="T36" t="s">
        <v>164</v>
      </c>
      <c r="U36">
        <v>4</v>
      </c>
      <c r="V36" t="s">
        <v>62</v>
      </c>
      <c r="W36" t="s">
        <v>103</v>
      </c>
      <c r="X36" t="s">
        <v>52</v>
      </c>
      <c r="Y36" t="s">
        <v>53</v>
      </c>
    </row>
    <row r="37" spans="1:25">
      <c r="A37" t="s">
        <v>249</v>
      </c>
      <c r="B37" t="s">
        <v>250</v>
      </c>
      <c r="C37" t="s">
        <v>80</v>
      </c>
      <c r="D37">
        <v>63</v>
      </c>
      <c r="E37" t="s">
        <v>57</v>
      </c>
      <c r="F37" t="s">
        <v>29</v>
      </c>
      <c r="G37" t="s">
        <v>58</v>
      </c>
      <c r="H37" t="s">
        <v>251</v>
      </c>
      <c r="I37" t="s">
        <v>252</v>
      </c>
      <c r="J37">
        <v>3</v>
      </c>
      <c r="K37" t="s">
        <v>253</v>
      </c>
      <c r="L37" t="s">
        <v>254</v>
      </c>
      <c r="M37">
        <v>10</v>
      </c>
      <c r="N37" t="s">
        <v>34</v>
      </c>
      <c r="O37" t="s">
        <v>35</v>
      </c>
      <c r="Q37" t="s">
        <v>36</v>
      </c>
      <c r="R37">
        <v>15</v>
      </c>
      <c r="S37" t="s">
        <v>37</v>
      </c>
      <c r="T37" t="s">
        <v>69</v>
      </c>
      <c r="U37">
        <v>3</v>
      </c>
      <c r="V37" t="s">
        <v>70</v>
      </c>
      <c r="W37" t="s">
        <v>40</v>
      </c>
      <c r="X37" t="s">
        <v>41</v>
      </c>
      <c r="Y37" t="s">
        <v>53</v>
      </c>
    </row>
    <row r="38" spans="1:25">
      <c r="A38" t="s">
        <v>255</v>
      </c>
      <c r="B38" t="s">
        <v>256</v>
      </c>
      <c r="C38" t="s">
        <v>204</v>
      </c>
      <c r="D38">
        <v>73</v>
      </c>
      <c r="E38" t="s">
        <v>149</v>
      </c>
      <c r="F38" t="s">
        <v>29</v>
      </c>
      <c r="G38" t="s">
        <v>150</v>
      </c>
      <c r="H38" t="s">
        <v>114</v>
      </c>
      <c r="I38" t="s">
        <v>257</v>
      </c>
      <c r="J38">
        <v>6</v>
      </c>
      <c r="K38" t="s">
        <v>258</v>
      </c>
      <c r="L38" t="s">
        <v>259</v>
      </c>
      <c r="M38">
        <v>13</v>
      </c>
      <c r="N38" t="s">
        <v>34</v>
      </c>
      <c r="O38" t="s">
        <v>35</v>
      </c>
      <c r="Q38" t="s">
        <v>36</v>
      </c>
      <c r="R38">
        <v>40</v>
      </c>
      <c r="S38" t="s">
        <v>77</v>
      </c>
      <c r="T38" t="s">
        <v>50</v>
      </c>
      <c r="U38">
        <v>5</v>
      </c>
      <c r="V38" t="s">
        <v>39</v>
      </c>
      <c r="W38" t="s">
        <v>165</v>
      </c>
      <c r="X38" t="s">
        <v>109</v>
      </c>
      <c r="Y38" t="s">
        <v>71</v>
      </c>
    </row>
    <row r="39" spans="1:25">
      <c r="A39" t="s">
        <v>260</v>
      </c>
      <c r="B39" t="s">
        <v>261</v>
      </c>
      <c r="C39" t="s">
        <v>56</v>
      </c>
      <c r="D39">
        <v>13</v>
      </c>
      <c r="E39" t="s">
        <v>28</v>
      </c>
      <c r="F39" t="s">
        <v>29</v>
      </c>
      <c r="G39" t="s">
        <v>168</v>
      </c>
      <c r="H39" t="s">
        <v>262</v>
      </c>
      <c r="I39" t="s">
        <v>263</v>
      </c>
      <c r="J39">
        <v>5</v>
      </c>
      <c r="K39" t="s">
        <v>262</v>
      </c>
      <c r="L39" t="s">
        <v>264</v>
      </c>
      <c r="M39">
        <v>9</v>
      </c>
      <c r="N39" t="s">
        <v>34</v>
      </c>
      <c r="O39" t="s">
        <v>35</v>
      </c>
      <c r="Q39" t="s">
        <v>36</v>
      </c>
      <c r="R39">
        <v>35</v>
      </c>
      <c r="S39" t="s">
        <v>37</v>
      </c>
      <c r="T39" t="s">
        <v>38</v>
      </c>
      <c r="U39">
        <v>1</v>
      </c>
      <c r="V39" t="s">
        <v>70</v>
      </c>
      <c r="W39" t="s">
        <v>51</v>
      </c>
      <c r="X39" t="s">
        <v>109</v>
      </c>
      <c r="Y39" t="s">
        <v>42</v>
      </c>
    </row>
    <row r="40" spans="1:25">
      <c r="A40" t="s">
        <v>265</v>
      </c>
      <c r="B40" t="s">
        <v>266</v>
      </c>
      <c r="C40" t="s">
        <v>204</v>
      </c>
      <c r="D40">
        <v>60</v>
      </c>
      <c r="E40" t="s">
        <v>149</v>
      </c>
      <c r="F40" t="s">
        <v>29</v>
      </c>
      <c r="G40" t="s">
        <v>30</v>
      </c>
      <c r="H40" t="s">
        <v>267</v>
      </c>
      <c r="I40" t="s">
        <v>268</v>
      </c>
      <c r="J40">
        <v>6</v>
      </c>
      <c r="K40" t="s">
        <v>267</v>
      </c>
      <c r="L40" t="s">
        <v>269</v>
      </c>
      <c r="M40">
        <v>7</v>
      </c>
      <c r="N40" t="s">
        <v>34</v>
      </c>
      <c r="O40" t="s">
        <v>270</v>
      </c>
      <c r="P40" t="s">
        <v>271</v>
      </c>
      <c r="Q40" t="s">
        <v>36</v>
      </c>
      <c r="R40">
        <v>40</v>
      </c>
      <c r="S40" t="s">
        <v>37</v>
      </c>
      <c r="T40" t="s">
        <v>50</v>
      </c>
      <c r="U40">
        <v>4</v>
      </c>
      <c r="V40" t="s">
        <v>62</v>
      </c>
      <c r="W40" t="s">
        <v>103</v>
      </c>
      <c r="X40" t="s">
        <v>41</v>
      </c>
      <c r="Y40" t="s">
        <v>53</v>
      </c>
    </row>
    <row r="41" spans="1:25">
      <c r="A41" t="s">
        <v>272</v>
      </c>
      <c r="B41" t="s">
        <v>273</v>
      </c>
      <c r="C41" t="s">
        <v>56</v>
      </c>
      <c r="D41">
        <v>57</v>
      </c>
      <c r="E41" t="s">
        <v>92</v>
      </c>
      <c r="F41" t="s">
        <v>29</v>
      </c>
      <c r="G41" t="s">
        <v>30</v>
      </c>
      <c r="H41" t="s">
        <v>274</v>
      </c>
      <c r="I41" t="s">
        <v>218</v>
      </c>
      <c r="J41">
        <v>24</v>
      </c>
      <c r="K41" t="s">
        <v>179</v>
      </c>
      <c r="L41" t="s">
        <v>275</v>
      </c>
      <c r="M41">
        <v>31</v>
      </c>
      <c r="N41" t="s">
        <v>34</v>
      </c>
      <c r="O41" t="s">
        <v>35</v>
      </c>
      <c r="Q41" t="s">
        <v>36</v>
      </c>
      <c r="R41">
        <v>50</v>
      </c>
      <c r="S41" t="s">
        <v>37</v>
      </c>
      <c r="T41" t="s">
        <v>69</v>
      </c>
      <c r="U41">
        <v>4</v>
      </c>
      <c r="V41" t="s">
        <v>62</v>
      </c>
      <c r="W41" t="s">
        <v>51</v>
      </c>
      <c r="X41" t="s">
        <v>41</v>
      </c>
      <c r="Y41" t="s">
        <v>53</v>
      </c>
    </row>
    <row r="42" spans="1:25">
      <c r="A42" t="s">
        <v>276</v>
      </c>
      <c r="B42" t="s">
        <v>277</v>
      </c>
      <c r="C42" t="s">
        <v>27</v>
      </c>
      <c r="D42">
        <v>73</v>
      </c>
      <c r="E42" t="s">
        <v>173</v>
      </c>
      <c r="F42" t="s">
        <v>29</v>
      </c>
      <c r="G42" t="s">
        <v>30</v>
      </c>
      <c r="H42" t="s">
        <v>278</v>
      </c>
      <c r="I42" t="s">
        <v>279</v>
      </c>
      <c r="J42">
        <v>4</v>
      </c>
      <c r="K42" t="s">
        <v>278</v>
      </c>
      <c r="L42" t="s">
        <v>280</v>
      </c>
      <c r="M42">
        <v>12</v>
      </c>
      <c r="N42" t="s">
        <v>34</v>
      </c>
      <c r="O42" t="s">
        <v>35</v>
      </c>
      <c r="Q42" t="s">
        <v>36</v>
      </c>
      <c r="R42">
        <v>25</v>
      </c>
      <c r="S42" t="s">
        <v>49</v>
      </c>
      <c r="T42" t="s">
        <v>88</v>
      </c>
      <c r="U42">
        <v>5</v>
      </c>
      <c r="V42" t="s">
        <v>39</v>
      </c>
      <c r="W42" t="s">
        <v>40</v>
      </c>
      <c r="X42" t="s">
        <v>52</v>
      </c>
      <c r="Y42" t="s">
        <v>71</v>
      </c>
    </row>
    <row r="43" spans="1:25">
      <c r="A43" t="s">
        <v>281</v>
      </c>
      <c r="B43" t="s">
        <v>282</v>
      </c>
      <c r="C43" t="s">
        <v>27</v>
      </c>
      <c r="D43">
        <v>59</v>
      </c>
      <c r="E43" t="s">
        <v>149</v>
      </c>
      <c r="F43" t="s">
        <v>29</v>
      </c>
      <c r="G43" t="s">
        <v>93</v>
      </c>
      <c r="H43" t="s">
        <v>130</v>
      </c>
      <c r="I43" t="s">
        <v>283</v>
      </c>
      <c r="J43">
        <v>6</v>
      </c>
      <c r="K43" t="s">
        <v>130</v>
      </c>
      <c r="L43" t="s">
        <v>284</v>
      </c>
      <c r="M43">
        <v>8</v>
      </c>
      <c r="N43" t="s">
        <v>34</v>
      </c>
      <c r="O43" t="s">
        <v>35</v>
      </c>
      <c r="Q43" t="s">
        <v>36</v>
      </c>
      <c r="R43">
        <v>40</v>
      </c>
      <c r="S43" t="s">
        <v>49</v>
      </c>
      <c r="T43" t="s">
        <v>88</v>
      </c>
      <c r="U43">
        <v>3</v>
      </c>
      <c r="V43" t="s">
        <v>39</v>
      </c>
      <c r="W43" t="s">
        <v>165</v>
      </c>
      <c r="X43" t="s">
        <v>52</v>
      </c>
      <c r="Y43" t="s">
        <v>53</v>
      </c>
    </row>
    <row r="44" spans="1:25">
      <c r="A44" t="s">
        <v>285</v>
      </c>
      <c r="B44" t="s">
        <v>286</v>
      </c>
      <c r="C44" t="s">
        <v>56</v>
      </c>
      <c r="D44">
        <v>73</v>
      </c>
      <c r="E44" t="s">
        <v>57</v>
      </c>
      <c r="F44" t="s">
        <v>29</v>
      </c>
      <c r="G44" t="s">
        <v>58</v>
      </c>
      <c r="H44" t="s">
        <v>287</v>
      </c>
      <c r="I44" t="s">
        <v>288</v>
      </c>
      <c r="J44">
        <v>3</v>
      </c>
      <c r="K44" t="s">
        <v>287</v>
      </c>
      <c r="L44" t="s">
        <v>289</v>
      </c>
      <c r="M44">
        <v>9</v>
      </c>
      <c r="N44" t="s">
        <v>34</v>
      </c>
      <c r="O44" t="s">
        <v>35</v>
      </c>
      <c r="Q44" t="s">
        <v>36</v>
      </c>
      <c r="R44">
        <v>15</v>
      </c>
      <c r="S44" t="s">
        <v>49</v>
      </c>
      <c r="T44" t="s">
        <v>164</v>
      </c>
      <c r="U44">
        <v>5</v>
      </c>
      <c r="V44" t="s">
        <v>39</v>
      </c>
      <c r="W44" t="s">
        <v>103</v>
      </c>
      <c r="X44" t="s">
        <v>109</v>
      </c>
      <c r="Y44" t="s">
        <v>53</v>
      </c>
    </row>
    <row r="45" spans="1:25">
      <c r="A45" t="s">
        <v>290</v>
      </c>
      <c r="B45" t="s">
        <v>198</v>
      </c>
      <c r="C45" t="s">
        <v>204</v>
      </c>
      <c r="D45">
        <v>84</v>
      </c>
      <c r="E45" t="s">
        <v>81</v>
      </c>
      <c r="F45" t="s">
        <v>82</v>
      </c>
      <c r="G45" t="s">
        <v>83</v>
      </c>
      <c r="H45" t="s">
        <v>291</v>
      </c>
      <c r="I45" t="s">
        <v>292</v>
      </c>
      <c r="J45">
        <v>8</v>
      </c>
      <c r="K45" t="s">
        <v>291</v>
      </c>
      <c r="L45" t="s">
        <v>293</v>
      </c>
      <c r="M45">
        <v>12</v>
      </c>
      <c r="N45" t="s">
        <v>34</v>
      </c>
      <c r="O45" t="s">
        <v>35</v>
      </c>
      <c r="Q45" t="s">
        <v>36</v>
      </c>
      <c r="R45">
        <v>20</v>
      </c>
      <c r="S45" t="s">
        <v>49</v>
      </c>
      <c r="T45" t="s">
        <v>69</v>
      </c>
      <c r="U45">
        <v>3</v>
      </c>
      <c r="V45" t="s">
        <v>89</v>
      </c>
      <c r="W45" t="s">
        <v>40</v>
      </c>
      <c r="X45" t="s">
        <v>41</v>
      </c>
      <c r="Y45" t="s">
        <v>42</v>
      </c>
    </row>
    <row r="46" spans="1:25">
      <c r="A46" t="s">
        <v>294</v>
      </c>
      <c r="B46" t="s">
        <v>295</v>
      </c>
      <c r="C46" t="s">
        <v>204</v>
      </c>
      <c r="D46">
        <v>46</v>
      </c>
      <c r="E46" t="s">
        <v>81</v>
      </c>
      <c r="F46" t="s">
        <v>82</v>
      </c>
      <c r="G46" t="s">
        <v>83</v>
      </c>
      <c r="H46" t="s">
        <v>287</v>
      </c>
      <c r="I46" t="s">
        <v>296</v>
      </c>
      <c r="J46">
        <v>8</v>
      </c>
      <c r="K46" t="s">
        <v>287</v>
      </c>
      <c r="L46" t="s">
        <v>297</v>
      </c>
      <c r="M46">
        <v>13</v>
      </c>
      <c r="N46" t="s">
        <v>34</v>
      </c>
      <c r="O46" t="s">
        <v>35</v>
      </c>
      <c r="Q46" t="s">
        <v>36</v>
      </c>
      <c r="R46">
        <v>20</v>
      </c>
      <c r="S46" t="s">
        <v>77</v>
      </c>
      <c r="T46" t="s">
        <v>38</v>
      </c>
      <c r="U46">
        <v>1</v>
      </c>
      <c r="V46" t="s">
        <v>39</v>
      </c>
      <c r="W46" t="s">
        <v>103</v>
      </c>
      <c r="X46" t="s">
        <v>109</v>
      </c>
      <c r="Y46" t="s">
        <v>53</v>
      </c>
    </row>
    <row r="47" spans="1:25">
      <c r="A47" t="s">
        <v>298</v>
      </c>
      <c r="B47" t="s">
        <v>299</v>
      </c>
      <c r="C47" t="s">
        <v>56</v>
      </c>
      <c r="D47">
        <v>7</v>
      </c>
      <c r="E47" t="s">
        <v>173</v>
      </c>
      <c r="F47" t="s">
        <v>29</v>
      </c>
      <c r="G47" t="s">
        <v>168</v>
      </c>
      <c r="H47" t="s">
        <v>300</v>
      </c>
      <c r="I47" t="s">
        <v>301</v>
      </c>
      <c r="J47">
        <v>4</v>
      </c>
      <c r="K47" t="s">
        <v>300</v>
      </c>
      <c r="L47" t="s">
        <v>302</v>
      </c>
      <c r="M47">
        <v>3</v>
      </c>
      <c r="N47" t="s">
        <v>68</v>
      </c>
      <c r="O47" t="s">
        <v>35</v>
      </c>
      <c r="Q47" t="s">
        <v>36</v>
      </c>
      <c r="R47">
        <v>25</v>
      </c>
      <c r="S47" t="s">
        <v>49</v>
      </c>
      <c r="T47" t="s">
        <v>96</v>
      </c>
      <c r="U47">
        <v>1</v>
      </c>
      <c r="V47" t="s">
        <v>62</v>
      </c>
      <c r="W47" t="s">
        <v>40</v>
      </c>
      <c r="X47" t="s">
        <v>52</v>
      </c>
      <c r="Y47" t="s">
        <v>42</v>
      </c>
    </row>
    <row r="48" spans="1:25">
      <c r="A48" t="s">
        <v>303</v>
      </c>
      <c r="B48" t="s">
        <v>304</v>
      </c>
      <c r="C48" t="s">
        <v>80</v>
      </c>
      <c r="D48">
        <v>44</v>
      </c>
      <c r="E48" t="s">
        <v>149</v>
      </c>
      <c r="F48" t="s">
        <v>29</v>
      </c>
      <c r="G48" t="s">
        <v>30</v>
      </c>
      <c r="H48" t="s">
        <v>305</v>
      </c>
      <c r="I48" t="s">
        <v>306</v>
      </c>
      <c r="J48">
        <v>6</v>
      </c>
      <c r="K48" t="s">
        <v>305</v>
      </c>
      <c r="L48" t="s">
        <v>307</v>
      </c>
      <c r="M48">
        <v>8</v>
      </c>
      <c r="N48" t="s">
        <v>34</v>
      </c>
      <c r="O48" t="s">
        <v>35</v>
      </c>
      <c r="Q48" t="s">
        <v>132</v>
      </c>
      <c r="R48">
        <v>40</v>
      </c>
      <c r="S48" t="s">
        <v>77</v>
      </c>
      <c r="T48" t="s">
        <v>69</v>
      </c>
      <c r="U48">
        <v>4</v>
      </c>
      <c r="V48" t="s">
        <v>39</v>
      </c>
      <c r="W48" t="s">
        <v>51</v>
      </c>
      <c r="X48" t="s">
        <v>41</v>
      </c>
      <c r="Y48" t="s">
        <v>53</v>
      </c>
    </row>
    <row r="49" spans="1:25">
      <c r="A49" t="s">
        <v>308</v>
      </c>
      <c r="B49" t="s">
        <v>309</v>
      </c>
      <c r="C49" t="s">
        <v>27</v>
      </c>
      <c r="D49">
        <v>64</v>
      </c>
      <c r="E49" t="s">
        <v>173</v>
      </c>
      <c r="F49" t="s">
        <v>29</v>
      </c>
      <c r="G49" t="s">
        <v>83</v>
      </c>
      <c r="H49" t="s">
        <v>112</v>
      </c>
      <c r="I49" t="s">
        <v>310</v>
      </c>
      <c r="J49">
        <v>4</v>
      </c>
      <c r="K49" t="s">
        <v>112</v>
      </c>
      <c r="L49" t="s">
        <v>311</v>
      </c>
      <c r="M49">
        <v>5</v>
      </c>
      <c r="N49" t="s">
        <v>34</v>
      </c>
      <c r="O49" t="s">
        <v>35</v>
      </c>
      <c r="Q49" t="s">
        <v>36</v>
      </c>
      <c r="R49">
        <v>25</v>
      </c>
      <c r="S49" t="s">
        <v>77</v>
      </c>
      <c r="T49" t="s">
        <v>38</v>
      </c>
      <c r="U49">
        <v>4</v>
      </c>
      <c r="V49" t="s">
        <v>70</v>
      </c>
      <c r="W49" t="s">
        <v>165</v>
      </c>
      <c r="X49" t="s">
        <v>41</v>
      </c>
      <c r="Y49" t="s">
        <v>53</v>
      </c>
    </row>
    <row r="50" spans="1:25">
      <c r="A50" t="s">
        <v>312</v>
      </c>
      <c r="B50" t="s">
        <v>313</v>
      </c>
      <c r="C50" t="s">
        <v>27</v>
      </c>
      <c r="D50">
        <v>90</v>
      </c>
      <c r="E50" t="s">
        <v>57</v>
      </c>
      <c r="F50" t="s">
        <v>29</v>
      </c>
      <c r="G50" t="s">
        <v>58</v>
      </c>
      <c r="H50" t="s">
        <v>314</v>
      </c>
      <c r="I50" t="s">
        <v>315</v>
      </c>
      <c r="J50">
        <v>3</v>
      </c>
      <c r="K50" t="s">
        <v>314</v>
      </c>
      <c r="L50" t="s">
        <v>316</v>
      </c>
      <c r="M50">
        <v>6</v>
      </c>
      <c r="N50" t="s">
        <v>34</v>
      </c>
      <c r="O50" t="s">
        <v>35</v>
      </c>
      <c r="Q50" t="s">
        <v>36</v>
      </c>
      <c r="R50">
        <v>15</v>
      </c>
      <c r="S50" t="s">
        <v>37</v>
      </c>
      <c r="T50" t="s">
        <v>96</v>
      </c>
      <c r="U50">
        <v>5</v>
      </c>
      <c r="V50" t="s">
        <v>39</v>
      </c>
      <c r="W50" t="s">
        <v>103</v>
      </c>
      <c r="X50" t="s">
        <v>41</v>
      </c>
      <c r="Y50" t="s">
        <v>53</v>
      </c>
    </row>
    <row r="51" spans="1:25">
      <c r="A51" t="s">
        <v>317</v>
      </c>
      <c r="B51" t="s">
        <v>318</v>
      </c>
      <c r="C51" t="s">
        <v>204</v>
      </c>
      <c r="D51">
        <v>14</v>
      </c>
      <c r="E51" t="s">
        <v>28</v>
      </c>
      <c r="F51" t="s">
        <v>29</v>
      </c>
      <c r="G51" t="s">
        <v>30</v>
      </c>
      <c r="H51" t="s">
        <v>319</v>
      </c>
      <c r="I51" t="s">
        <v>320</v>
      </c>
      <c r="J51">
        <v>5</v>
      </c>
      <c r="K51" t="s">
        <v>319</v>
      </c>
      <c r="L51" t="s">
        <v>311</v>
      </c>
      <c r="M51">
        <v>7</v>
      </c>
      <c r="N51" t="s">
        <v>34</v>
      </c>
      <c r="O51" t="s">
        <v>35</v>
      </c>
      <c r="Q51" t="s">
        <v>36</v>
      </c>
      <c r="R51">
        <v>35</v>
      </c>
      <c r="S51" t="s">
        <v>49</v>
      </c>
      <c r="T51" t="s">
        <v>69</v>
      </c>
      <c r="U51">
        <v>4</v>
      </c>
      <c r="V51" t="s">
        <v>89</v>
      </c>
      <c r="W51" t="s">
        <v>40</v>
      </c>
      <c r="X51" t="s">
        <v>41</v>
      </c>
      <c r="Y51" t="s">
        <v>53</v>
      </c>
    </row>
    <row r="52" spans="1:25">
      <c r="A52" t="s">
        <v>321</v>
      </c>
      <c r="B52" t="s">
        <v>322</v>
      </c>
      <c r="C52" t="s">
        <v>27</v>
      </c>
      <c r="D52">
        <v>22</v>
      </c>
      <c r="E52" t="s">
        <v>173</v>
      </c>
      <c r="F52" t="s">
        <v>29</v>
      </c>
      <c r="G52" t="s">
        <v>168</v>
      </c>
      <c r="H52" t="s">
        <v>323</v>
      </c>
      <c r="I52" t="s">
        <v>324</v>
      </c>
      <c r="J52">
        <v>4</v>
      </c>
      <c r="K52" t="s">
        <v>325</v>
      </c>
      <c r="L52" t="s">
        <v>326</v>
      </c>
      <c r="M52">
        <v>10</v>
      </c>
      <c r="N52" t="s">
        <v>34</v>
      </c>
      <c r="O52" t="s">
        <v>35</v>
      </c>
      <c r="Q52" t="s">
        <v>36</v>
      </c>
      <c r="R52">
        <v>25</v>
      </c>
      <c r="S52" t="s">
        <v>77</v>
      </c>
      <c r="T52" t="s">
        <v>69</v>
      </c>
      <c r="U52">
        <v>5</v>
      </c>
      <c r="V52" t="s">
        <v>70</v>
      </c>
      <c r="W52" t="s">
        <v>165</v>
      </c>
      <c r="X52" t="s">
        <v>41</v>
      </c>
      <c r="Y52" t="s">
        <v>71</v>
      </c>
    </row>
    <row r="53" spans="1:25">
      <c r="A53" t="s">
        <v>327</v>
      </c>
      <c r="B53" t="s">
        <v>328</v>
      </c>
      <c r="C53" t="s">
        <v>204</v>
      </c>
      <c r="D53">
        <v>38</v>
      </c>
      <c r="E53" t="s">
        <v>81</v>
      </c>
      <c r="F53" t="s">
        <v>82</v>
      </c>
      <c r="G53" t="s">
        <v>83</v>
      </c>
      <c r="H53" t="s">
        <v>329</v>
      </c>
      <c r="I53" t="s">
        <v>330</v>
      </c>
      <c r="J53">
        <v>8</v>
      </c>
      <c r="K53" t="s">
        <v>329</v>
      </c>
      <c r="L53" t="s">
        <v>238</v>
      </c>
      <c r="M53">
        <v>15</v>
      </c>
      <c r="N53" t="s">
        <v>34</v>
      </c>
      <c r="O53" t="s">
        <v>35</v>
      </c>
      <c r="Q53" t="s">
        <v>36</v>
      </c>
      <c r="R53">
        <v>20</v>
      </c>
      <c r="S53" t="s">
        <v>77</v>
      </c>
      <c r="T53" t="s">
        <v>96</v>
      </c>
      <c r="U53">
        <v>4</v>
      </c>
      <c r="V53" t="s">
        <v>62</v>
      </c>
      <c r="W53" t="s">
        <v>103</v>
      </c>
      <c r="X53" t="s">
        <v>41</v>
      </c>
      <c r="Y53" t="s">
        <v>42</v>
      </c>
    </row>
    <row r="54" spans="1:25">
      <c r="A54" t="s">
        <v>331</v>
      </c>
      <c r="B54" t="s">
        <v>332</v>
      </c>
      <c r="C54" t="s">
        <v>27</v>
      </c>
      <c r="D54">
        <v>74</v>
      </c>
      <c r="E54" t="s">
        <v>173</v>
      </c>
      <c r="F54" t="s">
        <v>29</v>
      </c>
      <c r="G54" t="s">
        <v>58</v>
      </c>
      <c r="H54" t="s">
        <v>333</v>
      </c>
      <c r="I54" t="s">
        <v>334</v>
      </c>
      <c r="J54">
        <v>4</v>
      </c>
      <c r="K54" t="s">
        <v>333</v>
      </c>
      <c r="L54" t="s">
        <v>113</v>
      </c>
      <c r="M54">
        <v>7</v>
      </c>
      <c r="N54" t="s">
        <v>34</v>
      </c>
      <c r="O54" t="s">
        <v>35</v>
      </c>
      <c r="Q54" t="s">
        <v>36</v>
      </c>
      <c r="R54">
        <v>25</v>
      </c>
      <c r="S54" t="s">
        <v>37</v>
      </c>
      <c r="T54" t="s">
        <v>50</v>
      </c>
      <c r="U54">
        <v>1</v>
      </c>
      <c r="V54" t="s">
        <v>39</v>
      </c>
      <c r="W54" t="s">
        <v>51</v>
      </c>
      <c r="X54" t="s">
        <v>109</v>
      </c>
      <c r="Y54" t="s">
        <v>42</v>
      </c>
    </row>
    <row r="55" spans="1:25">
      <c r="A55" t="s">
        <v>335</v>
      </c>
      <c r="B55" t="s">
        <v>336</v>
      </c>
      <c r="C55" t="s">
        <v>80</v>
      </c>
      <c r="D55">
        <v>89</v>
      </c>
      <c r="E55" t="s">
        <v>81</v>
      </c>
      <c r="F55" t="s">
        <v>82</v>
      </c>
      <c r="G55" t="s">
        <v>83</v>
      </c>
      <c r="H55" t="s">
        <v>337</v>
      </c>
      <c r="I55" t="s">
        <v>66</v>
      </c>
      <c r="J55">
        <v>8</v>
      </c>
      <c r="K55" t="s">
        <v>338</v>
      </c>
      <c r="L55" t="s">
        <v>339</v>
      </c>
      <c r="M55">
        <v>16</v>
      </c>
      <c r="N55" t="s">
        <v>34</v>
      </c>
      <c r="O55" t="s">
        <v>35</v>
      </c>
      <c r="Q55" t="s">
        <v>36</v>
      </c>
      <c r="R55">
        <v>20</v>
      </c>
      <c r="S55" t="s">
        <v>77</v>
      </c>
      <c r="T55" t="s">
        <v>96</v>
      </c>
      <c r="U55">
        <v>5</v>
      </c>
      <c r="V55" t="s">
        <v>62</v>
      </c>
      <c r="W55" t="s">
        <v>103</v>
      </c>
      <c r="X55" t="s">
        <v>109</v>
      </c>
      <c r="Y55" t="s">
        <v>53</v>
      </c>
    </row>
    <row r="56" spans="1:25">
      <c r="A56" t="s">
        <v>340</v>
      </c>
      <c r="B56" t="s">
        <v>341</v>
      </c>
      <c r="C56" t="s">
        <v>56</v>
      </c>
      <c r="D56">
        <v>51</v>
      </c>
      <c r="E56" t="s">
        <v>81</v>
      </c>
      <c r="F56" t="s">
        <v>82</v>
      </c>
      <c r="G56" t="s">
        <v>58</v>
      </c>
      <c r="H56" t="s">
        <v>342</v>
      </c>
      <c r="I56" t="s">
        <v>343</v>
      </c>
      <c r="J56">
        <v>8</v>
      </c>
      <c r="K56" t="s">
        <v>344</v>
      </c>
      <c r="L56" t="s">
        <v>345</v>
      </c>
      <c r="M56">
        <v>15</v>
      </c>
      <c r="N56" t="s">
        <v>34</v>
      </c>
      <c r="O56" t="s">
        <v>35</v>
      </c>
      <c r="Q56" t="s">
        <v>36</v>
      </c>
      <c r="R56">
        <v>20</v>
      </c>
      <c r="S56" t="s">
        <v>49</v>
      </c>
      <c r="T56" t="s">
        <v>38</v>
      </c>
      <c r="U56">
        <v>5</v>
      </c>
      <c r="V56" t="s">
        <v>39</v>
      </c>
      <c r="W56" t="s">
        <v>103</v>
      </c>
      <c r="X56" t="s">
        <v>52</v>
      </c>
      <c r="Y56" t="s">
        <v>71</v>
      </c>
    </row>
    <row r="57" spans="1:25">
      <c r="A57" t="s">
        <v>346</v>
      </c>
      <c r="B57" t="s">
        <v>347</v>
      </c>
      <c r="C57" t="s">
        <v>27</v>
      </c>
      <c r="D57">
        <v>30</v>
      </c>
      <c r="E57" t="s">
        <v>149</v>
      </c>
      <c r="F57" t="s">
        <v>29</v>
      </c>
      <c r="G57" t="s">
        <v>30</v>
      </c>
      <c r="H57" t="s">
        <v>348</v>
      </c>
      <c r="I57" t="s">
        <v>349</v>
      </c>
      <c r="J57">
        <v>6</v>
      </c>
      <c r="K57" t="s">
        <v>348</v>
      </c>
      <c r="L57" t="s">
        <v>350</v>
      </c>
      <c r="M57">
        <v>14</v>
      </c>
      <c r="N57" t="s">
        <v>34</v>
      </c>
      <c r="O57" t="s">
        <v>35</v>
      </c>
      <c r="Q57" t="s">
        <v>36</v>
      </c>
      <c r="R57">
        <v>40</v>
      </c>
      <c r="S57" t="s">
        <v>49</v>
      </c>
      <c r="T57" t="s">
        <v>69</v>
      </c>
      <c r="U57">
        <v>3</v>
      </c>
      <c r="V57" t="s">
        <v>70</v>
      </c>
      <c r="W57" t="s">
        <v>165</v>
      </c>
      <c r="X57" t="s">
        <v>41</v>
      </c>
      <c r="Y57" t="s">
        <v>42</v>
      </c>
    </row>
    <row r="58" spans="1:25">
      <c r="A58" t="s">
        <v>351</v>
      </c>
      <c r="B58" t="s">
        <v>352</v>
      </c>
      <c r="C58" t="s">
        <v>204</v>
      </c>
      <c r="D58">
        <v>36</v>
      </c>
      <c r="E58" t="s">
        <v>81</v>
      </c>
      <c r="F58" t="s">
        <v>82</v>
      </c>
      <c r="G58" t="s">
        <v>83</v>
      </c>
      <c r="H58" t="s">
        <v>353</v>
      </c>
      <c r="I58" t="s">
        <v>354</v>
      </c>
      <c r="J58">
        <v>8</v>
      </c>
      <c r="K58" t="s">
        <v>355</v>
      </c>
      <c r="L58" t="s">
        <v>356</v>
      </c>
      <c r="M58">
        <v>14</v>
      </c>
      <c r="N58" t="s">
        <v>34</v>
      </c>
      <c r="O58" t="s">
        <v>35</v>
      </c>
      <c r="Q58" t="s">
        <v>36</v>
      </c>
      <c r="R58">
        <v>20</v>
      </c>
      <c r="S58" t="s">
        <v>49</v>
      </c>
      <c r="T58" t="s">
        <v>88</v>
      </c>
      <c r="U58">
        <v>2</v>
      </c>
      <c r="V58" t="s">
        <v>62</v>
      </c>
      <c r="W58" t="s">
        <v>51</v>
      </c>
      <c r="X58" t="s">
        <v>52</v>
      </c>
      <c r="Y58" t="s">
        <v>42</v>
      </c>
    </row>
    <row r="59" spans="1:25">
      <c r="A59" t="s">
        <v>357</v>
      </c>
      <c r="B59" t="s">
        <v>358</v>
      </c>
      <c r="C59" t="s">
        <v>204</v>
      </c>
      <c r="D59">
        <v>9</v>
      </c>
      <c r="E59" t="s">
        <v>28</v>
      </c>
      <c r="F59" t="s">
        <v>29</v>
      </c>
      <c r="G59" t="s">
        <v>93</v>
      </c>
      <c r="H59" t="s">
        <v>86</v>
      </c>
      <c r="I59" t="s">
        <v>359</v>
      </c>
      <c r="J59">
        <v>5</v>
      </c>
      <c r="K59" t="s">
        <v>86</v>
      </c>
      <c r="L59" t="s">
        <v>360</v>
      </c>
      <c r="M59">
        <v>5</v>
      </c>
      <c r="N59" t="s">
        <v>68</v>
      </c>
      <c r="O59" t="s">
        <v>35</v>
      </c>
      <c r="Q59" t="s">
        <v>36</v>
      </c>
      <c r="R59">
        <v>35</v>
      </c>
      <c r="S59" t="s">
        <v>37</v>
      </c>
      <c r="T59" t="s">
        <v>69</v>
      </c>
      <c r="U59">
        <v>2</v>
      </c>
      <c r="V59" t="s">
        <v>39</v>
      </c>
      <c r="W59" t="s">
        <v>165</v>
      </c>
      <c r="X59" t="s">
        <v>52</v>
      </c>
      <c r="Y59" t="s">
        <v>42</v>
      </c>
    </row>
    <row r="60" spans="1:25">
      <c r="A60" t="s">
        <v>361</v>
      </c>
      <c r="B60" t="s">
        <v>362</v>
      </c>
      <c r="C60" t="s">
        <v>204</v>
      </c>
      <c r="D60">
        <v>75</v>
      </c>
      <c r="E60" t="s">
        <v>92</v>
      </c>
      <c r="F60" t="s">
        <v>29</v>
      </c>
      <c r="G60" t="s">
        <v>83</v>
      </c>
      <c r="H60" t="s">
        <v>363</v>
      </c>
      <c r="I60" t="s">
        <v>364</v>
      </c>
      <c r="J60">
        <v>24</v>
      </c>
      <c r="K60" t="s">
        <v>365</v>
      </c>
      <c r="L60" t="s">
        <v>366</v>
      </c>
      <c r="M60">
        <v>23</v>
      </c>
      <c r="N60" t="s">
        <v>68</v>
      </c>
      <c r="O60" t="s">
        <v>35</v>
      </c>
      <c r="Q60" t="s">
        <v>36</v>
      </c>
      <c r="R60">
        <v>50</v>
      </c>
      <c r="S60" t="s">
        <v>37</v>
      </c>
      <c r="T60" t="s">
        <v>96</v>
      </c>
      <c r="U60">
        <v>3</v>
      </c>
      <c r="V60" t="s">
        <v>62</v>
      </c>
      <c r="W60" t="s">
        <v>165</v>
      </c>
      <c r="X60" t="s">
        <v>52</v>
      </c>
      <c r="Y60" t="s">
        <v>53</v>
      </c>
    </row>
    <row r="61" spans="1:25">
      <c r="A61" t="s">
        <v>367</v>
      </c>
      <c r="B61" t="s">
        <v>368</v>
      </c>
      <c r="C61" t="s">
        <v>27</v>
      </c>
      <c r="D61">
        <v>46</v>
      </c>
      <c r="E61" t="s">
        <v>28</v>
      </c>
      <c r="F61" t="s">
        <v>29</v>
      </c>
      <c r="G61" t="s">
        <v>93</v>
      </c>
      <c r="H61" t="s">
        <v>369</v>
      </c>
      <c r="I61" t="s">
        <v>370</v>
      </c>
      <c r="J61">
        <v>5</v>
      </c>
      <c r="K61" t="s">
        <v>369</v>
      </c>
      <c r="L61" t="s">
        <v>371</v>
      </c>
      <c r="M61">
        <v>9</v>
      </c>
      <c r="N61" t="s">
        <v>34</v>
      </c>
      <c r="O61" t="s">
        <v>35</v>
      </c>
      <c r="Q61" t="s">
        <v>36</v>
      </c>
      <c r="R61">
        <v>35</v>
      </c>
      <c r="S61" t="s">
        <v>77</v>
      </c>
      <c r="T61" t="s">
        <v>96</v>
      </c>
      <c r="U61">
        <v>3</v>
      </c>
      <c r="V61" t="s">
        <v>89</v>
      </c>
      <c r="W61" t="s">
        <v>165</v>
      </c>
      <c r="X61" t="s">
        <v>41</v>
      </c>
      <c r="Y61" t="s">
        <v>42</v>
      </c>
    </row>
    <row r="62" spans="1:25">
      <c r="A62" t="s">
        <v>372</v>
      </c>
      <c r="B62" t="s">
        <v>373</v>
      </c>
      <c r="C62" t="s">
        <v>204</v>
      </c>
      <c r="D62">
        <v>65</v>
      </c>
      <c r="E62" t="s">
        <v>28</v>
      </c>
      <c r="F62" t="s">
        <v>29</v>
      </c>
      <c r="G62" t="s">
        <v>30</v>
      </c>
      <c r="H62" t="s">
        <v>278</v>
      </c>
      <c r="I62" t="s">
        <v>374</v>
      </c>
      <c r="J62">
        <v>5</v>
      </c>
      <c r="K62" t="s">
        <v>375</v>
      </c>
      <c r="L62" t="s">
        <v>376</v>
      </c>
      <c r="M62">
        <v>10</v>
      </c>
      <c r="N62" t="s">
        <v>34</v>
      </c>
      <c r="O62" t="s">
        <v>35</v>
      </c>
      <c r="Q62" t="s">
        <v>36</v>
      </c>
      <c r="R62">
        <v>35</v>
      </c>
      <c r="S62" t="s">
        <v>37</v>
      </c>
      <c r="T62" t="s">
        <v>69</v>
      </c>
      <c r="U62">
        <v>2</v>
      </c>
      <c r="V62" t="s">
        <v>89</v>
      </c>
      <c r="W62" t="s">
        <v>51</v>
      </c>
      <c r="X62" t="s">
        <v>52</v>
      </c>
      <c r="Y62" t="s">
        <v>53</v>
      </c>
    </row>
    <row r="63" spans="1:25">
      <c r="A63" t="s">
        <v>377</v>
      </c>
      <c r="B63" t="s">
        <v>378</v>
      </c>
      <c r="C63" t="s">
        <v>204</v>
      </c>
      <c r="D63">
        <v>31</v>
      </c>
      <c r="E63" t="s">
        <v>81</v>
      </c>
      <c r="F63" t="s">
        <v>82</v>
      </c>
      <c r="G63" t="s">
        <v>168</v>
      </c>
      <c r="H63" t="s">
        <v>379</v>
      </c>
      <c r="I63" t="s">
        <v>380</v>
      </c>
      <c r="J63">
        <v>8</v>
      </c>
      <c r="K63" t="s">
        <v>379</v>
      </c>
      <c r="L63" t="s">
        <v>381</v>
      </c>
      <c r="M63">
        <v>15</v>
      </c>
      <c r="N63" t="s">
        <v>34</v>
      </c>
      <c r="O63" t="s">
        <v>35</v>
      </c>
      <c r="Q63" t="s">
        <v>36</v>
      </c>
      <c r="R63">
        <v>20</v>
      </c>
      <c r="S63" t="s">
        <v>37</v>
      </c>
      <c r="T63" t="s">
        <v>88</v>
      </c>
      <c r="U63">
        <v>4</v>
      </c>
      <c r="V63" t="s">
        <v>62</v>
      </c>
      <c r="W63" t="s">
        <v>165</v>
      </c>
      <c r="X63" t="s">
        <v>109</v>
      </c>
      <c r="Y63" t="s">
        <v>53</v>
      </c>
    </row>
    <row r="64" spans="1:25">
      <c r="A64" t="s">
        <v>382</v>
      </c>
      <c r="B64" t="s">
        <v>383</v>
      </c>
      <c r="C64" t="s">
        <v>80</v>
      </c>
      <c r="D64">
        <v>43</v>
      </c>
      <c r="E64" t="s">
        <v>173</v>
      </c>
      <c r="F64" t="s">
        <v>29</v>
      </c>
      <c r="G64" t="s">
        <v>150</v>
      </c>
      <c r="H64" t="s">
        <v>384</v>
      </c>
      <c r="I64" t="s">
        <v>100</v>
      </c>
      <c r="J64">
        <v>4</v>
      </c>
      <c r="K64" t="s">
        <v>384</v>
      </c>
      <c r="L64" t="s">
        <v>385</v>
      </c>
      <c r="M64">
        <v>8</v>
      </c>
      <c r="N64" t="s">
        <v>34</v>
      </c>
      <c r="O64" t="s">
        <v>35</v>
      </c>
      <c r="Q64" t="s">
        <v>36</v>
      </c>
      <c r="R64">
        <v>25</v>
      </c>
      <c r="S64" t="s">
        <v>49</v>
      </c>
      <c r="T64" t="s">
        <v>38</v>
      </c>
      <c r="U64">
        <v>3</v>
      </c>
      <c r="V64" t="s">
        <v>39</v>
      </c>
      <c r="W64" t="s">
        <v>103</v>
      </c>
      <c r="X64" t="s">
        <v>52</v>
      </c>
      <c r="Y64" t="s">
        <v>53</v>
      </c>
    </row>
    <row r="65" spans="1:25">
      <c r="A65" t="s">
        <v>386</v>
      </c>
      <c r="B65" t="s">
        <v>387</v>
      </c>
      <c r="C65" t="s">
        <v>56</v>
      </c>
      <c r="D65">
        <v>76</v>
      </c>
      <c r="E65" t="s">
        <v>57</v>
      </c>
      <c r="F65" t="s">
        <v>29</v>
      </c>
      <c r="G65" t="s">
        <v>83</v>
      </c>
      <c r="H65" t="s">
        <v>388</v>
      </c>
      <c r="I65" t="s">
        <v>389</v>
      </c>
      <c r="J65">
        <v>3</v>
      </c>
      <c r="K65" t="s">
        <v>388</v>
      </c>
      <c r="L65" t="s">
        <v>390</v>
      </c>
      <c r="M65">
        <v>8</v>
      </c>
      <c r="N65" t="s">
        <v>34</v>
      </c>
      <c r="O65" t="s">
        <v>270</v>
      </c>
      <c r="P65" t="s">
        <v>391</v>
      </c>
      <c r="Q65" t="s">
        <v>36</v>
      </c>
      <c r="R65">
        <v>15</v>
      </c>
      <c r="S65" t="s">
        <v>37</v>
      </c>
      <c r="T65" t="s">
        <v>88</v>
      </c>
      <c r="U65">
        <v>5</v>
      </c>
      <c r="V65" t="s">
        <v>39</v>
      </c>
      <c r="W65" t="s">
        <v>40</v>
      </c>
      <c r="X65" t="s">
        <v>52</v>
      </c>
      <c r="Y65" t="s">
        <v>42</v>
      </c>
    </row>
    <row r="66" spans="1:25">
      <c r="A66" t="s">
        <v>392</v>
      </c>
      <c r="B66" t="s">
        <v>393</v>
      </c>
      <c r="C66" t="s">
        <v>27</v>
      </c>
      <c r="D66">
        <v>87</v>
      </c>
      <c r="E66" t="s">
        <v>57</v>
      </c>
      <c r="F66" t="s">
        <v>29</v>
      </c>
      <c r="G66" t="s">
        <v>58</v>
      </c>
      <c r="H66" t="s">
        <v>394</v>
      </c>
      <c r="I66" t="s">
        <v>395</v>
      </c>
      <c r="J66">
        <v>3</v>
      </c>
      <c r="K66" t="s">
        <v>396</v>
      </c>
      <c r="L66" t="s">
        <v>397</v>
      </c>
      <c r="M66">
        <v>11</v>
      </c>
      <c r="N66" t="s">
        <v>34</v>
      </c>
      <c r="O66" t="s">
        <v>35</v>
      </c>
      <c r="Q66" t="s">
        <v>36</v>
      </c>
      <c r="R66">
        <v>15</v>
      </c>
      <c r="S66" t="s">
        <v>37</v>
      </c>
      <c r="T66" t="s">
        <v>69</v>
      </c>
      <c r="U66">
        <v>2</v>
      </c>
      <c r="V66" t="s">
        <v>62</v>
      </c>
      <c r="W66" t="s">
        <v>51</v>
      </c>
      <c r="X66" t="s">
        <v>41</v>
      </c>
      <c r="Y66" t="s">
        <v>53</v>
      </c>
    </row>
    <row r="67" spans="1:25">
      <c r="A67" t="s">
        <v>398</v>
      </c>
      <c r="B67" t="s">
        <v>399</v>
      </c>
      <c r="C67" t="s">
        <v>27</v>
      </c>
      <c r="D67">
        <v>58</v>
      </c>
      <c r="E67" t="s">
        <v>173</v>
      </c>
      <c r="F67" t="s">
        <v>29</v>
      </c>
      <c r="G67" t="s">
        <v>168</v>
      </c>
      <c r="H67" t="s">
        <v>400</v>
      </c>
      <c r="I67" t="s">
        <v>401</v>
      </c>
      <c r="J67">
        <v>4</v>
      </c>
      <c r="K67" t="s">
        <v>400</v>
      </c>
      <c r="L67" t="s">
        <v>402</v>
      </c>
      <c r="M67">
        <v>12</v>
      </c>
      <c r="N67" t="s">
        <v>34</v>
      </c>
      <c r="O67" t="s">
        <v>270</v>
      </c>
      <c r="P67" t="s">
        <v>271</v>
      </c>
      <c r="Q67" t="s">
        <v>36</v>
      </c>
      <c r="R67">
        <v>25</v>
      </c>
      <c r="S67" t="s">
        <v>37</v>
      </c>
      <c r="T67" t="s">
        <v>164</v>
      </c>
      <c r="U67">
        <v>3</v>
      </c>
      <c r="V67" t="s">
        <v>62</v>
      </c>
      <c r="W67" t="s">
        <v>103</v>
      </c>
      <c r="X67" t="s">
        <v>41</v>
      </c>
      <c r="Y67" t="s">
        <v>42</v>
      </c>
    </row>
    <row r="68" spans="1:25">
      <c r="A68" t="s">
        <v>403</v>
      </c>
      <c r="B68" t="s">
        <v>404</v>
      </c>
      <c r="C68" t="s">
        <v>27</v>
      </c>
      <c r="D68">
        <v>82</v>
      </c>
      <c r="E68" t="s">
        <v>149</v>
      </c>
      <c r="F68" t="s">
        <v>29</v>
      </c>
      <c r="G68" t="s">
        <v>30</v>
      </c>
      <c r="H68" t="s">
        <v>405</v>
      </c>
      <c r="I68" t="s">
        <v>406</v>
      </c>
      <c r="J68">
        <v>6</v>
      </c>
      <c r="K68" t="s">
        <v>407</v>
      </c>
      <c r="L68" t="s">
        <v>408</v>
      </c>
      <c r="M68">
        <v>12</v>
      </c>
      <c r="N68" t="s">
        <v>34</v>
      </c>
      <c r="O68" t="s">
        <v>35</v>
      </c>
      <c r="Q68" t="s">
        <v>36</v>
      </c>
      <c r="R68">
        <v>40</v>
      </c>
      <c r="S68" t="s">
        <v>77</v>
      </c>
      <c r="T68" t="s">
        <v>38</v>
      </c>
      <c r="U68">
        <v>2</v>
      </c>
      <c r="V68" t="s">
        <v>39</v>
      </c>
      <c r="W68" t="s">
        <v>51</v>
      </c>
      <c r="X68" t="s">
        <v>52</v>
      </c>
      <c r="Y68" t="s">
        <v>71</v>
      </c>
    </row>
    <row r="69" spans="1:25">
      <c r="A69" t="s">
        <v>409</v>
      </c>
      <c r="B69" t="s">
        <v>410</v>
      </c>
      <c r="C69" t="s">
        <v>56</v>
      </c>
      <c r="D69">
        <v>62</v>
      </c>
      <c r="E69" t="s">
        <v>149</v>
      </c>
      <c r="F69" t="s">
        <v>29</v>
      </c>
      <c r="G69" t="s">
        <v>30</v>
      </c>
      <c r="H69" t="s">
        <v>411</v>
      </c>
      <c r="I69" t="s">
        <v>412</v>
      </c>
      <c r="J69">
        <v>6</v>
      </c>
      <c r="K69" t="s">
        <v>413</v>
      </c>
      <c r="L69" t="s">
        <v>414</v>
      </c>
      <c r="M69">
        <v>13</v>
      </c>
      <c r="N69" t="s">
        <v>34</v>
      </c>
      <c r="O69" t="s">
        <v>35</v>
      </c>
      <c r="Q69" t="s">
        <v>36</v>
      </c>
      <c r="R69">
        <v>40</v>
      </c>
      <c r="S69" t="s">
        <v>49</v>
      </c>
      <c r="T69" t="s">
        <v>88</v>
      </c>
      <c r="U69">
        <v>3</v>
      </c>
      <c r="V69" t="s">
        <v>62</v>
      </c>
      <c r="W69" t="s">
        <v>40</v>
      </c>
      <c r="X69" t="s">
        <v>52</v>
      </c>
      <c r="Y69" t="s">
        <v>42</v>
      </c>
    </row>
    <row r="70" spans="1:25">
      <c r="A70" t="s">
        <v>415</v>
      </c>
      <c r="B70" t="s">
        <v>416</v>
      </c>
      <c r="C70" t="s">
        <v>27</v>
      </c>
      <c r="D70">
        <v>78</v>
      </c>
      <c r="E70" t="s">
        <v>173</v>
      </c>
      <c r="F70" t="s">
        <v>29</v>
      </c>
      <c r="G70" t="s">
        <v>168</v>
      </c>
      <c r="H70" t="s">
        <v>379</v>
      </c>
      <c r="I70" t="s">
        <v>417</v>
      </c>
      <c r="J70">
        <v>4</v>
      </c>
      <c r="K70" t="s">
        <v>379</v>
      </c>
      <c r="L70" t="s">
        <v>418</v>
      </c>
      <c r="M70">
        <v>9</v>
      </c>
      <c r="N70" t="s">
        <v>34</v>
      </c>
      <c r="O70" t="s">
        <v>35</v>
      </c>
      <c r="Q70" t="s">
        <v>36</v>
      </c>
      <c r="R70">
        <v>25</v>
      </c>
      <c r="S70" t="s">
        <v>37</v>
      </c>
      <c r="T70" t="s">
        <v>50</v>
      </c>
      <c r="U70">
        <v>4</v>
      </c>
      <c r="V70" t="s">
        <v>89</v>
      </c>
      <c r="W70" t="s">
        <v>40</v>
      </c>
      <c r="X70" t="s">
        <v>41</v>
      </c>
      <c r="Y70" t="s">
        <v>71</v>
      </c>
    </row>
    <row r="71" spans="1:25">
      <c r="A71" t="s">
        <v>419</v>
      </c>
      <c r="B71" t="s">
        <v>420</v>
      </c>
      <c r="C71" t="s">
        <v>56</v>
      </c>
      <c r="D71">
        <v>52</v>
      </c>
      <c r="E71" t="s">
        <v>173</v>
      </c>
      <c r="F71" t="s">
        <v>29</v>
      </c>
      <c r="G71" t="s">
        <v>93</v>
      </c>
      <c r="H71" t="s">
        <v>421</v>
      </c>
      <c r="I71" t="s">
        <v>422</v>
      </c>
      <c r="J71">
        <v>4</v>
      </c>
      <c r="K71" t="s">
        <v>421</v>
      </c>
      <c r="L71" t="s">
        <v>423</v>
      </c>
      <c r="M71">
        <v>9</v>
      </c>
      <c r="N71" t="s">
        <v>34</v>
      </c>
      <c r="O71" t="s">
        <v>35</v>
      </c>
      <c r="Q71" t="s">
        <v>36</v>
      </c>
      <c r="R71">
        <v>25</v>
      </c>
      <c r="S71" t="s">
        <v>77</v>
      </c>
      <c r="T71" t="s">
        <v>50</v>
      </c>
      <c r="U71">
        <v>1</v>
      </c>
      <c r="V71" t="s">
        <v>39</v>
      </c>
      <c r="W71" t="s">
        <v>40</v>
      </c>
      <c r="X71" t="s">
        <v>41</v>
      </c>
      <c r="Y71" t="s">
        <v>53</v>
      </c>
    </row>
    <row r="72" spans="1:25">
      <c r="A72" t="s">
        <v>424</v>
      </c>
      <c r="B72" t="s">
        <v>425</v>
      </c>
      <c r="C72" t="s">
        <v>27</v>
      </c>
      <c r="D72">
        <v>40</v>
      </c>
      <c r="E72" t="s">
        <v>149</v>
      </c>
      <c r="F72" t="s">
        <v>29</v>
      </c>
      <c r="G72" t="s">
        <v>150</v>
      </c>
      <c r="H72" t="s">
        <v>369</v>
      </c>
      <c r="I72" t="s">
        <v>426</v>
      </c>
      <c r="J72">
        <v>6</v>
      </c>
      <c r="K72" t="s">
        <v>427</v>
      </c>
      <c r="L72" t="s">
        <v>428</v>
      </c>
      <c r="M72">
        <v>14</v>
      </c>
      <c r="N72" t="s">
        <v>34</v>
      </c>
      <c r="O72" t="s">
        <v>35</v>
      </c>
      <c r="Q72" t="s">
        <v>36</v>
      </c>
      <c r="R72">
        <v>40</v>
      </c>
      <c r="S72" t="s">
        <v>37</v>
      </c>
      <c r="T72" t="s">
        <v>69</v>
      </c>
      <c r="U72">
        <v>4</v>
      </c>
      <c r="V72" t="s">
        <v>70</v>
      </c>
      <c r="W72" t="s">
        <v>51</v>
      </c>
      <c r="X72" t="s">
        <v>41</v>
      </c>
      <c r="Y72" t="s">
        <v>42</v>
      </c>
    </row>
    <row r="73" spans="1:25">
      <c r="A73" t="s">
        <v>429</v>
      </c>
      <c r="B73" t="s">
        <v>430</v>
      </c>
      <c r="C73" t="s">
        <v>27</v>
      </c>
      <c r="D73">
        <v>67</v>
      </c>
      <c r="E73" t="s">
        <v>92</v>
      </c>
      <c r="F73" t="s">
        <v>29</v>
      </c>
      <c r="G73" t="s">
        <v>93</v>
      </c>
      <c r="H73" t="s">
        <v>431</v>
      </c>
      <c r="I73" t="s">
        <v>432</v>
      </c>
      <c r="J73">
        <v>24</v>
      </c>
      <c r="K73" t="s">
        <v>433</v>
      </c>
      <c r="L73" t="s">
        <v>434</v>
      </c>
      <c r="M73">
        <v>27</v>
      </c>
      <c r="N73" t="s">
        <v>34</v>
      </c>
      <c r="O73" t="s">
        <v>35</v>
      </c>
      <c r="Q73" t="s">
        <v>36</v>
      </c>
      <c r="R73">
        <v>50</v>
      </c>
      <c r="S73" t="s">
        <v>77</v>
      </c>
      <c r="T73" t="s">
        <v>50</v>
      </c>
      <c r="U73">
        <v>5</v>
      </c>
      <c r="V73" t="s">
        <v>89</v>
      </c>
      <c r="W73" t="s">
        <v>165</v>
      </c>
      <c r="X73" t="s">
        <v>41</v>
      </c>
      <c r="Y73" t="s">
        <v>53</v>
      </c>
    </row>
    <row r="74" spans="1:25">
      <c r="A74" t="s">
        <v>435</v>
      </c>
      <c r="B74" t="s">
        <v>436</v>
      </c>
      <c r="C74" t="s">
        <v>56</v>
      </c>
      <c r="D74">
        <v>81</v>
      </c>
      <c r="E74" t="s">
        <v>149</v>
      </c>
      <c r="F74" t="s">
        <v>29</v>
      </c>
      <c r="G74" t="s">
        <v>93</v>
      </c>
      <c r="H74" t="s">
        <v>437</v>
      </c>
      <c r="I74" t="s">
        <v>438</v>
      </c>
      <c r="J74">
        <v>6</v>
      </c>
      <c r="K74" t="s">
        <v>437</v>
      </c>
      <c r="L74" t="s">
        <v>439</v>
      </c>
      <c r="M74">
        <v>6</v>
      </c>
      <c r="N74" t="s">
        <v>68</v>
      </c>
      <c r="O74" t="s">
        <v>35</v>
      </c>
      <c r="Q74" t="s">
        <v>36</v>
      </c>
      <c r="R74">
        <v>40</v>
      </c>
      <c r="S74" t="s">
        <v>49</v>
      </c>
      <c r="T74" t="s">
        <v>38</v>
      </c>
      <c r="U74">
        <v>2</v>
      </c>
      <c r="V74" t="s">
        <v>89</v>
      </c>
      <c r="W74" t="s">
        <v>40</v>
      </c>
      <c r="X74" t="s">
        <v>41</v>
      </c>
      <c r="Y74" t="s">
        <v>71</v>
      </c>
    </row>
    <row r="75" spans="1:25">
      <c r="A75" t="s">
        <v>440</v>
      </c>
      <c r="B75" t="s">
        <v>441</v>
      </c>
      <c r="C75" t="s">
        <v>204</v>
      </c>
      <c r="D75">
        <v>50</v>
      </c>
      <c r="E75" t="s">
        <v>57</v>
      </c>
      <c r="F75" t="s">
        <v>29</v>
      </c>
      <c r="G75" t="s">
        <v>93</v>
      </c>
      <c r="H75" t="s">
        <v>442</v>
      </c>
      <c r="I75" t="s">
        <v>359</v>
      </c>
      <c r="J75">
        <v>3</v>
      </c>
      <c r="K75" t="s">
        <v>442</v>
      </c>
      <c r="L75" t="s">
        <v>443</v>
      </c>
      <c r="M75">
        <v>9</v>
      </c>
      <c r="N75" t="s">
        <v>34</v>
      </c>
      <c r="O75" t="s">
        <v>270</v>
      </c>
      <c r="P75" t="s">
        <v>271</v>
      </c>
      <c r="Q75" t="s">
        <v>36</v>
      </c>
      <c r="R75">
        <v>15</v>
      </c>
      <c r="S75" t="s">
        <v>77</v>
      </c>
      <c r="T75" t="s">
        <v>50</v>
      </c>
      <c r="U75">
        <v>5</v>
      </c>
      <c r="V75" t="s">
        <v>62</v>
      </c>
      <c r="W75" t="s">
        <v>165</v>
      </c>
      <c r="X75" t="s">
        <v>52</v>
      </c>
      <c r="Y75" t="s">
        <v>53</v>
      </c>
    </row>
    <row r="76" spans="1:25">
      <c r="A76" t="s">
        <v>444</v>
      </c>
      <c r="B76" t="s">
        <v>445</v>
      </c>
      <c r="C76" t="s">
        <v>27</v>
      </c>
      <c r="D76">
        <v>5</v>
      </c>
      <c r="E76" t="s">
        <v>92</v>
      </c>
      <c r="F76" t="s">
        <v>29</v>
      </c>
      <c r="G76" t="s">
        <v>93</v>
      </c>
      <c r="H76" t="s">
        <v>446</v>
      </c>
      <c r="I76" t="s">
        <v>447</v>
      </c>
      <c r="J76">
        <v>24</v>
      </c>
      <c r="K76" t="s">
        <v>217</v>
      </c>
      <c r="L76" t="s">
        <v>448</v>
      </c>
      <c r="M76">
        <v>26</v>
      </c>
      <c r="N76" t="s">
        <v>34</v>
      </c>
      <c r="O76" t="s">
        <v>35</v>
      </c>
      <c r="Q76" t="s">
        <v>36</v>
      </c>
      <c r="R76">
        <v>50</v>
      </c>
      <c r="S76" t="s">
        <v>49</v>
      </c>
      <c r="T76" t="s">
        <v>96</v>
      </c>
      <c r="U76">
        <v>1</v>
      </c>
      <c r="V76" t="s">
        <v>62</v>
      </c>
      <c r="W76" t="s">
        <v>51</v>
      </c>
      <c r="X76" t="s">
        <v>41</v>
      </c>
      <c r="Y76" t="s">
        <v>71</v>
      </c>
    </row>
    <row r="77" spans="1:25">
      <c r="A77" t="s">
        <v>449</v>
      </c>
      <c r="B77" t="s">
        <v>450</v>
      </c>
      <c r="C77" t="s">
        <v>80</v>
      </c>
      <c r="D77">
        <v>39</v>
      </c>
      <c r="E77" t="s">
        <v>149</v>
      </c>
      <c r="F77" t="s">
        <v>29</v>
      </c>
      <c r="G77" t="s">
        <v>150</v>
      </c>
      <c r="H77" t="s">
        <v>451</v>
      </c>
      <c r="I77" t="s">
        <v>452</v>
      </c>
      <c r="J77">
        <v>6</v>
      </c>
      <c r="K77" t="s">
        <v>451</v>
      </c>
      <c r="L77" t="s">
        <v>453</v>
      </c>
      <c r="M77">
        <v>14</v>
      </c>
      <c r="N77" t="s">
        <v>34</v>
      </c>
      <c r="O77" t="s">
        <v>35</v>
      </c>
      <c r="Q77" t="s">
        <v>36</v>
      </c>
      <c r="R77">
        <v>40</v>
      </c>
      <c r="S77" t="s">
        <v>77</v>
      </c>
      <c r="T77" t="s">
        <v>96</v>
      </c>
      <c r="U77">
        <v>3</v>
      </c>
      <c r="V77" t="s">
        <v>39</v>
      </c>
      <c r="W77" t="s">
        <v>103</v>
      </c>
      <c r="X77" t="s">
        <v>52</v>
      </c>
      <c r="Y77" t="s">
        <v>53</v>
      </c>
    </row>
    <row r="78" spans="1:25">
      <c r="A78" t="s">
        <v>454</v>
      </c>
      <c r="B78" t="s">
        <v>455</v>
      </c>
      <c r="C78" t="s">
        <v>204</v>
      </c>
      <c r="D78">
        <v>83</v>
      </c>
      <c r="E78" t="s">
        <v>28</v>
      </c>
      <c r="F78" t="s">
        <v>29</v>
      </c>
      <c r="G78" t="s">
        <v>168</v>
      </c>
      <c r="H78" t="s">
        <v>194</v>
      </c>
      <c r="I78" t="s">
        <v>456</v>
      </c>
      <c r="J78">
        <v>5</v>
      </c>
      <c r="K78" t="s">
        <v>112</v>
      </c>
      <c r="L78" t="s">
        <v>457</v>
      </c>
      <c r="M78">
        <v>13</v>
      </c>
      <c r="N78" t="s">
        <v>34</v>
      </c>
      <c r="O78" t="s">
        <v>35</v>
      </c>
      <c r="Q78" t="s">
        <v>36</v>
      </c>
      <c r="R78">
        <v>35</v>
      </c>
      <c r="S78" t="s">
        <v>37</v>
      </c>
      <c r="T78" t="s">
        <v>38</v>
      </c>
      <c r="U78">
        <v>4</v>
      </c>
      <c r="V78" t="s">
        <v>89</v>
      </c>
      <c r="W78" t="s">
        <v>51</v>
      </c>
      <c r="X78" t="s">
        <v>109</v>
      </c>
      <c r="Y78" t="s">
        <v>53</v>
      </c>
    </row>
    <row r="79" spans="1:25">
      <c r="A79" t="s">
        <v>458</v>
      </c>
      <c r="B79" t="s">
        <v>459</v>
      </c>
      <c r="C79" t="s">
        <v>204</v>
      </c>
      <c r="D79">
        <v>4</v>
      </c>
      <c r="E79" t="s">
        <v>149</v>
      </c>
      <c r="F79" t="s">
        <v>29</v>
      </c>
      <c r="G79" t="s">
        <v>45</v>
      </c>
      <c r="H79" t="s">
        <v>141</v>
      </c>
      <c r="I79" t="s">
        <v>460</v>
      </c>
      <c r="J79">
        <v>6</v>
      </c>
      <c r="K79" t="s">
        <v>141</v>
      </c>
      <c r="L79" t="s">
        <v>461</v>
      </c>
      <c r="M79">
        <v>10</v>
      </c>
      <c r="N79" t="s">
        <v>34</v>
      </c>
      <c r="O79" t="s">
        <v>35</v>
      </c>
      <c r="Q79" t="s">
        <v>36</v>
      </c>
      <c r="R79">
        <v>40</v>
      </c>
      <c r="S79" t="s">
        <v>37</v>
      </c>
      <c r="T79" t="s">
        <v>88</v>
      </c>
      <c r="U79">
        <v>2</v>
      </c>
      <c r="V79" t="s">
        <v>62</v>
      </c>
      <c r="W79" t="s">
        <v>51</v>
      </c>
      <c r="X79" t="s">
        <v>41</v>
      </c>
      <c r="Y79" t="s">
        <v>71</v>
      </c>
    </row>
    <row r="80" spans="1:25">
      <c r="A80" t="s">
        <v>462</v>
      </c>
      <c r="B80" t="s">
        <v>463</v>
      </c>
      <c r="C80" t="s">
        <v>80</v>
      </c>
      <c r="D80">
        <v>47</v>
      </c>
      <c r="E80" t="s">
        <v>57</v>
      </c>
      <c r="F80" t="s">
        <v>29</v>
      </c>
      <c r="G80" t="s">
        <v>83</v>
      </c>
      <c r="H80" t="s">
        <v>464</v>
      </c>
      <c r="I80" t="s">
        <v>465</v>
      </c>
      <c r="J80">
        <v>3</v>
      </c>
      <c r="K80" t="s">
        <v>464</v>
      </c>
      <c r="L80" t="s">
        <v>466</v>
      </c>
      <c r="M80">
        <v>2</v>
      </c>
      <c r="N80" t="s">
        <v>68</v>
      </c>
      <c r="O80" t="s">
        <v>35</v>
      </c>
      <c r="Q80" t="s">
        <v>36</v>
      </c>
      <c r="R80">
        <v>15</v>
      </c>
      <c r="S80" t="s">
        <v>37</v>
      </c>
      <c r="T80" t="s">
        <v>164</v>
      </c>
      <c r="U80">
        <v>2</v>
      </c>
      <c r="V80" t="s">
        <v>62</v>
      </c>
      <c r="W80" t="s">
        <v>51</v>
      </c>
      <c r="X80" t="s">
        <v>52</v>
      </c>
      <c r="Y80" t="s">
        <v>53</v>
      </c>
    </row>
    <row r="81" spans="1:25">
      <c r="A81" t="s">
        <v>467</v>
      </c>
      <c r="B81" t="s">
        <v>468</v>
      </c>
      <c r="C81" t="s">
        <v>56</v>
      </c>
      <c r="D81">
        <v>28</v>
      </c>
      <c r="E81" t="s">
        <v>92</v>
      </c>
      <c r="F81" t="s">
        <v>29</v>
      </c>
      <c r="G81" t="s">
        <v>93</v>
      </c>
      <c r="H81" t="s">
        <v>123</v>
      </c>
      <c r="I81" t="s">
        <v>469</v>
      </c>
      <c r="J81">
        <v>24</v>
      </c>
      <c r="K81" t="s">
        <v>141</v>
      </c>
      <c r="L81" t="s">
        <v>470</v>
      </c>
      <c r="M81">
        <v>23</v>
      </c>
      <c r="N81" t="s">
        <v>68</v>
      </c>
      <c r="O81" t="s">
        <v>35</v>
      </c>
      <c r="Q81" t="s">
        <v>36</v>
      </c>
      <c r="R81">
        <v>50</v>
      </c>
      <c r="S81" t="s">
        <v>49</v>
      </c>
      <c r="T81" t="s">
        <v>96</v>
      </c>
      <c r="U81">
        <v>4</v>
      </c>
      <c r="V81" t="s">
        <v>62</v>
      </c>
      <c r="W81" t="s">
        <v>165</v>
      </c>
      <c r="X81" t="s">
        <v>52</v>
      </c>
      <c r="Y81" t="s">
        <v>71</v>
      </c>
    </row>
    <row r="82" spans="1:25">
      <c r="A82" t="s">
        <v>471</v>
      </c>
      <c r="B82" t="s">
        <v>472</v>
      </c>
      <c r="C82" t="s">
        <v>80</v>
      </c>
      <c r="D82">
        <v>85</v>
      </c>
      <c r="E82" t="s">
        <v>81</v>
      </c>
      <c r="F82" t="s">
        <v>82</v>
      </c>
      <c r="G82" t="s">
        <v>83</v>
      </c>
      <c r="H82" t="s">
        <v>473</v>
      </c>
      <c r="I82" t="s">
        <v>474</v>
      </c>
      <c r="J82">
        <v>8</v>
      </c>
      <c r="K82" t="s">
        <v>475</v>
      </c>
      <c r="L82" t="s">
        <v>476</v>
      </c>
      <c r="M82">
        <v>15</v>
      </c>
      <c r="N82" t="s">
        <v>34</v>
      </c>
      <c r="O82" t="s">
        <v>35</v>
      </c>
      <c r="Q82" t="s">
        <v>36</v>
      </c>
      <c r="R82">
        <v>20</v>
      </c>
      <c r="S82" t="s">
        <v>77</v>
      </c>
      <c r="T82" t="s">
        <v>38</v>
      </c>
      <c r="U82">
        <v>3</v>
      </c>
      <c r="V82" t="s">
        <v>89</v>
      </c>
      <c r="W82" t="s">
        <v>165</v>
      </c>
      <c r="X82" t="s">
        <v>109</v>
      </c>
      <c r="Y82" t="s">
        <v>71</v>
      </c>
    </row>
    <row r="83" spans="1:25">
      <c r="A83" t="s">
        <v>477</v>
      </c>
      <c r="B83" t="s">
        <v>478</v>
      </c>
      <c r="C83" t="s">
        <v>27</v>
      </c>
      <c r="D83">
        <v>77</v>
      </c>
      <c r="E83" t="s">
        <v>57</v>
      </c>
      <c r="F83" t="s">
        <v>29</v>
      </c>
      <c r="G83" t="s">
        <v>58</v>
      </c>
      <c r="H83" t="s">
        <v>251</v>
      </c>
      <c r="I83" t="s">
        <v>190</v>
      </c>
      <c r="J83">
        <v>3</v>
      </c>
      <c r="K83" t="s">
        <v>251</v>
      </c>
      <c r="L83" t="s">
        <v>479</v>
      </c>
      <c r="M83">
        <v>5</v>
      </c>
      <c r="N83" t="s">
        <v>34</v>
      </c>
      <c r="O83" t="s">
        <v>35</v>
      </c>
      <c r="Q83" t="s">
        <v>36</v>
      </c>
      <c r="R83">
        <v>15</v>
      </c>
      <c r="S83" t="s">
        <v>77</v>
      </c>
      <c r="T83" t="s">
        <v>88</v>
      </c>
      <c r="U83">
        <v>1</v>
      </c>
      <c r="V83" t="s">
        <v>39</v>
      </c>
      <c r="W83" t="s">
        <v>103</v>
      </c>
      <c r="X83" t="s">
        <v>41</v>
      </c>
      <c r="Y83" t="s">
        <v>71</v>
      </c>
    </row>
    <row r="84" spans="1:25">
      <c r="A84" t="s">
        <v>480</v>
      </c>
      <c r="B84" t="s">
        <v>481</v>
      </c>
      <c r="C84" t="s">
        <v>204</v>
      </c>
      <c r="D84">
        <v>5</v>
      </c>
      <c r="E84" t="s">
        <v>28</v>
      </c>
      <c r="F84" t="s">
        <v>29</v>
      </c>
      <c r="G84" t="s">
        <v>30</v>
      </c>
      <c r="H84" t="s">
        <v>482</v>
      </c>
      <c r="I84" t="s">
        <v>483</v>
      </c>
      <c r="J84">
        <v>5</v>
      </c>
      <c r="K84" t="s">
        <v>482</v>
      </c>
      <c r="L84" t="s">
        <v>359</v>
      </c>
      <c r="M84">
        <v>4</v>
      </c>
      <c r="N84" t="s">
        <v>68</v>
      </c>
      <c r="O84" t="s">
        <v>35</v>
      </c>
      <c r="Q84" t="s">
        <v>36</v>
      </c>
      <c r="R84">
        <v>35</v>
      </c>
      <c r="S84" t="s">
        <v>49</v>
      </c>
      <c r="T84" t="s">
        <v>164</v>
      </c>
      <c r="U84">
        <v>2</v>
      </c>
      <c r="V84" t="s">
        <v>70</v>
      </c>
      <c r="W84" t="s">
        <v>40</v>
      </c>
      <c r="X84" t="s">
        <v>41</v>
      </c>
      <c r="Y84" t="s">
        <v>53</v>
      </c>
    </row>
    <row r="85" spans="1:25">
      <c r="A85" t="s">
        <v>484</v>
      </c>
      <c r="B85" t="s">
        <v>485</v>
      </c>
      <c r="C85" t="s">
        <v>56</v>
      </c>
      <c r="D85">
        <v>13</v>
      </c>
      <c r="E85" t="s">
        <v>173</v>
      </c>
      <c r="F85" t="s">
        <v>29</v>
      </c>
      <c r="G85" t="s">
        <v>150</v>
      </c>
      <c r="H85" t="s">
        <v>151</v>
      </c>
      <c r="I85" t="s">
        <v>486</v>
      </c>
      <c r="J85">
        <v>4</v>
      </c>
      <c r="K85" t="s">
        <v>151</v>
      </c>
      <c r="L85" t="s">
        <v>487</v>
      </c>
      <c r="M85">
        <v>8</v>
      </c>
      <c r="N85" t="s">
        <v>34</v>
      </c>
      <c r="O85" t="s">
        <v>35</v>
      </c>
      <c r="Q85" t="s">
        <v>36</v>
      </c>
      <c r="R85">
        <v>25</v>
      </c>
      <c r="S85" t="s">
        <v>37</v>
      </c>
      <c r="T85" t="s">
        <v>50</v>
      </c>
      <c r="U85">
        <v>4</v>
      </c>
      <c r="V85" t="s">
        <v>70</v>
      </c>
      <c r="W85" t="s">
        <v>51</v>
      </c>
      <c r="X85" t="s">
        <v>109</v>
      </c>
      <c r="Y85" t="s">
        <v>42</v>
      </c>
    </row>
    <row r="86" spans="1:25">
      <c r="A86" t="s">
        <v>488</v>
      </c>
      <c r="B86" t="s">
        <v>489</v>
      </c>
      <c r="C86" t="s">
        <v>204</v>
      </c>
      <c r="D86">
        <v>2</v>
      </c>
      <c r="E86" t="s">
        <v>92</v>
      </c>
      <c r="F86" t="s">
        <v>29</v>
      </c>
      <c r="G86" t="s">
        <v>168</v>
      </c>
      <c r="H86" t="s">
        <v>490</v>
      </c>
      <c r="I86" t="s">
        <v>491</v>
      </c>
      <c r="J86">
        <v>24</v>
      </c>
      <c r="K86" t="s">
        <v>492</v>
      </c>
      <c r="L86" t="s">
        <v>493</v>
      </c>
      <c r="M86">
        <v>23</v>
      </c>
      <c r="N86" t="s">
        <v>68</v>
      </c>
      <c r="O86" t="s">
        <v>35</v>
      </c>
      <c r="Q86" t="s">
        <v>36</v>
      </c>
      <c r="R86">
        <v>50</v>
      </c>
      <c r="S86" t="s">
        <v>77</v>
      </c>
      <c r="T86" t="s">
        <v>164</v>
      </c>
      <c r="U86">
        <v>1</v>
      </c>
      <c r="V86" t="s">
        <v>62</v>
      </c>
      <c r="W86" t="s">
        <v>51</v>
      </c>
      <c r="X86" t="s">
        <v>109</v>
      </c>
      <c r="Y86" t="s">
        <v>42</v>
      </c>
    </row>
    <row r="87" spans="1:25">
      <c r="A87" t="s">
        <v>494</v>
      </c>
      <c r="B87" t="s">
        <v>495</v>
      </c>
      <c r="C87" t="s">
        <v>204</v>
      </c>
      <c r="D87">
        <v>69</v>
      </c>
      <c r="E87" t="s">
        <v>149</v>
      </c>
      <c r="F87" t="s">
        <v>29</v>
      </c>
      <c r="G87" t="s">
        <v>150</v>
      </c>
      <c r="H87" t="s">
        <v>355</v>
      </c>
      <c r="I87" t="s">
        <v>496</v>
      </c>
      <c r="J87">
        <v>6</v>
      </c>
      <c r="K87" t="s">
        <v>355</v>
      </c>
      <c r="L87" t="s">
        <v>497</v>
      </c>
      <c r="M87">
        <v>8</v>
      </c>
      <c r="N87" t="s">
        <v>34</v>
      </c>
      <c r="O87" t="s">
        <v>35</v>
      </c>
      <c r="Q87" t="s">
        <v>36</v>
      </c>
      <c r="R87">
        <v>40</v>
      </c>
      <c r="S87" t="s">
        <v>77</v>
      </c>
      <c r="T87" t="s">
        <v>96</v>
      </c>
      <c r="U87">
        <v>5</v>
      </c>
      <c r="V87" t="s">
        <v>70</v>
      </c>
      <c r="W87" t="s">
        <v>103</v>
      </c>
      <c r="X87" t="s">
        <v>41</v>
      </c>
      <c r="Y87" t="s">
        <v>53</v>
      </c>
    </row>
    <row r="88" spans="1:25">
      <c r="A88" t="s">
        <v>498</v>
      </c>
      <c r="B88" t="s">
        <v>499</v>
      </c>
      <c r="C88" t="s">
        <v>204</v>
      </c>
      <c r="D88">
        <v>84</v>
      </c>
      <c r="E88" t="s">
        <v>92</v>
      </c>
      <c r="F88" t="s">
        <v>29</v>
      </c>
      <c r="G88" t="s">
        <v>150</v>
      </c>
      <c r="H88" t="s">
        <v>500</v>
      </c>
      <c r="I88" t="s">
        <v>501</v>
      </c>
      <c r="J88">
        <v>24</v>
      </c>
      <c r="K88" t="s">
        <v>151</v>
      </c>
      <c r="L88" t="s">
        <v>502</v>
      </c>
      <c r="M88">
        <v>29</v>
      </c>
      <c r="N88" t="s">
        <v>34</v>
      </c>
      <c r="O88" t="s">
        <v>35</v>
      </c>
      <c r="Q88" t="s">
        <v>36</v>
      </c>
      <c r="R88">
        <v>50</v>
      </c>
      <c r="S88" t="s">
        <v>77</v>
      </c>
      <c r="T88" t="s">
        <v>50</v>
      </c>
      <c r="U88">
        <v>2</v>
      </c>
      <c r="V88" t="s">
        <v>70</v>
      </c>
      <c r="W88" t="s">
        <v>103</v>
      </c>
      <c r="X88" t="s">
        <v>109</v>
      </c>
      <c r="Y88" t="s">
        <v>53</v>
      </c>
    </row>
    <row r="89" spans="1:25">
      <c r="A89" t="s">
        <v>503</v>
      </c>
      <c r="B89" t="s">
        <v>504</v>
      </c>
      <c r="C89" t="s">
        <v>56</v>
      </c>
      <c r="D89">
        <v>47</v>
      </c>
      <c r="E89" t="s">
        <v>57</v>
      </c>
      <c r="F89" t="s">
        <v>29</v>
      </c>
      <c r="G89" t="s">
        <v>150</v>
      </c>
      <c r="H89" t="s">
        <v>427</v>
      </c>
      <c r="I89" t="s">
        <v>505</v>
      </c>
      <c r="J89">
        <v>3</v>
      </c>
      <c r="K89" t="s">
        <v>427</v>
      </c>
      <c r="L89" t="s">
        <v>506</v>
      </c>
      <c r="M89">
        <v>3</v>
      </c>
      <c r="N89" t="s">
        <v>68</v>
      </c>
      <c r="O89" t="s">
        <v>35</v>
      </c>
      <c r="Q89" t="s">
        <v>36</v>
      </c>
      <c r="R89">
        <v>15</v>
      </c>
      <c r="S89" t="s">
        <v>49</v>
      </c>
      <c r="T89" t="s">
        <v>50</v>
      </c>
      <c r="U89">
        <v>2</v>
      </c>
      <c r="V89" t="s">
        <v>39</v>
      </c>
      <c r="W89" t="s">
        <v>103</v>
      </c>
      <c r="X89" t="s">
        <v>52</v>
      </c>
      <c r="Y89" t="s">
        <v>53</v>
      </c>
    </row>
    <row r="90" spans="1:25">
      <c r="A90" t="s">
        <v>507</v>
      </c>
      <c r="B90" t="s">
        <v>508</v>
      </c>
      <c r="C90" t="s">
        <v>204</v>
      </c>
      <c r="D90">
        <v>9</v>
      </c>
      <c r="E90" t="s">
        <v>28</v>
      </c>
      <c r="F90" t="s">
        <v>29</v>
      </c>
      <c r="G90" t="s">
        <v>150</v>
      </c>
      <c r="H90" t="s">
        <v>427</v>
      </c>
      <c r="I90" t="s">
        <v>509</v>
      </c>
      <c r="J90">
        <v>5</v>
      </c>
      <c r="K90" t="s">
        <v>314</v>
      </c>
      <c r="L90" t="s">
        <v>510</v>
      </c>
      <c r="M90">
        <v>13</v>
      </c>
      <c r="N90" t="s">
        <v>34</v>
      </c>
      <c r="O90" t="s">
        <v>35</v>
      </c>
      <c r="Q90" t="s">
        <v>36</v>
      </c>
      <c r="R90">
        <v>35</v>
      </c>
      <c r="S90" t="s">
        <v>49</v>
      </c>
      <c r="T90" t="s">
        <v>50</v>
      </c>
      <c r="U90">
        <v>1</v>
      </c>
      <c r="V90" t="s">
        <v>62</v>
      </c>
      <c r="W90" t="s">
        <v>103</v>
      </c>
      <c r="X90" t="s">
        <v>52</v>
      </c>
      <c r="Y90" t="s">
        <v>42</v>
      </c>
    </row>
    <row r="91" spans="1:25">
      <c r="A91" t="s">
        <v>511</v>
      </c>
      <c r="B91" t="s">
        <v>512</v>
      </c>
      <c r="C91" t="s">
        <v>27</v>
      </c>
      <c r="D91">
        <v>2</v>
      </c>
      <c r="E91" t="s">
        <v>173</v>
      </c>
      <c r="F91" t="s">
        <v>29</v>
      </c>
      <c r="G91" t="s">
        <v>30</v>
      </c>
      <c r="H91" t="s">
        <v>513</v>
      </c>
      <c r="I91" t="s">
        <v>514</v>
      </c>
      <c r="J91">
        <v>4</v>
      </c>
      <c r="K91" t="s">
        <v>513</v>
      </c>
      <c r="L91" t="s">
        <v>515</v>
      </c>
      <c r="M91">
        <v>9</v>
      </c>
      <c r="N91" t="s">
        <v>34</v>
      </c>
      <c r="O91" t="s">
        <v>35</v>
      </c>
      <c r="Q91" t="s">
        <v>36</v>
      </c>
      <c r="R91">
        <v>25</v>
      </c>
      <c r="S91" t="s">
        <v>37</v>
      </c>
      <c r="T91" t="s">
        <v>69</v>
      </c>
      <c r="U91">
        <v>2</v>
      </c>
      <c r="V91" t="s">
        <v>70</v>
      </c>
      <c r="W91" t="s">
        <v>165</v>
      </c>
      <c r="X91" t="s">
        <v>52</v>
      </c>
      <c r="Y91" t="s">
        <v>71</v>
      </c>
    </row>
    <row r="92" spans="1:25">
      <c r="A92" t="s">
        <v>516</v>
      </c>
      <c r="B92" t="s">
        <v>517</v>
      </c>
      <c r="C92" t="s">
        <v>27</v>
      </c>
      <c r="D92">
        <v>87</v>
      </c>
      <c r="E92" t="s">
        <v>57</v>
      </c>
      <c r="F92" t="s">
        <v>29</v>
      </c>
      <c r="G92" t="s">
        <v>45</v>
      </c>
      <c r="H92" t="s">
        <v>396</v>
      </c>
      <c r="I92" t="s">
        <v>518</v>
      </c>
      <c r="J92">
        <v>3</v>
      </c>
      <c r="K92" t="s">
        <v>396</v>
      </c>
      <c r="L92" t="s">
        <v>519</v>
      </c>
      <c r="M92">
        <v>4</v>
      </c>
      <c r="N92" t="s">
        <v>34</v>
      </c>
      <c r="O92" t="s">
        <v>35</v>
      </c>
      <c r="Q92" t="s">
        <v>36</v>
      </c>
      <c r="R92">
        <v>15</v>
      </c>
      <c r="S92" t="s">
        <v>37</v>
      </c>
      <c r="T92" t="s">
        <v>38</v>
      </c>
      <c r="U92">
        <v>3</v>
      </c>
      <c r="V92" t="s">
        <v>39</v>
      </c>
      <c r="W92" t="s">
        <v>103</v>
      </c>
      <c r="X92" t="s">
        <v>41</v>
      </c>
      <c r="Y92" t="s">
        <v>53</v>
      </c>
    </row>
    <row r="93" spans="1:25">
      <c r="A93" t="s">
        <v>520</v>
      </c>
      <c r="B93" t="s">
        <v>521</v>
      </c>
      <c r="C93" t="s">
        <v>56</v>
      </c>
      <c r="D93">
        <v>58</v>
      </c>
      <c r="E93" t="s">
        <v>28</v>
      </c>
      <c r="F93" t="s">
        <v>29</v>
      </c>
      <c r="G93" t="s">
        <v>168</v>
      </c>
      <c r="H93" t="s">
        <v>325</v>
      </c>
      <c r="I93" t="s">
        <v>522</v>
      </c>
      <c r="J93">
        <v>5</v>
      </c>
      <c r="K93" t="s">
        <v>325</v>
      </c>
      <c r="L93" t="s">
        <v>523</v>
      </c>
      <c r="M93">
        <v>8</v>
      </c>
      <c r="N93" t="s">
        <v>34</v>
      </c>
      <c r="O93" t="s">
        <v>35</v>
      </c>
      <c r="Q93" t="s">
        <v>36</v>
      </c>
      <c r="R93">
        <v>35</v>
      </c>
      <c r="S93" t="s">
        <v>49</v>
      </c>
      <c r="T93" t="s">
        <v>50</v>
      </c>
      <c r="U93">
        <v>4</v>
      </c>
      <c r="V93" t="s">
        <v>70</v>
      </c>
      <c r="W93" t="s">
        <v>40</v>
      </c>
      <c r="X93" t="s">
        <v>41</v>
      </c>
      <c r="Y93" t="s">
        <v>53</v>
      </c>
    </row>
    <row r="94" spans="1:25">
      <c r="A94" t="s">
        <v>524</v>
      </c>
      <c r="B94" t="s">
        <v>525</v>
      </c>
      <c r="C94" t="s">
        <v>80</v>
      </c>
      <c r="D94">
        <v>68</v>
      </c>
      <c r="E94" t="s">
        <v>81</v>
      </c>
      <c r="F94" t="s">
        <v>82</v>
      </c>
      <c r="G94" t="s">
        <v>58</v>
      </c>
      <c r="H94" t="s">
        <v>526</v>
      </c>
      <c r="I94" t="s">
        <v>527</v>
      </c>
      <c r="J94">
        <v>8</v>
      </c>
      <c r="K94" t="s">
        <v>526</v>
      </c>
      <c r="L94" t="s">
        <v>528</v>
      </c>
      <c r="M94">
        <v>11</v>
      </c>
      <c r="N94" t="s">
        <v>34</v>
      </c>
      <c r="O94" t="s">
        <v>35</v>
      </c>
      <c r="Q94" t="s">
        <v>36</v>
      </c>
      <c r="R94">
        <v>20</v>
      </c>
      <c r="S94" t="s">
        <v>49</v>
      </c>
      <c r="T94" t="s">
        <v>38</v>
      </c>
      <c r="U94">
        <v>1</v>
      </c>
      <c r="V94" t="s">
        <v>89</v>
      </c>
      <c r="W94" t="s">
        <v>103</v>
      </c>
      <c r="X94" t="s">
        <v>109</v>
      </c>
      <c r="Y94" t="s">
        <v>53</v>
      </c>
    </row>
    <row r="95" spans="1:25">
      <c r="A95" t="s">
        <v>529</v>
      </c>
      <c r="B95" t="s">
        <v>530</v>
      </c>
      <c r="C95" t="s">
        <v>204</v>
      </c>
      <c r="D95">
        <v>89</v>
      </c>
      <c r="E95" t="s">
        <v>57</v>
      </c>
      <c r="F95" t="s">
        <v>29</v>
      </c>
      <c r="G95" t="s">
        <v>58</v>
      </c>
      <c r="H95" t="s">
        <v>114</v>
      </c>
      <c r="I95" t="s">
        <v>531</v>
      </c>
      <c r="J95">
        <v>3</v>
      </c>
      <c r="K95" t="s">
        <v>114</v>
      </c>
      <c r="L95" t="s">
        <v>532</v>
      </c>
      <c r="M95">
        <v>8</v>
      </c>
      <c r="N95" t="s">
        <v>34</v>
      </c>
      <c r="O95" t="s">
        <v>35</v>
      </c>
      <c r="Q95" t="s">
        <v>36</v>
      </c>
      <c r="R95">
        <v>15</v>
      </c>
      <c r="S95" t="s">
        <v>77</v>
      </c>
      <c r="T95" t="s">
        <v>69</v>
      </c>
      <c r="U95">
        <v>3</v>
      </c>
      <c r="V95" t="s">
        <v>89</v>
      </c>
      <c r="W95" t="s">
        <v>165</v>
      </c>
      <c r="X95" t="s">
        <v>109</v>
      </c>
      <c r="Y95" t="s">
        <v>53</v>
      </c>
    </row>
    <row r="96" spans="1:25">
      <c r="A96" t="s">
        <v>533</v>
      </c>
      <c r="B96" t="s">
        <v>534</v>
      </c>
      <c r="C96" t="s">
        <v>80</v>
      </c>
      <c r="D96">
        <v>41</v>
      </c>
      <c r="E96" t="s">
        <v>81</v>
      </c>
      <c r="F96" t="s">
        <v>82</v>
      </c>
      <c r="G96" t="s">
        <v>30</v>
      </c>
      <c r="H96" t="s">
        <v>31</v>
      </c>
      <c r="I96" t="s">
        <v>60</v>
      </c>
      <c r="J96">
        <v>8</v>
      </c>
      <c r="K96" t="s">
        <v>31</v>
      </c>
      <c r="L96" t="s">
        <v>402</v>
      </c>
      <c r="M96">
        <v>8</v>
      </c>
      <c r="N96" t="s">
        <v>68</v>
      </c>
      <c r="O96" t="s">
        <v>35</v>
      </c>
      <c r="Q96" t="s">
        <v>36</v>
      </c>
      <c r="R96">
        <v>20</v>
      </c>
      <c r="S96" t="s">
        <v>37</v>
      </c>
      <c r="T96" t="s">
        <v>96</v>
      </c>
      <c r="U96">
        <v>2</v>
      </c>
      <c r="V96" t="s">
        <v>70</v>
      </c>
      <c r="W96" t="s">
        <v>103</v>
      </c>
      <c r="X96" t="s">
        <v>41</v>
      </c>
      <c r="Y96" t="s">
        <v>42</v>
      </c>
    </row>
    <row r="97" spans="1:25">
      <c r="A97" t="s">
        <v>535</v>
      </c>
      <c r="B97" t="s">
        <v>536</v>
      </c>
      <c r="C97" t="s">
        <v>27</v>
      </c>
      <c r="D97">
        <v>88</v>
      </c>
      <c r="E97" t="s">
        <v>92</v>
      </c>
      <c r="F97" t="s">
        <v>29</v>
      </c>
      <c r="G97" t="s">
        <v>93</v>
      </c>
      <c r="H97" t="s">
        <v>537</v>
      </c>
      <c r="I97" t="s">
        <v>538</v>
      </c>
      <c r="J97">
        <v>24</v>
      </c>
      <c r="K97" t="s">
        <v>305</v>
      </c>
      <c r="L97" t="s">
        <v>539</v>
      </c>
      <c r="M97">
        <v>27</v>
      </c>
      <c r="N97" t="s">
        <v>34</v>
      </c>
      <c r="O97" t="s">
        <v>35</v>
      </c>
      <c r="Q97" t="s">
        <v>36</v>
      </c>
      <c r="R97">
        <v>50</v>
      </c>
      <c r="S97" t="s">
        <v>37</v>
      </c>
      <c r="T97" t="s">
        <v>96</v>
      </c>
      <c r="U97">
        <v>4</v>
      </c>
      <c r="V97" t="s">
        <v>62</v>
      </c>
      <c r="W97" t="s">
        <v>40</v>
      </c>
      <c r="X97" t="s">
        <v>52</v>
      </c>
      <c r="Y97" t="s">
        <v>42</v>
      </c>
    </row>
    <row r="98" spans="1:25">
      <c r="A98" t="s">
        <v>540</v>
      </c>
      <c r="B98" t="s">
        <v>541</v>
      </c>
      <c r="C98" t="s">
        <v>80</v>
      </c>
      <c r="D98">
        <v>74</v>
      </c>
      <c r="E98" t="s">
        <v>81</v>
      </c>
      <c r="F98" t="s">
        <v>82</v>
      </c>
      <c r="G98" t="s">
        <v>83</v>
      </c>
      <c r="H98" t="s">
        <v>542</v>
      </c>
      <c r="I98" t="s">
        <v>543</v>
      </c>
      <c r="J98">
        <v>8</v>
      </c>
      <c r="K98" t="s">
        <v>544</v>
      </c>
      <c r="L98" t="s">
        <v>545</v>
      </c>
      <c r="M98">
        <v>13</v>
      </c>
      <c r="N98" t="s">
        <v>34</v>
      </c>
      <c r="O98" t="s">
        <v>35</v>
      </c>
      <c r="Q98" t="s">
        <v>36</v>
      </c>
      <c r="R98">
        <v>20</v>
      </c>
      <c r="S98" t="s">
        <v>37</v>
      </c>
      <c r="T98" t="s">
        <v>164</v>
      </c>
      <c r="U98">
        <v>5</v>
      </c>
      <c r="V98" t="s">
        <v>62</v>
      </c>
      <c r="W98" t="s">
        <v>40</v>
      </c>
      <c r="X98" t="s">
        <v>41</v>
      </c>
      <c r="Y98" t="s">
        <v>71</v>
      </c>
    </row>
    <row r="99" spans="1:25">
      <c r="A99" t="s">
        <v>546</v>
      </c>
      <c r="B99" t="s">
        <v>547</v>
      </c>
      <c r="C99" t="s">
        <v>56</v>
      </c>
      <c r="D99">
        <v>49</v>
      </c>
      <c r="E99" t="s">
        <v>149</v>
      </c>
      <c r="F99" t="s">
        <v>29</v>
      </c>
      <c r="G99" t="s">
        <v>168</v>
      </c>
      <c r="H99" t="s">
        <v>300</v>
      </c>
      <c r="I99" t="s">
        <v>466</v>
      </c>
      <c r="J99">
        <v>6</v>
      </c>
      <c r="K99" t="s">
        <v>300</v>
      </c>
      <c r="L99" t="s">
        <v>548</v>
      </c>
      <c r="M99">
        <v>10</v>
      </c>
      <c r="N99" t="s">
        <v>34</v>
      </c>
      <c r="O99" t="s">
        <v>35</v>
      </c>
      <c r="Q99" t="s">
        <v>36</v>
      </c>
      <c r="R99">
        <v>40</v>
      </c>
      <c r="S99" t="s">
        <v>37</v>
      </c>
      <c r="T99" t="s">
        <v>38</v>
      </c>
      <c r="U99">
        <v>1</v>
      </c>
      <c r="V99" t="s">
        <v>62</v>
      </c>
      <c r="W99" t="s">
        <v>103</v>
      </c>
      <c r="X99" t="s">
        <v>109</v>
      </c>
      <c r="Y99" t="s">
        <v>71</v>
      </c>
    </row>
    <row r="100" spans="1:25">
      <c r="A100" t="s">
        <v>549</v>
      </c>
      <c r="B100" t="s">
        <v>550</v>
      </c>
      <c r="C100" t="s">
        <v>56</v>
      </c>
      <c r="D100">
        <v>52</v>
      </c>
      <c r="E100" t="s">
        <v>28</v>
      </c>
      <c r="F100" t="s">
        <v>29</v>
      </c>
      <c r="G100" t="s">
        <v>93</v>
      </c>
      <c r="H100" t="s">
        <v>278</v>
      </c>
      <c r="I100" t="s">
        <v>551</v>
      </c>
      <c r="J100">
        <v>5</v>
      </c>
      <c r="K100" t="s">
        <v>375</v>
      </c>
      <c r="L100" t="s">
        <v>552</v>
      </c>
      <c r="M100">
        <v>12</v>
      </c>
      <c r="N100" t="s">
        <v>34</v>
      </c>
      <c r="O100" t="s">
        <v>35</v>
      </c>
      <c r="Q100" t="s">
        <v>36</v>
      </c>
      <c r="R100">
        <v>35</v>
      </c>
      <c r="S100" t="s">
        <v>77</v>
      </c>
      <c r="T100" t="s">
        <v>164</v>
      </c>
      <c r="U100">
        <v>5</v>
      </c>
      <c r="V100" t="s">
        <v>62</v>
      </c>
      <c r="W100" t="s">
        <v>51</v>
      </c>
      <c r="X100" t="s">
        <v>41</v>
      </c>
      <c r="Y100" t="s">
        <v>42</v>
      </c>
    </row>
    <row r="101" spans="1:25">
      <c r="A101" t="s">
        <v>553</v>
      </c>
      <c r="B101" t="s">
        <v>554</v>
      </c>
      <c r="C101" t="s">
        <v>204</v>
      </c>
      <c r="D101">
        <v>28</v>
      </c>
      <c r="E101" t="s">
        <v>92</v>
      </c>
      <c r="F101" t="s">
        <v>29</v>
      </c>
      <c r="G101" t="s">
        <v>93</v>
      </c>
      <c r="H101" t="s">
        <v>174</v>
      </c>
      <c r="I101" t="s">
        <v>555</v>
      </c>
      <c r="J101">
        <v>24</v>
      </c>
      <c r="K101" t="s">
        <v>556</v>
      </c>
      <c r="L101" t="s">
        <v>557</v>
      </c>
      <c r="M101">
        <v>31</v>
      </c>
      <c r="N101" t="s">
        <v>34</v>
      </c>
      <c r="O101" t="s">
        <v>35</v>
      </c>
      <c r="Q101" t="s">
        <v>36</v>
      </c>
      <c r="R101">
        <v>50</v>
      </c>
      <c r="S101" t="s">
        <v>37</v>
      </c>
      <c r="T101" t="s">
        <v>96</v>
      </c>
      <c r="U101">
        <v>2</v>
      </c>
      <c r="V101" t="s">
        <v>70</v>
      </c>
      <c r="W101" t="s">
        <v>103</v>
      </c>
      <c r="X101" t="s">
        <v>52</v>
      </c>
      <c r="Y101" t="s">
        <v>42</v>
      </c>
    </row>
    <row r="102" spans="1:25">
      <c r="A102" t="s">
        <v>558</v>
      </c>
      <c r="B102" t="s">
        <v>559</v>
      </c>
      <c r="C102" t="s">
        <v>80</v>
      </c>
      <c r="D102">
        <v>28</v>
      </c>
      <c r="E102" t="s">
        <v>28</v>
      </c>
      <c r="F102" t="s">
        <v>29</v>
      </c>
      <c r="G102" t="s">
        <v>45</v>
      </c>
      <c r="H102" t="s">
        <v>560</v>
      </c>
      <c r="I102" t="s">
        <v>561</v>
      </c>
      <c r="J102">
        <v>5</v>
      </c>
      <c r="K102" t="s">
        <v>560</v>
      </c>
      <c r="L102" t="s">
        <v>562</v>
      </c>
      <c r="M102">
        <v>9</v>
      </c>
      <c r="N102" t="s">
        <v>34</v>
      </c>
      <c r="O102" t="s">
        <v>35</v>
      </c>
      <c r="Q102" t="s">
        <v>36</v>
      </c>
      <c r="R102">
        <v>35</v>
      </c>
      <c r="S102" t="s">
        <v>49</v>
      </c>
      <c r="T102" t="s">
        <v>164</v>
      </c>
      <c r="U102">
        <v>5</v>
      </c>
      <c r="V102" t="s">
        <v>62</v>
      </c>
      <c r="W102" t="s">
        <v>40</v>
      </c>
      <c r="X102" t="s">
        <v>109</v>
      </c>
      <c r="Y102" t="s">
        <v>42</v>
      </c>
    </row>
    <row r="103" spans="1:25">
      <c r="A103" t="s">
        <v>563</v>
      </c>
      <c r="B103" t="s">
        <v>564</v>
      </c>
      <c r="C103" t="s">
        <v>204</v>
      </c>
      <c r="D103">
        <v>79</v>
      </c>
      <c r="E103" t="s">
        <v>173</v>
      </c>
      <c r="F103" t="s">
        <v>29</v>
      </c>
      <c r="G103" t="s">
        <v>93</v>
      </c>
      <c r="H103" t="s">
        <v>267</v>
      </c>
      <c r="I103" t="s">
        <v>75</v>
      </c>
      <c r="J103">
        <v>4</v>
      </c>
      <c r="K103" t="s">
        <v>267</v>
      </c>
      <c r="L103" t="s">
        <v>565</v>
      </c>
      <c r="M103">
        <v>6</v>
      </c>
      <c r="N103" t="s">
        <v>34</v>
      </c>
      <c r="O103" t="s">
        <v>35</v>
      </c>
      <c r="Q103" t="s">
        <v>36</v>
      </c>
      <c r="R103">
        <v>25</v>
      </c>
      <c r="S103" t="s">
        <v>49</v>
      </c>
      <c r="T103" t="s">
        <v>88</v>
      </c>
      <c r="U103">
        <v>5</v>
      </c>
      <c r="V103" t="s">
        <v>62</v>
      </c>
      <c r="W103" t="s">
        <v>40</v>
      </c>
      <c r="X103" t="s">
        <v>41</v>
      </c>
      <c r="Y103" t="s">
        <v>42</v>
      </c>
    </row>
    <row r="104" spans="1:25">
      <c r="A104" t="s">
        <v>566</v>
      </c>
      <c r="B104" t="s">
        <v>567</v>
      </c>
      <c r="C104" t="s">
        <v>56</v>
      </c>
      <c r="D104">
        <v>22</v>
      </c>
      <c r="E104" t="s">
        <v>57</v>
      </c>
      <c r="F104" t="s">
        <v>29</v>
      </c>
      <c r="G104" t="s">
        <v>58</v>
      </c>
      <c r="H104" t="s">
        <v>442</v>
      </c>
      <c r="I104" t="s">
        <v>568</v>
      </c>
      <c r="J104">
        <v>3</v>
      </c>
      <c r="K104" t="s">
        <v>442</v>
      </c>
      <c r="L104" t="s">
        <v>569</v>
      </c>
      <c r="M104">
        <v>7</v>
      </c>
      <c r="N104" t="s">
        <v>34</v>
      </c>
      <c r="O104" t="s">
        <v>35</v>
      </c>
      <c r="Q104" t="s">
        <v>36</v>
      </c>
      <c r="R104">
        <v>15</v>
      </c>
      <c r="S104" t="s">
        <v>37</v>
      </c>
      <c r="T104" t="s">
        <v>164</v>
      </c>
      <c r="U104">
        <v>4</v>
      </c>
      <c r="V104" t="s">
        <v>89</v>
      </c>
      <c r="W104" t="s">
        <v>51</v>
      </c>
      <c r="X104" t="s">
        <v>41</v>
      </c>
      <c r="Y104" t="s">
        <v>42</v>
      </c>
    </row>
    <row r="105" spans="1:25">
      <c r="A105" t="s">
        <v>570</v>
      </c>
      <c r="B105" t="s">
        <v>571</v>
      </c>
      <c r="C105" t="s">
        <v>204</v>
      </c>
      <c r="D105">
        <v>83</v>
      </c>
      <c r="E105" t="s">
        <v>173</v>
      </c>
      <c r="F105" t="s">
        <v>29</v>
      </c>
      <c r="G105" t="s">
        <v>58</v>
      </c>
      <c r="H105" t="s">
        <v>572</v>
      </c>
      <c r="I105" t="s">
        <v>573</v>
      </c>
      <c r="J105">
        <v>4</v>
      </c>
      <c r="K105" t="s">
        <v>572</v>
      </c>
      <c r="L105" t="s">
        <v>574</v>
      </c>
      <c r="M105">
        <v>12</v>
      </c>
      <c r="N105" t="s">
        <v>34</v>
      </c>
      <c r="O105" t="s">
        <v>35</v>
      </c>
      <c r="Q105" t="s">
        <v>36</v>
      </c>
      <c r="R105">
        <v>25</v>
      </c>
      <c r="S105" t="s">
        <v>77</v>
      </c>
      <c r="T105" t="s">
        <v>164</v>
      </c>
      <c r="U105">
        <v>4</v>
      </c>
      <c r="V105" t="s">
        <v>62</v>
      </c>
      <c r="W105" t="s">
        <v>103</v>
      </c>
      <c r="X105" t="s">
        <v>41</v>
      </c>
      <c r="Y105" t="s">
        <v>42</v>
      </c>
    </row>
    <row r="106" spans="1:25">
      <c r="A106" t="s">
        <v>575</v>
      </c>
      <c r="B106" t="s">
        <v>576</v>
      </c>
      <c r="C106" t="s">
        <v>27</v>
      </c>
      <c r="D106">
        <v>70</v>
      </c>
      <c r="E106" t="s">
        <v>92</v>
      </c>
      <c r="F106" t="s">
        <v>29</v>
      </c>
      <c r="G106" t="s">
        <v>93</v>
      </c>
      <c r="H106" t="s">
        <v>577</v>
      </c>
      <c r="I106" t="s">
        <v>578</v>
      </c>
      <c r="J106">
        <v>24</v>
      </c>
      <c r="K106" t="s">
        <v>473</v>
      </c>
      <c r="L106" t="s">
        <v>579</v>
      </c>
      <c r="M106">
        <v>32</v>
      </c>
      <c r="N106" t="s">
        <v>34</v>
      </c>
      <c r="O106" t="s">
        <v>35</v>
      </c>
      <c r="Q106" t="s">
        <v>36</v>
      </c>
      <c r="R106">
        <v>50</v>
      </c>
      <c r="S106" t="s">
        <v>49</v>
      </c>
      <c r="T106" t="s">
        <v>69</v>
      </c>
      <c r="U106">
        <v>1</v>
      </c>
      <c r="V106" t="s">
        <v>62</v>
      </c>
      <c r="W106" t="s">
        <v>165</v>
      </c>
      <c r="X106" t="s">
        <v>52</v>
      </c>
      <c r="Y106" t="s">
        <v>42</v>
      </c>
    </row>
    <row r="107" spans="1:25">
      <c r="A107" t="s">
        <v>580</v>
      </c>
      <c r="B107" t="s">
        <v>581</v>
      </c>
      <c r="C107" t="s">
        <v>204</v>
      </c>
      <c r="D107">
        <v>85</v>
      </c>
      <c r="E107" t="s">
        <v>81</v>
      </c>
      <c r="F107" t="s">
        <v>82</v>
      </c>
      <c r="G107" t="s">
        <v>150</v>
      </c>
      <c r="H107" t="s">
        <v>582</v>
      </c>
      <c r="I107" t="s">
        <v>466</v>
      </c>
      <c r="J107">
        <v>8</v>
      </c>
      <c r="K107" t="s">
        <v>582</v>
      </c>
      <c r="L107" t="s">
        <v>583</v>
      </c>
      <c r="M107">
        <v>8</v>
      </c>
      <c r="N107" t="s">
        <v>68</v>
      </c>
      <c r="O107" t="s">
        <v>35</v>
      </c>
      <c r="Q107" t="s">
        <v>36</v>
      </c>
      <c r="R107">
        <v>20</v>
      </c>
      <c r="S107" t="s">
        <v>49</v>
      </c>
      <c r="T107" t="s">
        <v>69</v>
      </c>
      <c r="U107">
        <v>2</v>
      </c>
      <c r="V107" t="s">
        <v>70</v>
      </c>
      <c r="W107" t="s">
        <v>40</v>
      </c>
      <c r="X107" t="s">
        <v>52</v>
      </c>
      <c r="Y107" t="s">
        <v>53</v>
      </c>
    </row>
    <row r="108" spans="1:25">
      <c r="A108" t="s">
        <v>584</v>
      </c>
      <c r="B108" t="s">
        <v>585</v>
      </c>
      <c r="C108" t="s">
        <v>56</v>
      </c>
      <c r="D108">
        <v>13</v>
      </c>
      <c r="E108" t="s">
        <v>57</v>
      </c>
      <c r="F108" t="s">
        <v>29</v>
      </c>
      <c r="G108" t="s">
        <v>30</v>
      </c>
      <c r="H108" t="s">
        <v>586</v>
      </c>
      <c r="I108" t="s">
        <v>587</v>
      </c>
      <c r="J108">
        <v>3</v>
      </c>
      <c r="K108" t="s">
        <v>586</v>
      </c>
      <c r="L108" t="s">
        <v>588</v>
      </c>
      <c r="M108">
        <v>9</v>
      </c>
      <c r="N108" t="s">
        <v>34</v>
      </c>
      <c r="O108" t="s">
        <v>35</v>
      </c>
      <c r="Q108" t="s">
        <v>36</v>
      </c>
      <c r="R108">
        <v>15</v>
      </c>
      <c r="S108" t="s">
        <v>77</v>
      </c>
      <c r="T108" t="s">
        <v>38</v>
      </c>
      <c r="U108">
        <v>3</v>
      </c>
      <c r="V108" t="s">
        <v>39</v>
      </c>
      <c r="W108" t="s">
        <v>103</v>
      </c>
      <c r="X108" t="s">
        <v>109</v>
      </c>
      <c r="Y108" t="s">
        <v>53</v>
      </c>
    </row>
    <row r="109" spans="1:25">
      <c r="A109" t="s">
        <v>589</v>
      </c>
      <c r="B109" t="s">
        <v>590</v>
      </c>
      <c r="C109" t="s">
        <v>56</v>
      </c>
      <c r="D109">
        <v>27</v>
      </c>
      <c r="E109" t="s">
        <v>149</v>
      </c>
      <c r="F109" t="s">
        <v>29</v>
      </c>
      <c r="G109" t="s">
        <v>30</v>
      </c>
      <c r="H109" t="s">
        <v>394</v>
      </c>
      <c r="I109" t="s">
        <v>591</v>
      </c>
      <c r="J109">
        <v>6</v>
      </c>
      <c r="K109" t="s">
        <v>396</v>
      </c>
      <c r="L109" t="s">
        <v>592</v>
      </c>
      <c r="M109">
        <v>9</v>
      </c>
      <c r="N109" t="s">
        <v>34</v>
      </c>
      <c r="O109" t="s">
        <v>35</v>
      </c>
      <c r="Q109" t="s">
        <v>36</v>
      </c>
      <c r="R109">
        <v>40</v>
      </c>
      <c r="S109" t="s">
        <v>77</v>
      </c>
      <c r="T109" t="s">
        <v>88</v>
      </c>
      <c r="U109">
        <v>1</v>
      </c>
      <c r="V109" t="s">
        <v>62</v>
      </c>
      <c r="W109" t="s">
        <v>40</v>
      </c>
      <c r="X109" t="s">
        <v>109</v>
      </c>
      <c r="Y109" t="s">
        <v>71</v>
      </c>
    </row>
    <row r="110" spans="1:25">
      <c r="A110" t="s">
        <v>593</v>
      </c>
      <c r="B110" t="s">
        <v>594</v>
      </c>
      <c r="C110" t="s">
        <v>80</v>
      </c>
      <c r="D110">
        <v>2</v>
      </c>
      <c r="E110" t="s">
        <v>57</v>
      </c>
      <c r="F110" t="s">
        <v>29</v>
      </c>
      <c r="G110" t="s">
        <v>30</v>
      </c>
      <c r="H110" t="s">
        <v>595</v>
      </c>
      <c r="I110" t="s">
        <v>596</v>
      </c>
      <c r="J110">
        <v>3</v>
      </c>
      <c r="K110" t="s">
        <v>595</v>
      </c>
      <c r="L110" t="s">
        <v>597</v>
      </c>
      <c r="M110">
        <v>10</v>
      </c>
      <c r="N110" t="s">
        <v>34</v>
      </c>
      <c r="O110" t="s">
        <v>35</v>
      </c>
      <c r="Q110" t="s">
        <v>36</v>
      </c>
      <c r="R110">
        <v>15</v>
      </c>
      <c r="S110" t="s">
        <v>77</v>
      </c>
      <c r="T110" t="s">
        <v>164</v>
      </c>
      <c r="U110">
        <v>5</v>
      </c>
      <c r="V110" t="s">
        <v>62</v>
      </c>
      <c r="W110" t="s">
        <v>103</v>
      </c>
      <c r="X110" t="s">
        <v>52</v>
      </c>
      <c r="Y110" t="s">
        <v>42</v>
      </c>
    </row>
    <row r="111" spans="1:25">
      <c r="A111" t="s">
        <v>598</v>
      </c>
      <c r="B111" t="s">
        <v>599</v>
      </c>
      <c r="C111" t="s">
        <v>80</v>
      </c>
      <c r="D111">
        <v>10</v>
      </c>
      <c r="E111" t="s">
        <v>92</v>
      </c>
      <c r="F111" t="s">
        <v>29</v>
      </c>
      <c r="G111" t="s">
        <v>93</v>
      </c>
      <c r="H111" t="s">
        <v>600</v>
      </c>
      <c r="I111" t="s">
        <v>601</v>
      </c>
      <c r="J111">
        <v>24</v>
      </c>
      <c r="K111" t="s">
        <v>602</v>
      </c>
      <c r="L111" t="s">
        <v>603</v>
      </c>
      <c r="M111">
        <v>23</v>
      </c>
      <c r="N111" t="s">
        <v>68</v>
      </c>
      <c r="O111" t="s">
        <v>35</v>
      </c>
      <c r="Q111" t="s">
        <v>36</v>
      </c>
      <c r="R111">
        <v>50</v>
      </c>
      <c r="S111" t="s">
        <v>37</v>
      </c>
      <c r="T111" t="s">
        <v>38</v>
      </c>
      <c r="U111">
        <v>4</v>
      </c>
      <c r="V111" t="s">
        <v>70</v>
      </c>
      <c r="W111" t="s">
        <v>165</v>
      </c>
      <c r="X111" t="s">
        <v>52</v>
      </c>
      <c r="Y111" t="s">
        <v>42</v>
      </c>
    </row>
    <row r="112" spans="1:25">
      <c r="A112" t="s">
        <v>604</v>
      </c>
      <c r="B112" t="s">
        <v>605</v>
      </c>
      <c r="C112" t="s">
        <v>80</v>
      </c>
      <c r="D112">
        <v>81</v>
      </c>
      <c r="E112" t="s">
        <v>28</v>
      </c>
      <c r="F112" t="s">
        <v>29</v>
      </c>
      <c r="G112" t="s">
        <v>30</v>
      </c>
      <c r="H112" t="s">
        <v>189</v>
      </c>
      <c r="I112" t="s">
        <v>606</v>
      </c>
      <c r="J112">
        <v>5</v>
      </c>
      <c r="K112" t="s">
        <v>189</v>
      </c>
      <c r="L112" t="s">
        <v>607</v>
      </c>
      <c r="M112">
        <v>11</v>
      </c>
      <c r="N112" t="s">
        <v>34</v>
      </c>
      <c r="O112" t="s">
        <v>35</v>
      </c>
      <c r="Q112" t="s">
        <v>36</v>
      </c>
      <c r="R112">
        <v>35</v>
      </c>
      <c r="S112" t="s">
        <v>77</v>
      </c>
      <c r="T112" t="s">
        <v>38</v>
      </c>
      <c r="U112">
        <v>3</v>
      </c>
      <c r="V112" t="s">
        <v>70</v>
      </c>
      <c r="W112" t="s">
        <v>165</v>
      </c>
      <c r="X112" t="s">
        <v>41</v>
      </c>
      <c r="Y112" t="s">
        <v>71</v>
      </c>
    </row>
    <row r="113" spans="1:25">
      <c r="A113" t="s">
        <v>608</v>
      </c>
      <c r="B113" t="s">
        <v>609</v>
      </c>
      <c r="C113" t="s">
        <v>80</v>
      </c>
      <c r="D113">
        <v>38</v>
      </c>
      <c r="E113" t="s">
        <v>173</v>
      </c>
      <c r="F113" t="s">
        <v>29</v>
      </c>
      <c r="G113" t="s">
        <v>168</v>
      </c>
      <c r="H113" t="s">
        <v>427</v>
      </c>
      <c r="I113" t="s">
        <v>610</v>
      </c>
      <c r="J113">
        <v>4</v>
      </c>
      <c r="K113" t="s">
        <v>427</v>
      </c>
      <c r="L113" t="s">
        <v>611</v>
      </c>
      <c r="M113">
        <v>7</v>
      </c>
      <c r="N113" t="s">
        <v>34</v>
      </c>
      <c r="O113" t="s">
        <v>35</v>
      </c>
      <c r="Q113" t="s">
        <v>36</v>
      </c>
      <c r="R113">
        <v>25</v>
      </c>
      <c r="S113" t="s">
        <v>77</v>
      </c>
      <c r="T113" t="s">
        <v>69</v>
      </c>
      <c r="U113">
        <v>3</v>
      </c>
      <c r="V113" t="s">
        <v>62</v>
      </c>
      <c r="W113" t="s">
        <v>103</v>
      </c>
      <c r="X113" t="s">
        <v>52</v>
      </c>
      <c r="Y113" t="s">
        <v>42</v>
      </c>
    </row>
    <row r="114" spans="1:25">
      <c r="A114" t="s">
        <v>612</v>
      </c>
      <c r="B114" t="s">
        <v>613</v>
      </c>
      <c r="C114" t="s">
        <v>80</v>
      </c>
      <c r="D114">
        <v>1</v>
      </c>
      <c r="E114" t="s">
        <v>92</v>
      </c>
      <c r="F114" t="s">
        <v>29</v>
      </c>
      <c r="G114" t="s">
        <v>83</v>
      </c>
      <c r="H114" t="s">
        <v>338</v>
      </c>
      <c r="I114" t="s">
        <v>614</v>
      </c>
      <c r="J114">
        <v>24</v>
      </c>
      <c r="K114" t="s">
        <v>615</v>
      </c>
      <c r="L114" t="s">
        <v>616</v>
      </c>
      <c r="M114">
        <v>31</v>
      </c>
      <c r="N114" t="s">
        <v>34</v>
      </c>
      <c r="O114" t="s">
        <v>35</v>
      </c>
      <c r="Q114" t="s">
        <v>36</v>
      </c>
      <c r="R114">
        <v>50</v>
      </c>
      <c r="S114" t="s">
        <v>37</v>
      </c>
      <c r="T114" t="s">
        <v>96</v>
      </c>
      <c r="U114">
        <v>4</v>
      </c>
      <c r="V114" t="s">
        <v>39</v>
      </c>
      <c r="W114" t="s">
        <v>165</v>
      </c>
      <c r="X114" t="s">
        <v>41</v>
      </c>
      <c r="Y114" t="s">
        <v>53</v>
      </c>
    </row>
    <row r="115" spans="1:25">
      <c r="A115" t="s">
        <v>617</v>
      </c>
      <c r="B115" t="s">
        <v>618</v>
      </c>
      <c r="C115" t="s">
        <v>80</v>
      </c>
      <c r="D115">
        <v>65</v>
      </c>
      <c r="E115" t="s">
        <v>92</v>
      </c>
      <c r="F115" t="s">
        <v>29</v>
      </c>
      <c r="G115" t="s">
        <v>93</v>
      </c>
      <c r="H115" t="s">
        <v>615</v>
      </c>
      <c r="I115" t="s">
        <v>619</v>
      </c>
      <c r="J115">
        <v>24</v>
      </c>
      <c r="K115" t="s">
        <v>232</v>
      </c>
      <c r="L115" t="s">
        <v>297</v>
      </c>
      <c r="M115">
        <v>32</v>
      </c>
      <c r="N115" t="s">
        <v>34</v>
      </c>
      <c r="O115" t="s">
        <v>270</v>
      </c>
      <c r="P115" t="s">
        <v>620</v>
      </c>
      <c r="Q115" t="s">
        <v>36</v>
      </c>
      <c r="R115">
        <v>50</v>
      </c>
      <c r="S115" t="s">
        <v>49</v>
      </c>
      <c r="T115" t="s">
        <v>38</v>
      </c>
      <c r="U115">
        <v>2</v>
      </c>
      <c r="V115" t="s">
        <v>70</v>
      </c>
      <c r="W115" t="s">
        <v>51</v>
      </c>
      <c r="X115" t="s">
        <v>41</v>
      </c>
      <c r="Y115" t="s">
        <v>71</v>
      </c>
    </row>
    <row r="116" spans="1:25">
      <c r="A116" t="s">
        <v>621</v>
      </c>
      <c r="B116" t="s">
        <v>622</v>
      </c>
      <c r="C116" t="s">
        <v>204</v>
      </c>
      <c r="D116">
        <v>13</v>
      </c>
      <c r="E116" t="s">
        <v>57</v>
      </c>
      <c r="F116" t="s">
        <v>29</v>
      </c>
      <c r="G116" t="s">
        <v>58</v>
      </c>
      <c r="H116" t="s">
        <v>251</v>
      </c>
      <c r="I116" t="s">
        <v>85</v>
      </c>
      <c r="J116">
        <v>3</v>
      </c>
      <c r="K116" t="s">
        <v>251</v>
      </c>
      <c r="L116" t="s">
        <v>623</v>
      </c>
      <c r="M116">
        <v>3</v>
      </c>
      <c r="N116" t="s">
        <v>68</v>
      </c>
      <c r="O116" t="s">
        <v>35</v>
      </c>
      <c r="Q116" t="s">
        <v>36</v>
      </c>
      <c r="R116">
        <v>15</v>
      </c>
      <c r="S116" t="s">
        <v>77</v>
      </c>
      <c r="T116" t="s">
        <v>69</v>
      </c>
      <c r="U116">
        <v>3</v>
      </c>
      <c r="V116" t="s">
        <v>62</v>
      </c>
      <c r="W116" t="s">
        <v>165</v>
      </c>
      <c r="X116" t="s">
        <v>52</v>
      </c>
      <c r="Y116" t="s">
        <v>42</v>
      </c>
    </row>
    <row r="117" spans="1:25">
      <c r="A117" t="s">
        <v>624</v>
      </c>
      <c r="B117" t="s">
        <v>625</v>
      </c>
      <c r="C117" t="s">
        <v>80</v>
      </c>
      <c r="D117">
        <v>34</v>
      </c>
      <c r="E117" t="s">
        <v>28</v>
      </c>
      <c r="F117" t="s">
        <v>29</v>
      </c>
      <c r="G117" t="s">
        <v>83</v>
      </c>
      <c r="H117" t="s">
        <v>446</v>
      </c>
      <c r="I117" t="s">
        <v>626</v>
      </c>
      <c r="J117">
        <v>5</v>
      </c>
      <c r="K117" t="s">
        <v>446</v>
      </c>
      <c r="L117" t="s">
        <v>627</v>
      </c>
      <c r="M117">
        <v>11</v>
      </c>
      <c r="N117" t="s">
        <v>34</v>
      </c>
      <c r="O117" t="s">
        <v>35</v>
      </c>
      <c r="Q117" t="s">
        <v>36</v>
      </c>
      <c r="R117">
        <v>35</v>
      </c>
      <c r="S117" t="s">
        <v>49</v>
      </c>
      <c r="T117" t="s">
        <v>88</v>
      </c>
      <c r="U117">
        <v>3</v>
      </c>
      <c r="V117" t="s">
        <v>70</v>
      </c>
      <c r="W117" t="s">
        <v>165</v>
      </c>
      <c r="X117" t="s">
        <v>41</v>
      </c>
      <c r="Y117" t="s">
        <v>71</v>
      </c>
    </row>
    <row r="118" spans="1:25">
      <c r="A118" t="s">
        <v>628</v>
      </c>
      <c r="B118" t="s">
        <v>629</v>
      </c>
      <c r="C118" t="s">
        <v>27</v>
      </c>
      <c r="D118">
        <v>87</v>
      </c>
      <c r="E118" t="s">
        <v>149</v>
      </c>
      <c r="F118" t="s">
        <v>29</v>
      </c>
      <c r="G118" t="s">
        <v>30</v>
      </c>
      <c r="H118" t="s">
        <v>582</v>
      </c>
      <c r="I118" t="s">
        <v>460</v>
      </c>
      <c r="J118">
        <v>6</v>
      </c>
      <c r="K118" t="s">
        <v>582</v>
      </c>
      <c r="L118" t="s">
        <v>630</v>
      </c>
      <c r="M118">
        <v>12</v>
      </c>
      <c r="N118" t="s">
        <v>34</v>
      </c>
      <c r="O118" t="s">
        <v>35</v>
      </c>
      <c r="Q118" t="s">
        <v>36</v>
      </c>
      <c r="R118">
        <v>40</v>
      </c>
      <c r="S118" t="s">
        <v>37</v>
      </c>
      <c r="T118" t="s">
        <v>164</v>
      </c>
      <c r="U118">
        <v>3</v>
      </c>
      <c r="V118" t="s">
        <v>62</v>
      </c>
      <c r="W118" t="s">
        <v>165</v>
      </c>
      <c r="X118" t="s">
        <v>41</v>
      </c>
      <c r="Y118" t="s">
        <v>42</v>
      </c>
    </row>
    <row r="119" spans="1:25">
      <c r="A119" t="s">
        <v>631</v>
      </c>
      <c r="B119" t="s">
        <v>632</v>
      </c>
      <c r="C119" t="s">
        <v>204</v>
      </c>
      <c r="D119">
        <v>15</v>
      </c>
      <c r="E119" t="s">
        <v>149</v>
      </c>
      <c r="F119" t="s">
        <v>29</v>
      </c>
      <c r="G119" t="s">
        <v>30</v>
      </c>
      <c r="H119" t="s">
        <v>337</v>
      </c>
      <c r="I119" t="s">
        <v>633</v>
      </c>
      <c r="J119">
        <v>6</v>
      </c>
      <c r="K119" t="s">
        <v>338</v>
      </c>
      <c r="L119" t="s">
        <v>634</v>
      </c>
      <c r="M119">
        <v>13</v>
      </c>
      <c r="N119" t="s">
        <v>34</v>
      </c>
      <c r="O119" t="s">
        <v>35</v>
      </c>
      <c r="Q119" t="s">
        <v>36</v>
      </c>
      <c r="R119">
        <v>40</v>
      </c>
      <c r="S119" t="s">
        <v>49</v>
      </c>
      <c r="T119" t="s">
        <v>96</v>
      </c>
      <c r="U119">
        <v>5</v>
      </c>
      <c r="V119" t="s">
        <v>70</v>
      </c>
      <c r="W119" t="s">
        <v>40</v>
      </c>
      <c r="X119" t="s">
        <v>109</v>
      </c>
      <c r="Y119" t="s">
        <v>71</v>
      </c>
    </row>
    <row r="120" spans="1:25">
      <c r="A120" t="s">
        <v>635</v>
      </c>
      <c r="B120" t="s">
        <v>636</v>
      </c>
      <c r="C120" t="s">
        <v>27</v>
      </c>
      <c r="D120">
        <v>6</v>
      </c>
      <c r="E120" t="s">
        <v>92</v>
      </c>
      <c r="F120" t="s">
        <v>29</v>
      </c>
      <c r="G120" t="s">
        <v>45</v>
      </c>
      <c r="H120" t="s">
        <v>329</v>
      </c>
      <c r="I120" t="s">
        <v>637</v>
      </c>
      <c r="J120">
        <v>24</v>
      </c>
      <c r="K120" t="s">
        <v>421</v>
      </c>
      <c r="L120" t="s">
        <v>638</v>
      </c>
      <c r="M120">
        <v>25</v>
      </c>
      <c r="N120" t="s">
        <v>34</v>
      </c>
      <c r="O120" t="s">
        <v>35</v>
      </c>
      <c r="Q120" t="s">
        <v>36</v>
      </c>
      <c r="R120">
        <v>50</v>
      </c>
      <c r="S120" t="s">
        <v>77</v>
      </c>
      <c r="T120" t="s">
        <v>69</v>
      </c>
      <c r="U120">
        <v>5</v>
      </c>
      <c r="V120" t="s">
        <v>39</v>
      </c>
      <c r="W120" t="s">
        <v>103</v>
      </c>
      <c r="X120" t="s">
        <v>109</v>
      </c>
      <c r="Y120" t="s">
        <v>53</v>
      </c>
    </row>
    <row r="121" spans="1:25">
      <c r="A121" t="s">
        <v>639</v>
      </c>
      <c r="B121" t="s">
        <v>640</v>
      </c>
      <c r="C121" t="s">
        <v>56</v>
      </c>
      <c r="D121">
        <v>54</v>
      </c>
      <c r="E121" t="s">
        <v>57</v>
      </c>
      <c r="F121" t="s">
        <v>29</v>
      </c>
      <c r="G121" t="s">
        <v>58</v>
      </c>
      <c r="H121" t="s">
        <v>641</v>
      </c>
      <c r="I121" t="s">
        <v>642</v>
      </c>
      <c r="J121">
        <v>3</v>
      </c>
      <c r="K121" t="s">
        <v>641</v>
      </c>
      <c r="L121" t="s">
        <v>140</v>
      </c>
      <c r="M121">
        <v>3</v>
      </c>
      <c r="N121" t="s">
        <v>68</v>
      </c>
      <c r="O121" t="s">
        <v>35</v>
      </c>
      <c r="Q121" t="s">
        <v>36</v>
      </c>
      <c r="R121">
        <v>15</v>
      </c>
      <c r="S121" t="s">
        <v>49</v>
      </c>
      <c r="T121" t="s">
        <v>50</v>
      </c>
      <c r="U121">
        <v>4</v>
      </c>
      <c r="V121" t="s">
        <v>62</v>
      </c>
      <c r="W121" t="s">
        <v>165</v>
      </c>
      <c r="X121" t="s">
        <v>41</v>
      </c>
      <c r="Y121" t="s">
        <v>42</v>
      </c>
    </row>
    <row r="122" spans="1:25">
      <c r="A122" t="s">
        <v>643</v>
      </c>
      <c r="B122" t="s">
        <v>644</v>
      </c>
      <c r="C122" t="s">
        <v>204</v>
      </c>
      <c r="D122">
        <v>52</v>
      </c>
      <c r="E122" t="s">
        <v>81</v>
      </c>
      <c r="F122" t="s">
        <v>82</v>
      </c>
      <c r="G122" t="s">
        <v>83</v>
      </c>
      <c r="H122" t="s">
        <v>333</v>
      </c>
      <c r="I122" t="s">
        <v>470</v>
      </c>
      <c r="J122">
        <v>8</v>
      </c>
      <c r="K122" t="s">
        <v>333</v>
      </c>
      <c r="L122" t="s">
        <v>645</v>
      </c>
      <c r="M122">
        <v>8</v>
      </c>
      <c r="N122" t="s">
        <v>68</v>
      </c>
      <c r="O122" t="s">
        <v>35</v>
      </c>
      <c r="Q122" t="s">
        <v>36</v>
      </c>
      <c r="R122">
        <v>20</v>
      </c>
      <c r="S122" t="s">
        <v>49</v>
      </c>
      <c r="T122" t="s">
        <v>38</v>
      </c>
      <c r="U122">
        <v>3</v>
      </c>
      <c r="V122" t="s">
        <v>89</v>
      </c>
      <c r="W122" t="s">
        <v>40</v>
      </c>
      <c r="X122" t="s">
        <v>109</v>
      </c>
      <c r="Y122" t="s">
        <v>53</v>
      </c>
    </row>
    <row r="123" spans="1:25">
      <c r="A123" t="s">
        <v>646</v>
      </c>
      <c r="B123" t="s">
        <v>647</v>
      </c>
      <c r="C123" t="s">
        <v>27</v>
      </c>
      <c r="D123">
        <v>68</v>
      </c>
      <c r="E123" t="s">
        <v>173</v>
      </c>
      <c r="F123" t="s">
        <v>29</v>
      </c>
      <c r="G123" t="s">
        <v>150</v>
      </c>
      <c r="H123" t="s">
        <v>337</v>
      </c>
      <c r="I123" t="s">
        <v>648</v>
      </c>
      <c r="J123">
        <v>4</v>
      </c>
      <c r="K123" t="s">
        <v>337</v>
      </c>
      <c r="L123" t="s">
        <v>479</v>
      </c>
      <c r="M123">
        <v>3</v>
      </c>
      <c r="N123" t="s">
        <v>68</v>
      </c>
      <c r="O123" t="s">
        <v>35</v>
      </c>
      <c r="Q123" t="s">
        <v>36</v>
      </c>
      <c r="R123">
        <v>25</v>
      </c>
      <c r="S123" t="s">
        <v>49</v>
      </c>
      <c r="T123" t="s">
        <v>69</v>
      </c>
      <c r="U123">
        <v>1</v>
      </c>
      <c r="V123" t="s">
        <v>70</v>
      </c>
      <c r="W123" t="s">
        <v>51</v>
      </c>
      <c r="X123" t="s">
        <v>109</v>
      </c>
      <c r="Y123" t="s">
        <v>53</v>
      </c>
    </row>
    <row r="124" spans="1:25">
      <c r="A124" t="s">
        <v>649</v>
      </c>
      <c r="B124" t="s">
        <v>650</v>
      </c>
      <c r="C124" t="s">
        <v>204</v>
      </c>
      <c r="D124">
        <v>51</v>
      </c>
      <c r="E124" t="s">
        <v>28</v>
      </c>
      <c r="F124" t="s">
        <v>29</v>
      </c>
      <c r="G124" t="s">
        <v>30</v>
      </c>
      <c r="H124" t="s">
        <v>400</v>
      </c>
      <c r="I124" t="s">
        <v>651</v>
      </c>
      <c r="J124">
        <v>5</v>
      </c>
      <c r="K124" t="s">
        <v>652</v>
      </c>
      <c r="L124" t="s">
        <v>653</v>
      </c>
      <c r="M124">
        <v>10</v>
      </c>
      <c r="N124" t="s">
        <v>34</v>
      </c>
      <c r="O124" t="s">
        <v>35</v>
      </c>
      <c r="Q124" t="s">
        <v>36</v>
      </c>
      <c r="R124">
        <v>35</v>
      </c>
      <c r="S124" t="s">
        <v>77</v>
      </c>
      <c r="T124" t="s">
        <v>38</v>
      </c>
      <c r="U124">
        <v>5</v>
      </c>
      <c r="V124" t="s">
        <v>62</v>
      </c>
      <c r="W124" t="s">
        <v>51</v>
      </c>
      <c r="X124" t="s">
        <v>109</v>
      </c>
      <c r="Y124" t="s">
        <v>42</v>
      </c>
    </row>
    <row r="125" spans="1:25">
      <c r="A125" t="s">
        <v>654</v>
      </c>
      <c r="B125" t="s">
        <v>655</v>
      </c>
      <c r="C125" t="s">
        <v>27</v>
      </c>
      <c r="D125">
        <v>19</v>
      </c>
      <c r="E125" t="s">
        <v>57</v>
      </c>
      <c r="F125" t="s">
        <v>29</v>
      </c>
      <c r="G125" t="s">
        <v>58</v>
      </c>
      <c r="H125" t="s">
        <v>291</v>
      </c>
      <c r="I125" t="s">
        <v>656</v>
      </c>
      <c r="J125">
        <v>3</v>
      </c>
      <c r="K125" t="s">
        <v>291</v>
      </c>
      <c r="L125" t="s">
        <v>657</v>
      </c>
      <c r="M125">
        <v>7</v>
      </c>
      <c r="N125" t="s">
        <v>34</v>
      </c>
      <c r="O125" t="s">
        <v>35</v>
      </c>
      <c r="Q125" t="s">
        <v>36</v>
      </c>
      <c r="R125">
        <v>15</v>
      </c>
      <c r="S125" t="s">
        <v>77</v>
      </c>
      <c r="T125" t="s">
        <v>164</v>
      </c>
      <c r="U125">
        <v>1</v>
      </c>
      <c r="V125" t="s">
        <v>70</v>
      </c>
      <c r="W125" t="s">
        <v>103</v>
      </c>
      <c r="X125" t="s">
        <v>109</v>
      </c>
      <c r="Y125" t="s">
        <v>42</v>
      </c>
    </row>
    <row r="126" spans="1:25">
      <c r="A126" t="s">
        <v>658</v>
      </c>
      <c r="B126" t="s">
        <v>659</v>
      </c>
      <c r="C126" t="s">
        <v>56</v>
      </c>
      <c r="D126">
        <v>85</v>
      </c>
      <c r="E126" t="s">
        <v>57</v>
      </c>
      <c r="F126" t="s">
        <v>29</v>
      </c>
      <c r="G126" t="s">
        <v>58</v>
      </c>
      <c r="H126" t="s">
        <v>451</v>
      </c>
      <c r="I126" t="s">
        <v>660</v>
      </c>
      <c r="J126">
        <v>3</v>
      </c>
      <c r="K126" t="s">
        <v>451</v>
      </c>
      <c r="L126" t="s">
        <v>661</v>
      </c>
      <c r="M126">
        <v>8</v>
      </c>
      <c r="N126" t="s">
        <v>34</v>
      </c>
      <c r="O126" t="s">
        <v>35</v>
      </c>
      <c r="Q126" t="s">
        <v>36</v>
      </c>
      <c r="R126">
        <v>15</v>
      </c>
      <c r="S126" t="s">
        <v>49</v>
      </c>
      <c r="T126" t="s">
        <v>96</v>
      </c>
      <c r="U126">
        <v>2</v>
      </c>
      <c r="V126" t="s">
        <v>89</v>
      </c>
      <c r="W126" t="s">
        <v>40</v>
      </c>
      <c r="X126" t="s">
        <v>52</v>
      </c>
      <c r="Y126" t="s">
        <v>71</v>
      </c>
    </row>
    <row r="127" spans="1:25">
      <c r="A127" t="s">
        <v>662</v>
      </c>
      <c r="B127" t="s">
        <v>663</v>
      </c>
      <c r="C127" t="s">
        <v>204</v>
      </c>
      <c r="D127">
        <v>2</v>
      </c>
      <c r="E127" t="s">
        <v>149</v>
      </c>
      <c r="F127" t="s">
        <v>29</v>
      </c>
      <c r="G127" t="s">
        <v>30</v>
      </c>
      <c r="H127" t="s">
        <v>577</v>
      </c>
      <c r="I127" t="s">
        <v>664</v>
      </c>
      <c r="J127">
        <v>6</v>
      </c>
      <c r="K127" t="s">
        <v>577</v>
      </c>
      <c r="L127" t="s">
        <v>665</v>
      </c>
      <c r="M127">
        <v>13</v>
      </c>
      <c r="N127" t="s">
        <v>34</v>
      </c>
      <c r="O127" t="s">
        <v>35</v>
      </c>
      <c r="Q127" t="s">
        <v>36</v>
      </c>
      <c r="R127">
        <v>40</v>
      </c>
      <c r="S127" t="s">
        <v>77</v>
      </c>
      <c r="T127" t="s">
        <v>69</v>
      </c>
      <c r="U127">
        <v>5</v>
      </c>
      <c r="V127" t="s">
        <v>70</v>
      </c>
      <c r="W127" t="s">
        <v>40</v>
      </c>
      <c r="X127" t="s">
        <v>109</v>
      </c>
      <c r="Y127" t="s">
        <v>42</v>
      </c>
    </row>
    <row r="128" spans="1:25">
      <c r="A128" t="s">
        <v>666</v>
      </c>
      <c r="B128" t="s">
        <v>667</v>
      </c>
      <c r="C128" t="s">
        <v>204</v>
      </c>
      <c r="D128">
        <v>26</v>
      </c>
      <c r="E128" t="s">
        <v>28</v>
      </c>
      <c r="F128" t="s">
        <v>29</v>
      </c>
      <c r="G128" t="s">
        <v>30</v>
      </c>
      <c r="H128" t="s">
        <v>668</v>
      </c>
      <c r="I128" t="s">
        <v>669</v>
      </c>
      <c r="J128">
        <v>5</v>
      </c>
      <c r="K128" t="s">
        <v>668</v>
      </c>
      <c r="L128" t="s">
        <v>574</v>
      </c>
      <c r="M128">
        <v>10</v>
      </c>
      <c r="N128" t="s">
        <v>34</v>
      </c>
      <c r="O128" t="s">
        <v>35</v>
      </c>
      <c r="Q128" t="s">
        <v>36</v>
      </c>
      <c r="R128">
        <v>35</v>
      </c>
      <c r="S128" t="s">
        <v>49</v>
      </c>
      <c r="T128" t="s">
        <v>69</v>
      </c>
      <c r="U128">
        <v>3</v>
      </c>
      <c r="V128" t="s">
        <v>89</v>
      </c>
      <c r="W128" t="s">
        <v>40</v>
      </c>
      <c r="X128" t="s">
        <v>41</v>
      </c>
      <c r="Y128" t="s">
        <v>71</v>
      </c>
    </row>
    <row r="129" spans="1:25">
      <c r="A129" t="s">
        <v>670</v>
      </c>
      <c r="B129" t="s">
        <v>671</v>
      </c>
      <c r="C129" t="s">
        <v>56</v>
      </c>
      <c r="D129">
        <v>51</v>
      </c>
      <c r="E129" t="s">
        <v>149</v>
      </c>
      <c r="F129" t="s">
        <v>29</v>
      </c>
      <c r="G129" t="s">
        <v>30</v>
      </c>
      <c r="H129" t="s">
        <v>213</v>
      </c>
      <c r="I129" t="s">
        <v>578</v>
      </c>
      <c r="J129">
        <v>6</v>
      </c>
      <c r="K129" t="s">
        <v>451</v>
      </c>
      <c r="L129" t="s">
        <v>672</v>
      </c>
      <c r="M129">
        <v>10</v>
      </c>
      <c r="N129" t="s">
        <v>34</v>
      </c>
      <c r="O129" t="s">
        <v>35</v>
      </c>
      <c r="Q129" t="s">
        <v>132</v>
      </c>
      <c r="R129">
        <v>40</v>
      </c>
      <c r="S129" t="s">
        <v>37</v>
      </c>
      <c r="T129" t="s">
        <v>88</v>
      </c>
      <c r="U129">
        <v>1</v>
      </c>
      <c r="V129" t="s">
        <v>89</v>
      </c>
      <c r="W129" t="s">
        <v>165</v>
      </c>
      <c r="X129" t="s">
        <v>109</v>
      </c>
      <c r="Y129" t="s">
        <v>53</v>
      </c>
    </row>
    <row r="130" spans="1:25">
      <c r="A130" t="s">
        <v>673</v>
      </c>
      <c r="B130" t="s">
        <v>674</v>
      </c>
      <c r="C130" t="s">
        <v>204</v>
      </c>
      <c r="D130">
        <v>56</v>
      </c>
      <c r="E130" t="s">
        <v>92</v>
      </c>
      <c r="F130" t="s">
        <v>29</v>
      </c>
      <c r="G130" t="s">
        <v>83</v>
      </c>
      <c r="H130" t="s">
        <v>431</v>
      </c>
      <c r="I130" t="s">
        <v>675</v>
      </c>
      <c r="J130">
        <v>24</v>
      </c>
      <c r="K130" t="s">
        <v>433</v>
      </c>
      <c r="L130" t="s">
        <v>676</v>
      </c>
      <c r="M130">
        <v>23</v>
      </c>
      <c r="N130" t="s">
        <v>68</v>
      </c>
      <c r="O130" t="s">
        <v>270</v>
      </c>
      <c r="P130" t="s">
        <v>677</v>
      </c>
      <c r="Q130" t="s">
        <v>36</v>
      </c>
      <c r="R130">
        <v>50</v>
      </c>
      <c r="S130" t="s">
        <v>77</v>
      </c>
      <c r="T130" t="s">
        <v>69</v>
      </c>
      <c r="U130">
        <v>4</v>
      </c>
      <c r="V130" t="s">
        <v>89</v>
      </c>
      <c r="W130" t="s">
        <v>51</v>
      </c>
      <c r="X130" t="s">
        <v>52</v>
      </c>
      <c r="Y130" t="s">
        <v>42</v>
      </c>
    </row>
    <row r="131" spans="1:25">
      <c r="A131" t="s">
        <v>678</v>
      </c>
      <c r="B131" t="s">
        <v>679</v>
      </c>
      <c r="C131" t="s">
        <v>204</v>
      </c>
      <c r="D131">
        <v>67</v>
      </c>
      <c r="E131" t="s">
        <v>57</v>
      </c>
      <c r="F131" t="s">
        <v>29</v>
      </c>
      <c r="G131" t="s">
        <v>58</v>
      </c>
      <c r="H131" t="s">
        <v>680</v>
      </c>
      <c r="I131" t="s">
        <v>681</v>
      </c>
      <c r="J131">
        <v>3</v>
      </c>
      <c r="K131" t="s">
        <v>680</v>
      </c>
      <c r="L131" t="s">
        <v>682</v>
      </c>
      <c r="M131">
        <v>4</v>
      </c>
      <c r="N131" t="s">
        <v>34</v>
      </c>
      <c r="O131" t="s">
        <v>35</v>
      </c>
      <c r="Q131" t="s">
        <v>36</v>
      </c>
      <c r="R131">
        <v>15</v>
      </c>
      <c r="S131" t="s">
        <v>37</v>
      </c>
      <c r="T131" t="s">
        <v>69</v>
      </c>
      <c r="U131">
        <v>4</v>
      </c>
      <c r="V131" t="s">
        <v>62</v>
      </c>
      <c r="W131" t="s">
        <v>103</v>
      </c>
      <c r="X131" t="s">
        <v>109</v>
      </c>
      <c r="Y131" t="s">
        <v>42</v>
      </c>
    </row>
    <row r="132" spans="1:25">
      <c r="A132" t="s">
        <v>683</v>
      </c>
      <c r="B132" t="s">
        <v>684</v>
      </c>
      <c r="C132" t="s">
        <v>27</v>
      </c>
      <c r="D132">
        <v>89</v>
      </c>
      <c r="E132" t="s">
        <v>28</v>
      </c>
      <c r="F132" t="s">
        <v>29</v>
      </c>
      <c r="G132" t="s">
        <v>30</v>
      </c>
      <c r="H132" t="s">
        <v>685</v>
      </c>
      <c r="I132" t="s">
        <v>686</v>
      </c>
      <c r="J132">
        <v>5</v>
      </c>
      <c r="K132" t="s">
        <v>685</v>
      </c>
      <c r="L132" t="s">
        <v>225</v>
      </c>
      <c r="M132">
        <v>10</v>
      </c>
      <c r="N132" t="s">
        <v>34</v>
      </c>
      <c r="O132" t="s">
        <v>35</v>
      </c>
      <c r="Q132" t="s">
        <v>36</v>
      </c>
      <c r="R132">
        <v>35</v>
      </c>
      <c r="S132" t="s">
        <v>49</v>
      </c>
      <c r="T132" t="s">
        <v>96</v>
      </c>
      <c r="U132">
        <v>4</v>
      </c>
      <c r="V132" t="s">
        <v>39</v>
      </c>
      <c r="W132" t="s">
        <v>40</v>
      </c>
      <c r="X132" t="s">
        <v>109</v>
      </c>
      <c r="Y132" t="s">
        <v>71</v>
      </c>
    </row>
    <row r="133" spans="1:25">
      <c r="A133" t="s">
        <v>687</v>
      </c>
      <c r="B133" t="s">
        <v>688</v>
      </c>
      <c r="C133" t="s">
        <v>204</v>
      </c>
      <c r="D133">
        <v>53</v>
      </c>
      <c r="E133" t="s">
        <v>149</v>
      </c>
      <c r="F133" t="s">
        <v>29</v>
      </c>
      <c r="G133" t="s">
        <v>30</v>
      </c>
      <c r="H133" t="s">
        <v>668</v>
      </c>
      <c r="I133" t="s">
        <v>689</v>
      </c>
      <c r="J133">
        <v>6</v>
      </c>
      <c r="K133" t="s">
        <v>668</v>
      </c>
      <c r="L133" t="s">
        <v>690</v>
      </c>
      <c r="M133">
        <v>5</v>
      </c>
      <c r="N133" t="s">
        <v>68</v>
      </c>
      <c r="O133" t="s">
        <v>35</v>
      </c>
      <c r="Q133" t="s">
        <v>36</v>
      </c>
      <c r="S133" t="s">
        <v>77</v>
      </c>
      <c r="T133" t="s">
        <v>88</v>
      </c>
      <c r="U133">
        <v>3</v>
      </c>
      <c r="V133" t="s">
        <v>70</v>
      </c>
      <c r="W133" t="s">
        <v>40</v>
      </c>
      <c r="X133" t="s">
        <v>41</v>
      </c>
      <c r="Y133" t="s">
        <v>71</v>
      </c>
    </row>
    <row r="134" spans="1:25">
      <c r="A134" t="s">
        <v>691</v>
      </c>
      <c r="B134" t="s">
        <v>692</v>
      </c>
      <c r="C134" t="s">
        <v>56</v>
      </c>
      <c r="D134">
        <v>76</v>
      </c>
      <c r="E134" t="s">
        <v>92</v>
      </c>
      <c r="F134" t="s">
        <v>29</v>
      </c>
      <c r="G134" t="s">
        <v>45</v>
      </c>
      <c r="H134" t="s">
        <v>329</v>
      </c>
      <c r="I134" t="s">
        <v>651</v>
      </c>
      <c r="J134">
        <v>24</v>
      </c>
      <c r="K134" t="s">
        <v>421</v>
      </c>
      <c r="L134" t="s">
        <v>693</v>
      </c>
      <c r="M134">
        <v>31</v>
      </c>
      <c r="N134" t="s">
        <v>34</v>
      </c>
      <c r="O134" t="s">
        <v>35</v>
      </c>
      <c r="Q134" t="s">
        <v>36</v>
      </c>
      <c r="R134">
        <v>50</v>
      </c>
      <c r="S134" t="s">
        <v>37</v>
      </c>
      <c r="T134" t="s">
        <v>88</v>
      </c>
      <c r="U134">
        <v>4</v>
      </c>
      <c r="V134" t="s">
        <v>62</v>
      </c>
      <c r="W134" t="s">
        <v>51</v>
      </c>
      <c r="X134" t="s">
        <v>41</v>
      </c>
      <c r="Y134" t="s">
        <v>42</v>
      </c>
    </row>
    <row r="135" spans="1:25">
      <c r="A135" t="s">
        <v>694</v>
      </c>
      <c r="B135" t="s">
        <v>695</v>
      </c>
      <c r="C135" t="s">
        <v>56</v>
      </c>
      <c r="D135">
        <v>1</v>
      </c>
      <c r="E135" t="s">
        <v>81</v>
      </c>
      <c r="F135" t="s">
        <v>82</v>
      </c>
      <c r="G135" t="s">
        <v>83</v>
      </c>
      <c r="H135" t="s">
        <v>437</v>
      </c>
      <c r="I135" t="s">
        <v>696</v>
      </c>
      <c r="J135">
        <v>8</v>
      </c>
      <c r="K135" t="s">
        <v>262</v>
      </c>
      <c r="L135" t="s">
        <v>697</v>
      </c>
      <c r="M135">
        <v>16</v>
      </c>
      <c r="N135" t="s">
        <v>34</v>
      </c>
      <c r="O135" t="s">
        <v>35</v>
      </c>
      <c r="Q135" t="s">
        <v>36</v>
      </c>
      <c r="R135">
        <v>20</v>
      </c>
      <c r="S135" t="s">
        <v>37</v>
      </c>
      <c r="T135" t="s">
        <v>69</v>
      </c>
      <c r="U135">
        <v>5</v>
      </c>
      <c r="V135" t="s">
        <v>39</v>
      </c>
      <c r="W135" t="s">
        <v>40</v>
      </c>
      <c r="X135" t="s">
        <v>52</v>
      </c>
      <c r="Y135" t="s">
        <v>53</v>
      </c>
    </row>
    <row r="136" spans="1:25">
      <c r="A136" t="s">
        <v>698</v>
      </c>
      <c r="B136" t="s">
        <v>699</v>
      </c>
      <c r="C136" t="s">
        <v>80</v>
      </c>
      <c r="D136">
        <v>3</v>
      </c>
      <c r="E136" t="s">
        <v>81</v>
      </c>
      <c r="F136" t="s">
        <v>82</v>
      </c>
      <c r="G136" t="s">
        <v>58</v>
      </c>
      <c r="H136" t="s">
        <v>700</v>
      </c>
      <c r="I136" t="s">
        <v>279</v>
      </c>
      <c r="J136">
        <v>8</v>
      </c>
      <c r="K136" t="s">
        <v>700</v>
      </c>
      <c r="L136" t="s">
        <v>565</v>
      </c>
      <c r="M136">
        <v>10</v>
      </c>
      <c r="N136" t="s">
        <v>34</v>
      </c>
      <c r="O136" t="s">
        <v>35</v>
      </c>
      <c r="Q136" t="s">
        <v>36</v>
      </c>
      <c r="R136">
        <v>20</v>
      </c>
      <c r="S136" t="s">
        <v>77</v>
      </c>
      <c r="T136" t="s">
        <v>96</v>
      </c>
      <c r="U136">
        <v>1</v>
      </c>
      <c r="V136" t="s">
        <v>70</v>
      </c>
      <c r="W136" t="s">
        <v>103</v>
      </c>
      <c r="X136" t="s">
        <v>109</v>
      </c>
      <c r="Y136" t="s">
        <v>71</v>
      </c>
    </row>
    <row r="137" spans="1:25">
      <c r="A137" t="s">
        <v>701</v>
      </c>
      <c r="B137" t="s">
        <v>702</v>
      </c>
      <c r="C137" t="s">
        <v>56</v>
      </c>
      <c r="D137">
        <v>46</v>
      </c>
      <c r="E137" t="s">
        <v>57</v>
      </c>
      <c r="F137" t="s">
        <v>29</v>
      </c>
      <c r="G137" t="s">
        <v>93</v>
      </c>
      <c r="H137" t="s">
        <v>287</v>
      </c>
      <c r="I137" t="s">
        <v>703</v>
      </c>
      <c r="J137">
        <v>3</v>
      </c>
      <c r="K137" t="s">
        <v>287</v>
      </c>
      <c r="L137" t="s">
        <v>704</v>
      </c>
      <c r="M137">
        <v>3</v>
      </c>
      <c r="N137" t="s">
        <v>68</v>
      </c>
      <c r="O137" t="s">
        <v>35</v>
      </c>
      <c r="Q137" t="s">
        <v>36</v>
      </c>
      <c r="R137">
        <v>15</v>
      </c>
      <c r="S137" t="s">
        <v>77</v>
      </c>
      <c r="T137" t="s">
        <v>88</v>
      </c>
      <c r="U137">
        <v>5</v>
      </c>
      <c r="V137" t="s">
        <v>39</v>
      </c>
      <c r="W137" t="s">
        <v>40</v>
      </c>
      <c r="X137" t="s">
        <v>52</v>
      </c>
      <c r="Y137" t="s">
        <v>71</v>
      </c>
    </row>
    <row r="138" spans="1:25">
      <c r="A138" t="s">
        <v>705</v>
      </c>
      <c r="B138" t="s">
        <v>706</v>
      </c>
      <c r="C138" t="s">
        <v>80</v>
      </c>
      <c r="D138">
        <v>45</v>
      </c>
      <c r="E138" t="s">
        <v>149</v>
      </c>
      <c r="F138" t="s">
        <v>29</v>
      </c>
      <c r="G138" t="s">
        <v>30</v>
      </c>
      <c r="H138" t="s">
        <v>707</v>
      </c>
      <c r="I138" t="s">
        <v>708</v>
      </c>
      <c r="J138">
        <v>6</v>
      </c>
      <c r="K138" t="s">
        <v>707</v>
      </c>
      <c r="L138" t="s">
        <v>709</v>
      </c>
      <c r="M138">
        <v>5</v>
      </c>
      <c r="N138" t="s">
        <v>68</v>
      </c>
      <c r="O138" t="s">
        <v>35</v>
      </c>
      <c r="Q138" t="s">
        <v>36</v>
      </c>
      <c r="R138">
        <v>40</v>
      </c>
      <c r="S138" t="s">
        <v>49</v>
      </c>
      <c r="T138" t="s">
        <v>88</v>
      </c>
      <c r="U138">
        <v>3</v>
      </c>
      <c r="V138" t="s">
        <v>39</v>
      </c>
      <c r="W138" t="s">
        <v>40</v>
      </c>
      <c r="X138" t="s">
        <v>109</v>
      </c>
      <c r="Y138" t="s">
        <v>71</v>
      </c>
    </row>
    <row r="139" spans="1:25">
      <c r="A139" t="s">
        <v>710</v>
      </c>
      <c r="B139" t="s">
        <v>711</v>
      </c>
      <c r="C139" t="s">
        <v>56</v>
      </c>
      <c r="D139">
        <v>30</v>
      </c>
      <c r="E139" t="s">
        <v>149</v>
      </c>
      <c r="F139" t="s">
        <v>29</v>
      </c>
      <c r="G139" t="s">
        <v>83</v>
      </c>
      <c r="H139" t="s">
        <v>712</v>
      </c>
      <c r="I139" t="s">
        <v>288</v>
      </c>
      <c r="J139">
        <v>6</v>
      </c>
      <c r="K139" t="s">
        <v>712</v>
      </c>
      <c r="L139" t="s">
        <v>713</v>
      </c>
      <c r="M139">
        <v>14</v>
      </c>
      <c r="N139" t="s">
        <v>34</v>
      </c>
      <c r="O139" t="s">
        <v>35</v>
      </c>
      <c r="Q139" t="s">
        <v>36</v>
      </c>
      <c r="R139">
        <v>40</v>
      </c>
      <c r="S139" t="s">
        <v>49</v>
      </c>
      <c r="T139" t="s">
        <v>164</v>
      </c>
      <c r="U139">
        <v>5</v>
      </c>
      <c r="V139" t="s">
        <v>89</v>
      </c>
      <c r="W139" t="s">
        <v>103</v>
      </c>
      <c r="X139" t="s">
        <v>109</v>
      </c>
      <c r="Y139" t="s">
        <v>71</v>
      </c>
    </row>
    <row r="140" spans="1:25">
      <c r="A140" t="s">
        <v>714</v>
      </c>
      <c r="B140" t="s">
        <v>715</v>
      </c>
      <c r="C140" t="s">
        <v>80</v>
      </c>
      <c r="D140">
        <v>62</v>
      </c>
      <c r="E140" t="s">
        <v>173</v>
      </c>
      <c r="F140" t="s">
        <v>29</v>
      </c>
      <c r="G140" t="s">
        <v>168</v>
      </c>
      <c r="H140" t="s">
        <v>572</v>
      </c>
      <c r="I140" t="s">
        <v>283</v>
      </c>
      <c r="J140">
        <v>4</v>
      </c>
      <c r="K140" t="s">
        <v>572</v>
      </c>
      <c r="L140" t="s">
        <v>716</v>
      </c>
      <c r="M140">
        <v>4</v>
      </c>
      <c r="N140" t="s">
        <v>68</v>
      </c>
      <c r="O140" t="s">
        <v>35</v>
      </c>
      <c r="Q140" t="s">
        <v>36</v>
      </c>
      <c r="R140">
        <v>25</v>
      </c>
      <c r="S140" t="s">
        <v>49</v>
      </c>
      <c r="T140" t="s">
        <v>69</v>
      </c>
      <c r="U140">
        <v>3</v>
      </c>
      <c r="V140" t="s">
        <v>62</v>
      </c>
      <c r="W140" t="s">
        <v>51</v>
      </c>
      <c r="X140" t="s">
        <v>109</v>
      </c>
      <c r="Y140" t="s">
        <v>42</v>
      </c>
    </row>
    <row r="141" spans="1:25">
      <c r="A141" t="s">
        <v>717</v>
      </c>
      <c r="B141" t="s">
        <v>718</v>
      </c>
      <c r="C141" t="s">
        <v>27</v>
      </c>
      <c r="D141">
        <v>12</v>
      </c>
      <c r="E141" t="s">
        <v>28</v>
      </c>
      <c r="F141" t="s">
        <v>29</v>
      </c>
      <c r="G141" t="s">
        <v>30</v>
      </c>
      <c r="H141" t="s">
        <v>253</v>
      </c>
      <c r="I141" t="s">
        <v>719</v>
      </c>
      <c r="J141">
        <v>5</v>
      </c>
      <c r="K141" t="s">
        <v>253</v>
      </c>
      <c r="L141" t="s">
        <v>720</v>
      </c>
      <c r="M141">
        <v>7</v>
      </c>
      <c r="N141" t="s">
        <v>34</v>
      </c>
      <c r="O141" t="s">
        <v>35</v>
      </c>
      <c r="Q141" t="s">
        <v>36</v>
      </c>
      <c r="R141">
        <v>35</v>
      </c>
      <c r="S141" t="s">
        <v>77</v>
      </c>
      <c r="T141" t="s">
        <v>88</v>
      </c>
      <c r="U141">
        <v>4</v>
      </c>
      <c r="V141" t="s">
        <v>89</v>
      </c>
      <c r="W141" t="s">
        <v>103</v>
      </c>
      <c r="X141" t="s">
        <v>52</v>
      </c>
      <c r="Y141" t="s">
        <v>42</v>
      </c>
    </row>
    <row r="142" spans="1:25">
      <c r="A142" t="s">
        <v>721</v>
      </c>
      <c r="B142" t="s">
        <v>722</v>
      </c>
      <c r="C142" t="s">
        <v>204</v>
      </c>
      <c r="D142">
        <v>45</v>
      </c>
      <c r="E142" t="s">
        <v>57</v>
      </c>
      <c r="F142" t="s">
        <v>29</v>
      </c>
      <c r="G142" t="s">
        <v>45</v>
      </c>
      <c r="H142" t="s">
        <v>723</v>
      </c>
      <c r="I142" t="s">
        <v>724</v>
      </c>
      <c r="J142">
        <v>3</v>
      </c>
      <c r="K142" t="s">
        <v>723</v>
      </c>
      <c r="L142" t="s">
        <v>725</v>
      </c>
      <c r="M142">
        <v>8</v>
      </c>
      <c r="N142" t="s">
        <v>34</v>
      </c>
      <c r="O142" t="s">
        <v>270</v>
      </c>
      <c r="P142" t="s">
        <v>620</v>
      </c>
      <c r="Q142" t="s">
        <v>36</v>
      </c>
      <c r="R142">
        <v>15</v>
      </c>
      <c r="S142" t="s">
        <v>77</v>
      </c>
      <c r="T142" t="s">
        <v>88</v>
      </c>
      <c r="U142">
        <v>2</v>
      </c>
      <c r="V142" t="s">
        <v>62</v>
      </c>
      <c r="W142" t="s">
        <v>165</v>
      </c>
      <c r="X142" t="s">
        <v>41</v>
      </c>
      <c r="Y142" t="s">
        <v>53</v>
      </c>
    </row>
    <row r="143" spans="1:25">
      <c r="A143" t="s">
        <v>726</v>
      </c>
      <c r="B143" t="s">
        <v>727</v>
      </c>
      <c r="C143" t="s">
        <v>80</v>
      </c>
      <c r="D143">
        <v>56</v>
      </c>
      <c r="E143" t="s">
        <v>81</v>
      </c>
      <c r="F143" t="s">
        <v>82</v>
      </c>
      <c r="G143" t="s">
        <v>83</v>
      </c>
      <c r="H143" t="s">
        <v>728</v>
      </c>
      <c r="I143" t="s">
        <v>729</v>
      </c>
      <c r="J143">
        <v>8</v>
      </c>
      <c r="K143" t="s">
        <v>730</v>
      </c>
      <c r="L143" t="s">
        <v>731</v>
      </c>
      <c r="M143">
        <v>16</v>
      </c>
      <c r="N143" t="s">
        <v>34</v>
      </c>
      <c r="O143" t="s">
        <v>35</v>
      </c>
      <c r="Q143" t="s">
        <v>36</v>
      </c>
      <c r="R143">
        <v>20</v>
      </c>
      <c r="S143" t="s">
        <v>77</v>
      </c>
      <c r="T143" t="s">
        <v>88</v>
      </c>
      <c r="U143">
        <v>4</v>
      </c>
      <c r="V143" t="s">
        <v>70</v>
      </c>
      <c r="W143" t="s">
        <v>103</v>
      </c>
      <c r="X143" t="s">
        <v>52</v>
      </c>
      <c r="Y143" t="s">
        <v>71</v>
      </c>
    </row>
    <row r="144" spans="1:25">
      <c r="A144" t="s">
        <v>732</v>
      </c>
      <c r="B144" t="s">
        <v>733</v>
      </c>
      <c r="C144" t="s">
        <v>56</v>
      </c>
      <c r="D144">
        <v>33</v>
      </c>
      <c r="E144" t="s">
        <v>92</v>
      </c>
      <c r="F144" t="s">
        <v>29</v>
      </c>
      <c r="G144" t="s">
        <v>150</v>
      </c>
      <c r="H144" t="s">
        <v>262</v>
      </c>
      <c r="I144" t="s">
        <v>469</v>
      </c>
      <c r="J144">
        <v>24</v>
      </c>
      <c r="K144" t="s">
        <v>333</v>
      </c>
      <c r="L144" t="s">
        <v>734</v>
      </c>
      <c r="M144">
        <v>25</v>
      </c>
      <c r="N144" t="s">
        <v>34</v>
      </c>
      <c r="O144" t="s">
        <v>35</v>
      </c>
      <c r="Q144" t="s">
        <v>36</v>
      </c>
      <c r="R144">
        <v>50</v>
      </c>
      <c r="S144" t="s">
        <v>37</v>
      </c>
      <c r="T144" t="s">
        <v>38</v>
      </c>
      <c r="U144">
        <v>1</v>
      </c>
      <c r="V144" t="s">
        <v>89</v>
      </c>
      <c r="W144" t="s">
        <v>165</v>
      </c>
      <c r="X144" t="s">
        <v>41</v>
      </c>
      <c r="Y144" t="s">
        <v>71</v>
      </c>
    </row>
    <row r="145" spans="1:25">
      <c r="A145" t="s">
        <v>735</v>
      </c>
      <c r="B145" t="s">
        <v>736</v>
      </c>
      <c r="C145" t="s">
        <v>80</v>
      </c>
      <c r="D145">
        <v>17</v>
      </c>
      <c r="E145" t="s">
        <v>28</v>
      </c>
      <c r="F145" t="s">
        <v>29</v>
      </c>
      <c r="G145" t="s">
        <v>58</v>
      </c>
      <c r="H145" t="s">
        <v>394</v>
      </c>
      <c r="I145" t="s">
        <v>568</v>
      </c>
      <c r="J145">
        <v>5</v>
      </c>
      <c r="K145" t="s">
        <v>394</v>
      </c>
      <c r="L145" t="s">
        <v>737</v>
      </c>
      <c r="M145">
        <v>8</v>
      </c>
      <c r="N145" t="s">
        <v>34</v>
      </c>
      <c r="O145" t="s">
        <v>35</v>
      </c>
      <c r="Q145" t="s">
        <v>36</v>
      </c>
      <c r="R145">
        <v>35</v>
      </c>
      <c r="S145" t="s">
        <v>49</v>
      </c>
      <c r="T145" t="s">
        <v>69</v>
      </c>
      <c r="U145">
        <v>4</v>
      </c>
      <c r="V145" t="s">
        <v>89</v>
      </c>
      <c r="W145" t="s">
        <v>51</v>
      </c>
      <c r="X145" t="s">
        <v>109</v>
      </c>
      <c r="Y145" t="s">
        <v>53</v>
      </c>
    </row>
    <row r="146" spans="1:25">
      <c r="A146" t="s">
        <v>738</v>
      </c>
      <c r="B146" t="s">
        <v>739</v>
      </c>
      <c r="C146" t="s">
        <v>27</v>
      </c>
      <c r="D146">
        <v>2</v>
      </c>
      <c r="E146" t="s">
        <v>173</v>
      </c>
      <c r="F146" t="s">
        <v>29</v>
      </c>
      <c r="G146" t="s">
        <v>150</v>
      </c>
      <c r="H146" t="s">
        <v>365</v>
      </c>
      <c r="I146" t="s">
        <v>237</v>
      </c>
      <c r="J146">
        <v>4</v>
      </c>
      <c r="K146" t="s">
        <v>365</v>
      </c>
      <c r="L146" t="s">
        <v>740</v>
      </c>
      <c r="M146">
        <v>7</v>
      </c>
      <c r="N146" t="s">
        <v>34</v>
      </c>
      <c r="O146" t="s">
        <v>35</v>
      </c>
      <c r="Q146" t="s">
        <v>36</v>
      </c>
      <c r="R146">
        <v>25</v>
      </c>
      <c r="S146" t="s">
        <v>77</v>
      </c>
      <c r="T146" t="s">
        <v>38</v>
      </c>
      <c r="U146">
        <v>2</v>
      </c>
      <c r="V146" t="s">
        <v>62</v>
      </c>
      <c r="W146" t="s">
        <v>40</v>
      </c>
      <c r="X146" t="s">
        <v>109</v>
      </c>
      <c r="Y146" t="s">
        <v>71</v>
      </c>
    </row>
    <row r="147" spans="1:25">
      <c r="A147" t="s">
        <v>741</v>
      </c>
      <c r="B147" t="s">
        <v>742</v>
      </c>
      <c r="C147" t="s">
        <v>80</v>
      </c>
      <c r="D147">
        <v>21</v>
      </c>
      <c r="E147" t="s">
        <v>81</v>
      </c>
      <c r="F147" t="s">
        <v>82</v>
      </c>
      <c r="G147" t="s">
        <v>83</v>
      </c>
      <c r="H147" t="s">
        <v>407</v>
      </c>
      <c r="I147" t="s">
        <v>743</v>
      </c>
      <c r="J147">
        <v>8</v>
      </c>
      <c r="K147" t="s">
        <v>31</v>
      </c>
      <c r="L147" t="s">
        <v>744</v>
      </c>
      <c r="M147">
        <v>15</v>
      </c>
      <c r="N147" t="s">
        <v>34</v>
      </c>
      <c r="O147" t="s">
        <v>35</v>
      </c>
      <c r="Q147" t="s">
        <v>132</v>
      </c>
      <c r="R147">
        <v>20</v>
      </c>
      <c r="S147" t="s">
        <v>37</v>
      </c>
      <c r="T147" t="s">
        <v>69</v>
      </c>
      <c r="U147">
        <v>2</v>
      </c>
      <c r="V147" t="s">
        <v>70</v>
      </c>
      <c r="W147" t="s">
        <v>165</v>
      </c>
      <c r="X147" t="s">
        <v>109</v>
      </c>
      <c r="Y147" t="s">
        <v>42</v>
      </c>
    </row>
    <row r="148" spans="1:25">
      <c r="A148" t="s">
        <v>745</v>
      </c>
      <c r="B148" t="s">
        <v>746</v>
      </c>
      <c r="C148" t="s">
        <v>80</v>
      </c>
      <c r="D148">
        <v>73</v>
      </c>
      <c r="E148" t="s">
        <v>81</v>
      </c>
      <c r="F148" t="s">
        <v>82</v>
      </c>
      <c r="G148" t="s">
        <v>58</v>
      </c>
      <c r="H148" t="s">
        <v>437</v>
      </c>
      <c r="I148" t="s">
        <v>395</v>
      </c>
      <c r="J148">
        <v>8</v>
      </c>
      <c r="K148" t="s">
        <v>262</v>
      </c>
      <c r="L148" t="s">
        <v>747</v>
      </c>
      <c r="M148">
        <v>16</v>
      </c>
      <c r="N148" t="s">
        <v>34</v>
      </c>
      <c r="O148" t="s">
        <v>35</v>
      </c>
      <c r="Q148" t="s">
        <v>36</v>
      </c>
      <c r="R148">
        <v>20</v>
      </c>
      <c r="S148" t="s">
        <v>77</v>
      </c>
      <c r="T148" t="s">
        <v>50</v>
      </c>
      <c r="U148">
        <v>5</v>
      </c>
      <c r="V148" t="s">
        <v>89</v>
      </c>
      <c r="W148" t="s">
        <v>51</v>
      </c>
      <c r="X148" t="s">
        <v>52</v>
      </c>
      <c r="Y148" t="s">
        <v>71</v>
      </c>
    </row>
    <row r="149" spans="1:25">
      <c r="A149" t="s">
        <v>748</v>
      </c>
      <c r="B149" t="s">
        <v>749</v>
      </c>
      <c r="C149" t="s">
        <v>204</v>
      </c>
      <c r="D149">
        <v>65</v>
      </c>
      <c r="E149" t="s">
        <v>92</v>
      </c>
      <c r="F149" t="s">
        <v>29</v>
      </c>
      <c r="G149" t="s">
        <v>93</v>
      </c>
      <c r="H149" t="s">
        <v>680</v>
      </c>
      <c r="I149" t="s">
        <v>596</v>
      </c>
      <c r="J149">
        <v>24</v>
      </c>
      <c r="K149" t="s">
        <v>513</v>
      </c>
      <c r="L149" t="s">
        <v>750</v>
      </c>
      <c r="M149">
        <v>28</v>
      </c>
      <c r="N149" t="s">
        <v>34</v>
      </c>
      <c r="O149" t="s">
        <v>35</v>
      </c>
      <c r="Q149" t="s">
        <v>36</v>
      </c>
      <c r="R149">
        <v>50</v>
      </c>
      <c r="S149" t="s">
        <v>49</v>
      </c>
      <c r="T149" t="s">
        <v>50</v>
      </c>
      <c r="U149">
        <v>2</v>
      </c>
      <c r="V149" t="s">
        <v>62</v>
      </c>
      <c r="W149" t="s">
        <v>40</v>
      </c>
      <c r="X149" t="s">
        <v>109</v>
      </c>
      <c r="Y149" t="s">
        <v>42</v>
      </c>
    </row>
    <row r="150" spans="1:25">
      <c r="A150" t="s">
        <v>751</v>
      </c>
      <c r="B150" t="s">
        <v>752</v>
      </c>
      <c r="C150" t="s">
        <v>204</v>
      </c>
      <c r="D150">
        <v>150</v>
      </c>
      <c r="E150" t="s">
        <v>81</v>
      </c>
      <c r="F150" t="s">
        <v>82</v>
      </c>
      <c r="G150" t="s">
        <v>168</v>
      </c>
      <c r="H150" t="s">
        <v>407</v>
      </c>
      <c r="I150" t="s">
        <v>753</v>
      </c>
      <c r="J150">
        <v>8</v>
      </c>
      <c r="K150" t="s">
        <v>31</v>
      </c>
      <c r="L150" t="s">
        <v>754</v>
      </c>
      <c r="M150">
        <v>8</v>
      </c>
      <c r="N150" t="s">
        <v>68</v>
      </c>
      <c r="O150" t="s">
        <v>35</v>
      </c>
      <c r="Q150" t="s">
        <v>36</v>
      </c>
      <c r="R150">
        <v>20</v>
      </c>
      <c r="S150" t="s">
        <v>37</v>
      </c>
      <c r="T150" t="s">
        <v>164</v>
      </c>
      <c r="U150">
        <v>4</v>
      </c>
      <c r="V150" t="s">
        <v>39</v>
      </c>
      <c r="W150" t="s">
        <v>103</v>
      </c>
      <c r="X150" t="s">
        <v>52</v>
      </c>
      <c r="Y150" t="s">
        <v>53</v>
      </c>
    </row>
    <row r="151" spans="1:25">
      <c r="A151" t="s">
        <v>755</v>
      </c>
      <c r="B151" t="s">
        <v>756</v>
      </c>
      <c r="C151" t="s">
        <v>27</v>
      </c>
      <c r="D151">
        <v>41</v>
      </c>
      <c r="E151" t="s">
        <v>92</v>
      </c>
      <c r="F151" t="s">
        <v>29</v>
      </c>
      <c r="G151" t="s">
        <v>45</v>
      </c>
      <c r="H151" t="s">
        <v>251</v>
      </c>
      <c r="I151" t="s">
        <v>483</v>
      </c>
      <c r="J151">
        <v>24</v>
      </c>
      <c r="K151" t="s">
        <v>253</v>
      </c>
      <c r="L151" t="s">
        <v>359</v>
      </c>
      <c r="M151">
        <v>28</v>
      </c>
      <c r="N151" t="s">
        <v>34</v>
      </c>
      <c r="O151" t="s">
        <v>35</v>
      </c>
      <c r="Q151" t="s">
        <v>36</v>
      </c>
      <c r="R151">
        <v>50</v>
      </c>
      <c r="S151" t="s">
        <v>77</v>
      </c>
      <c r="T151" t="s">
        <v>38</v>
      </c>
      <c r="U151">
        <v>1</v>
      </c>
      <c r="V151" t="s">
        <v>62</v>
      </c>
      <c r="W151" t="s">
        <v>40</v>
      </c>
      <c r="X151" t="s">
        <v>109</v>
      </c>
      <c r="Y151" t="s">
        <v>71</v>
      </c>
    </row>
    <row r="152" spans="1:25">
      <c r="A152" t="s">
        <v>757</v>
      </c>
      <c r="B152" t="s">
        <v>758</v>
      </c>
      <c r="C152" t="s">
        <v>56</v>
      </c>
      <c r="D152">
        <v>3</v>
      </c>
      <c r="E152" t="s">
        <v>149</v>
      </c>
      <c r="F152" t="s">
        <v>29</v>
      </c>
      <c r="G152" t="s">
        <v>168</v>
      </c>
      <c r="H152" t="s">
        <v>556</v>
      </c>
      <c r="I152" t="s">
        <v>493</v>
      </c>
      <c r="J152">
        <v>6</v>
      </c>
      <c r="K152" t="s">
        <v>556</v>
      </c>
      <c r="L152" t="s">
        <v>759</v>
      </c>
      <c r="M152">
        <v>14</v>
      </c>
      <c r="N152" t="s">
        <v>34</v>
      </c>
      <c r="O152" t="s">
        <v>35</v>
      </c>
      <c r="Q152" t="s">
        <v>36</v>
      </c>
      <c r="R152">
        <v>40</v>
      </c>
      <c r="S152" t="s">
        <v>77</v>
      </c>
      <c r="T152" t="s">
        <v>69</v>
      </c>
      <c r="U152">
        <v>5</v>
      </c>
      <c r="V152" t="s">
        <v>89</v>
      </c>
      <c r="W152" t="s">
        <v>40</v>
      </c>
      <c r="X152" t="s">
        <v>109</v>
      </c>
      <c r="Y152" t="s">
        <v>53</v>
      </c>
    </row>
    <row r="153" spans="1:25">
      <c r="A153" t="s">
        <v>760</v>
      </c>
      <c r="B153" t="s">
        <v>761</v>
      </c>
      <c r="C153" t="s">
        <v>204</v>
      </c>
      <c r="D153">
        <v>75</v>
      </c>
      <c r="E153" t="s">
        <v>57</v>
      </c>
      <c r="F153" t="s">
        <v>29</v>
      </c>
      <c r="G153" t="s">
        <v>58</v>
      </c>
      <c r="H153" t="s">
        <v>762</v>
      </c>
      <c r="I153" t="s">
        <v>763</v>
      </c>
      <c r="J153">
        <v>3</v>
      </c>
      <c r="K153" t="s">
        <v>762</v>
      </c>
      <c r="L153" t="s">
        <v>764</v>
      </c>
      <c r="M153">
        <v>5</v>
      </c>
      <c r="N153" t="s">
        <v>34</v>
      </c>
      <c r="O153" t="s">
        <v>35</v>
      </c>
      <c r="Q153" t="s">
        <v>36</v>
      </c>
      <c r="R153">
        <v>15</v>
      </c>
      <c r="S153" t="s">
        <v>77</v>
      </c>
      <c r="T153" t="s">
        <v>164</v>
      </c>
      <c r="U153">
        <v>1</v>
      </c>
      <c r="V153" t="s">
        <v>62</v>
      </c>
      <c r="W153" t="s">
        <v>165</v>
      </c>
      <c r="X153" t="s">
        <v>109</v>
      </c>
      <c r="Y153" t="s">
        <v>71</v>
      </c>
    </row>
    <row r="154" spans="1:25">
      <c r="A154" t="s">
        <v>765</v>
      </c>
      <c r="B154" t="s">
        <v>766</v>
      </c>
      <c r="C154" t="s">
        <v>27</v>
      </c>
      <c r="D154">
        <v>66</v>
      </c>
      <c r="E154" t="s">
        <v>57</v>
      </c>
      <c r="F154" t="s">
        <v>29</v>
      </c>
      <c r="G154" t="s">
        <v>150</v>
      </c>
      <c r="H154" t="s">
        <v>184</v>
      </c>
      <c r="I154" t="s">
        <v>767</v>
      </c>
      <c r="J154">
        <v>3</v>
      </c>
      <c r="K154" t="s">
        <v>184</v>
      </c>
      <c r="L154" t="s">
        <v>768</v>
      </c>
      <c r="M154">
        <v>3</v>
      </c>
      <c r="N154" t="s">
        <v>68</v>
      </c>
      <c r="O154" t="s">
        <v>35</v>
      </c>
      <c r="Q154" t="s">
        <v>36</v>
      </c>
      <c r="R154">
        <v>15</v>
      </c>
      <c r="S154" t="s">
        <v>37</v>
      </c>
      <c r="T154" t="s">
        <v>69</v>
      </c>
      <c r="U154">
        <v>2</v>
      </c>
      <c r="V154" t="s">
        <v>70</v>
      </c>
      <c r="W154" t="s">
        <v>40</v>
      </c>
      <c r="X154" t="s">
        <v>41</v>
      </c>
      <c r="Y154" t="s">
        <v>71</v>
      </c>
    </row>
    <row r="155" spans="1:25">
      <c r="A155" t="s">
        <v>769</v>
      </c>
      <c r="B155" t="s">
        <v>770</v>
      </c>
      <c r="C155" t="s">
        <v>56</v>
      </c>
      <c r="D155">
        <v>81</v>
      </c>
      <c r="E155" t="s">
        <v>92</v>
      </c>
      <c r="F155" t="s">
        <v>29</v>
      </c>
      <c r="G155" t="s">
        <v>93</v>
      </c>
      <c r="H155" t="s">
        <v>365</v>
      </c>
      <c r="I155" t="s">
        <v>771</v>
      </c>
      <c r="J155">
        <v>24</v>
      </c>
      <c r="K155" t="s">
        <v>537</v>
      </c>
      <c r="L155" t="s">
        <v>772</v>
      </c>
      <c r="M155">
        <v>31</v>
      </c>
      <c r="N155" t="s">
        <v>34</v>
      </c>
      <c r="O155" t="s">
        <v>35</v>
      </c>
      <c r="Q155" t="s">
        <v>36</v>
      </c>
      <c r="R155">
        <v>50</v>
      </c>
      <c r="S155" t="s">
        <v>49</v>
      </c>
      <c r="T155" t="s">
        <v>96</v>
      </c>
      <c r="U155">
        <v>4</v>
      </c>
      <c r="V155" t="s">
        <v>70</v>
      </c>
      <c r="W155" t="s">
        <v>40</v>
      </c>
      <c r="X155" t="s">
        <v>41</v>
      </c>
      <c r="Y155" t="s">
        <v>42</v>
      </c>
    </row>
    <row r="156" spans="1:25">
      <c r="A156" t="s">
        <v>773</v>
      </c>
      <c r="B156" t="s">
        <v>774</v>
      </c>
      <c r="C156" t="s">
        <v>204</v>
      </c>
      <c r="D156">
        <v>41</v>
      </c>
      <c r="E156" t="s">
        <v>149</v>
      </c>
      <c r="F156" t="s">
        <v>29</v>
      </c>
      <c r="G156" t="s">
        <v>168</v>
      </c>
      <c r="H156" t="s">
        <v>65</v>
      </c>
      <c r="I156" t="s">
        <v>763</v>
      </c>
      <c r="J156">
        <v>6</v>
      </c>
      <c r="K156" t="s">
        <v>680</v>
      </c>
      <c r="L156" t="s">
        <v>775</v>
      </c>
      <c r="M156">
        <v>14</v>
      </c>
      <c r="N156" t="s">
        <v>34</v>
      </c>
      <c r="O156" t="s">
        <v>35</v>
      </c>
      <c r="Q156" t="s">
        <v>36</v>
      </c>
      <c r="R156">
        <v>40</v>
      </c>
      <c r="S156" t="s">
        <v>49</v>
      </c>
      <c r="T156" t="s">
        <v>88</v>
      </c>
      <c r="U156">
        <v>3</v>
      </c>
      <c r="V156" t="s">
        <v>39</v>
      </c>
      <c r="W156" t="s">
        <v>103</v>
      </c>
      <c r="X156" t="s">
        <v>52</v>
      </c>
      <c r="Y156" t="s">
        <v>53</v>
      </c>
    </row>
    <row r="157" spans="1:25">
      <c r="A157" t="s">
        <v>776</v>
      </c>
      <c r="B157" t="s">
        <v>777</v>
      </c>
      <c r="C157" t="s">
        <v>56</v>
      </c>
      <c r="D157">
        <v>51</v>
      </c>
      <c r="E157" t="s">
        <v>28</v>
      </c>
      <c r="F157" t="s">
        <v>29</v>
      </c>
      <c r="G157" t="s">
        <v>168</v>
      </c>
      <c r="H157" t="s">
        <v>778</v>
      </c>
      <c r="I157" t="s">
        <v>779</v>
      </c>
      <c r="J157">
        <v>5</v>
      </c>
      <c r="K157" t="s">
        <v>780</v>
      </c>
      <c r="L157" t="s">
        <v>781</v>
      </c>
      <c r="M157">
        <v>11</v>
      </c>
      <c r="N157" t="s">
        <v>34</v>
      </c>
      <c r="O157" t="s">
        <v>35</v>
      </c>
      <c r="Q157" t="s">
        <v>36</v>
      </c>
      <c r="R157">
        <v>35</v>
      </c>
      <c r="S157" t="s">
        <v>77</v>
      </c>
      <c r="T157" t="s">
        <v>88</v>
      </c>
      <c r="U157">
        <v>5</v>
      </c>
      <c r="V157" t="s">
        <v>70</v>
      </c>
      <c r="W157" t="s">
        <v>40</v>
      </c>
      <c r="X157" t="s">
        <v>52</v>
      </c>
      <c r="Y157" t="s">
        <v>42</v>
      </c>
    </row>
    <row r="158" spans="1:25">
      <c r="A158" t="s">
        <v>782</v>
      </c>
      <c r="B158" t="s">
        <v>783</v>
      </c>
      <c r="C158" t="s">
        <v>204</v>
      </c>
      <c r="D158">
        <v>9</v>
      </c>
      <c r="E158" t="s">
        <v>92</v>
      </c>
      <c r="F158" t="s">
        <v>29</v>
      </c>
      <c r="G158" t="s">
        <v>168</v>
      </c>
      <c r="H158" t="s">
        <v>784</v>
      </c>
      <c r="I158" t="s">
        <v>785</v>
      </c>
      <c r="J158">
        <v>24</v>
      </c>
      <c r="K158" t="s">
        <v>329</v>
      </c>
      <c r="L158" t="s">
        <v>786</v>
      </c>
      <c r="M158">
        <v>28</v>
      </c>
      <c r="N158" t="s">
        <v>34</v>
      </c>
      <c r="O158" t="s">
        <v>35</v>
      </c>
      <c r="Q158" t="s">
        <v>36</v>
      </c>
      <c r="R158">
        <v>50</v>
      </c>
      <c r="S158" t="s">
        <v>37</v>
      </c>
      <c r="T158" t="s">
        <v>69</v>
      </c>
      <c r="U158">
        <v>3</v>
      </c>
      <c r="V158" t="s">
        <v>62</v>
      </c>
      <c r="W158" t="s">
        <v>51</v>
      </c>
      <c r="X158" t="s">
        <v>41</v>
      </c>
      <c r="Y158" t="s">
        <v>71</v>
      </c>
    </row>
    <row r="159" spans="1:25">
      <c r="A159" t="s">
        <v>787</v>
      </c>
      <c r="B159" t="s">
        <v>788</v>
      </c>
      <c r="C159" t="s">
        <v>27</v>
      </c>
      <c r="D159">
        <v>74</v>
      </c>
      <c r="E159" t="s">
        <v>92</v>
      </c>
      <c r="F159" t="s">
        <v>29</v>
      </c>
      <c r="G159" t="s">
        <v>93</v>
      </c>
      <c r="H159" t="s">
        <v>431</v>
      </c>
      <c r="I159" t="s">
        <v>789</v>
      </c>
      <c r="J159">
        <v>24</v>
      </c>
      <c r="K159" t="s">
        <v>433</v>
      </c>
      <c r="L159" t="s">
        <v>648</v>
      </c>
      <c r="M159">
        <v>30</v>
      </c>
      <c r="N159" t="s">
        <v>34</v>
      </c>
      <c r="O159" t="s">
        <v>35</v>
      </c>
      <c r="Q159" t="s">
        <v>36</v>
      </c>
      <c r="R159">
        <v>50</v>
      </c>
      <c r="S159" t="s">
        <v>77</v>
      </c>
      <c r="T159" t="s">
        <v>96</v>
      </c>
      <c r="U159">
        <v>1</v>
      </c>
      <c r="V159" t="s">
        <v>70</v>
      </c>
      <c r="W159" t="s">
        <v>165</v>
      </c>
      <c r="X159" t="s">
        <v>41</v>
      </c>
      <c r="Y159" t="s">
        <v>42</v>
      </c>
    </row>
    <row r="160" spans="1:25">
      <c r="A160" t="s">
        <v>790</v>
      </c>
      <c r="B160" t="s">
        <v>791</v>
      </c>
      <c r="C160" t="s">
        <v>27</v>
      </c>
      <c r="D160">
        <v>59</v>
      </c>
      <c r="E160" t="s">
        <v>92</v>
      </c>
      <c r="F160" t="s">
        <v>29</v>
      </c>
      <c r="G160" t="s">
        <v>58</v>
      </c>
      <c r="H160" t="s">
        <v>437</v>
      </c>
      <c r="I160" t="s">
        <v>792</v>
      </c>
      <c r="J160">
        <v>24</v>
      </c>
      <c r="K160" t="s">
        <v>262</v>
      </c>
      <c r="L160" t="s">
        <v>793</v>
      </c>
      <c r="M160">
        <v>32</v>
      </c>
      <c r="N160" t="s">
        <v>34</v>
      </c>
      <c r="O160" t="s">
        <v>35</v>
      </c>
      <c r="Q160" t="s">
        <v>36</v>
      </c>
      <c r="R160">
        <v>50</v>
      </c>
      <c r="S160" t="s">
        <v>37</v>
      </c>
      <c r="T160" t="s">
        <v>50</v>
      </c>
      <c r="U160">
        <v>3</v>
      </c>
      <c r="V160" t="s">
        <v>70</v>
      </c>
      <c r="W160" t="s">
        <v>40</v>
      </c>
      <c r="X160" t="s">
        <v>109</v>
      </c>
      <c r="Y160" t="s">
        <v>42</v>
      </c>
    </row>
    <row r="161" spans="1:25">
      <c r="A161" t="s">
        <v>794</v>
      </c>
      <c r="B161" t="s">
        <v>795</v>
      </c>
      <c r="C161" t="s">
        <v>27</v>
      </c>
      <c r="D161">
        <v>38</v>
      </c>
      <c r="E161" t="s">
        <v>92</v>
      </c>
      <c r="F161" t="s">
        <v>29</v>
      </c>
      <c r="G161" t="s">
        <v>93</v>
      </c>
      <c r="H161" t="s">
        <v>451</v>
      </c>
      <c r="I161" t="s">
        <v>796</v>
      </c>
      <c r="J161">
        <v>24</v>
      </c>
      <c r="K161" t="s">
        <v>348</v>
      </c>
      <c r="L161" t="s">
        <v>796</v>
      </c>
      <c r="M161">
        <v>24</v>
      </c>
      <c r="N161" t="s">
        <v>68</v>
      </c>
      <c r="O161" t="s">
        <v>35</v>
      </c>
      <c r="Q161" t="s">
        <v>36</v>
      </c>
      <c r="R161">
        <v>50</v>
      </c>
      <c r="S161" t="s">
        <v>37</v>
      </c>
      <c r="T161" t="s">
        <v>69</v>
      </c>
      <c r="U161">
        <v>5</v>
      </c>
      <c r="V161" t="s">
        <v>39</v>
      </c>
      <c r="W161" t="s">
        <v>40</v>
      </c>
      <c r="X161" t="s">
        <v>41</v>
      </c>
      <c r="Y161" t="s">
        <v>71</v>
      </c>
    </row>
    <row r="162" spans="1:25">
      <c r="A162" t="s">
        <v>797</v>
      </c>
      <c r="B162" t="s">
        <v>798</v>
      </c>
      <c r="C162" t="s">
        <v>80</v>
      </c>
      <c r="D162">
        <v>21</v>
      </c>
      <c r="E162" t="s">
        <v>149</v>
      </c>
      <c r="F162" t="s">
        <v>29</v>
      </c>
      <c r="G162" t="s">
        <v>93</v>
      </c>
      <c r="H162" t="s">
        <v>99</v>
      </c>
      <c r="I162" t="s">
        <v>799</v>
      </c>
      <c r="J162">
        <v>6</v>
      </c>
      <c r="K162" t="s">
        <v>99</v>
      </c>
      <c r="L162" t="s">
        <v>800</v>
      </c>
      <c r="M162">
        <v>8</v>
      </c>
      <c r="N162" t="s">
        <v>34</v>
      </c>
      <c r="O162" t="s">
        <v>35</v>
      </c>
      <c r="Q162" t="s">
        <v>36</v>
      </c>
      <c r="R162">
        <v>40</v>
      </c>
      <c r="S162" t="s">
        <v>37</v>
      </c>
      <c r="T162" t="s">
        <v>50</v>
      </c>
      <c r="U162">
        <v>1</v>
      </c>
      <c r="V162" t="s">
        <v>89</v>
      </c>
      <c r="W162" t="s">
        <v>103</v>
      </c>
      <c r="X162" t="s">
        <v>52</v>
      </c>
      <c r="Y162" t="s">
        <v>71</v>
      </c>
    </row>
    <row r="163" spans="1:25">
      <c r="A163" t="s">
        <v>801</v>
      </c>
      <c r="B163" t="s">
        <v>802</v>
      </c>
      <c r="C163" t="s">
        <v>27</v>
      </c>
      <c r="D163">
        <v>53</v>
      </c>
      <c r="E163" t="s">
        <v>173</v>
      </c>
      <c r="F163" t="s">
        <v>29</v>
      </c>
      <c r="G163" t="s">
        <v>168</v>
      </c>
      <c r="H163" t="s">
        <v>803</v>
      </c>
      <c r="I163" t="s">
        <v>502</v>
      </c>
      <c r="J163">
        <v>4</v>
      </c>
      <c r="K163" t="s">
        <v>222</v>
      </c>
      <c r="L163" t="s">
        <v>804</v>
      </c>
      <c r="M163">
        <v>12</v>
      </c>
      <c r="N163" t="s">
        <v>34</v>
      </c>
      <c r="O163" t="s">
        <v>35</v>
      </c>
      <c r="Q163" t="s">
        <v>36</v>
      </c>
      <c r="R163">
        <v>25</v>
      </c>
      <c r="S163" t="s">
        <v>37</v>
      </c>
      <c r="T163" t="s">
        <v>88</v>
      </c>
      <c r="U163">
        <v>4</v>
      </c>
      <c r="V163" t="s">
        <v>89</v>
      </c>
      <c r="W163" t="s">
        <v>51</v>
      </c>
      <c r="X163" t="s">
        <v>109</v>
      </c>
      <c r="Y163" t="s">
        <v>53</v>
      </c>
    </row>
    <row r="164" spans="1:25">
      <c r="A164" t="s">
        <v>805</v>
      </c>
      <c r="B164" t="s">
        <v>806</v>
      </c>
      <c r="C164" t="s">
        <v>56</v>
      </c>
      <c r="D164">
        <v>28</v>
      </c>
      <c r="E164" t="s">
        <v>57</v>
      </c>
      <c r="F164" t="s">
        <v>29</v>
      </c>
      <c r="G164" t="s">
        <v>58</v>
      </c>
      <c r="H164" t="s">
        <v>807</v>
      </c>
      <c r="I164" t="s">
        <v>808</v>
      </c>
      <c r="J164">
        <v>3</v>
      </c>
      <c r="K164" t="s">
        <v>807</v>
      </c>
      <c r="L164" t="s">
        <v>809</v>
      </c>
      <c r="M164">
        <v>3</v>
      </c>
      <c r="N164" t="s">
        <v>68</v>
      </c>
      <c r="O164" t="s">
        <v>35</v>
      </c>
      <c r="Q164" t="s">
        <v>36</v>
      </c>
      <c r="R164">
        <v>15</v>
      </c>
      <c r="S164" t="s">
        <v>37</v>
      </c>
      <c r="T164" t="s">
        <v>50</v>
      </c>
      <c r="U164">
        <v>2</v>
      </c>
      <c r="V164" t="s">
        <v>89</v>
      </c>
      <c r="W164" t="s">
        <v>165</v>
      </c>
      <c r="X164" t="s">
        <v>109</v>
      </c>
      <c r="Y164" t="s">
        <v>53</v>
      </c>
    </row>
    <row r="165" spans="1:25">
      <c r="A165" t="s">
        <v>810</v>
      </c>
      <c r="B165" t="s">
        <v>811</v>
      </c>
      <c r="C165" t="s">
        <v>80</v>
      </c>
      <c r="D165">
        <v>6</v>
      </c>
      <c r="E165" t="s">
        <v>149</v>
      </c>
      <c r="F165" t="s">
        <v>29</v>
      </c>
      <c r="G165" t="s">
        <v>30</v>
      </c>
      <c r="H165" t="s">
        <v>337</v>
      </c>
      <c r="I165" t="s">
        <v>812</v>
      </c>
      <c r="J165">
        <v>6</v>
      </c>
      <c r="K165" t="s">
        <v>337</v>
      </c>
      <c r="L165" t="s">
        <v>813</v>
      </c>
      <c r="M165">
        <v>7</v>
      </c>
      <c r="N165" t="s">
        <v>34</v>
      </c>
      <c r="O165" t="s">
        <v>35</v>
      </c>
      <c r="Q165" t="s">
        <v>36</v>
      </c>
      <c r="R165">
        <v>40</v>
      </c>
      <c r="S165" t="s">
        <v>37</v>
      </c>
      <c r="T165" t="s">
        <v>88</v>
      </c>
      <c r="U165">
        <v>4</v>
      </c>
      <c r="V165" t="s">
        <v>70</v>
      </c>
      <c r="W165" t="s">
        <v>40</v>
      </c>
      <c r="X165" t="s">
        <v>109</v>
      </c>
      <c r="Y165" t="s">
        <v>53</v>
      </c>
    </row>
    <row r="166" spans="1:25">
      <c r="A166" t="s">
        <v>814</v>
      </c>
      <c r="B166" t="s">
        <v>815</v>
      </c>
      <c r="C166" t="s">
        <v>27</v>
      </c>
      <c r="D166">
        <v>35</v>
      </c>
      <c r="E166" t="s">
        <v>28</v>
      </c>
      <c r="F166" t="s">
        <v>29</v>
      </c>
      <c r="G166" t="s">
        <v>58</v>
      </c>
      <c r="H166" t="s">
        <v>278</v>
      </c>
      <c r="I166" t="s">
        <v>816</v>
      </c>
      <c r="J166">
        <v>5</v>
      </c>
      <c r="K166" t="s">
        <v>278</v>
      </c>
      <c r="L166" t="s">
        <v>817</v>
      </c>
      <c r="M166">
        <v>11</v>
      </c>
      <c r="N166" t="s">
        <v>34</v>
      </c>
      <c r="O166" t="s">
        <v>35</v>
      </c>
      <c r="Q166" t="s">
        <v>36</v>
      </c>
      <c r="R166">
        <v>35</v>
      </c>
      <c r="S166" t="s">
        <v>77</v>
      </c>
      <c r="T166" t="s">
        <v>96</v>
      </c>
      <c r="U166">
        <v>4</v>
      </c>
      <c r="V166" t="s">
        <v>39</v>
      </c>
      <c r="W166" t="s">
        <v>51</v>
      </c>
      <c r="X166" t="s">
        <v>109</v>
      </c>
      <c r="Y166" t="s">
        <v>71</v>
      </c>
    </row>
    <row r="167" spans="1:25">
      <c r="A167" t="s">
        <v>818</v>
      </c>
      <c r="B167" t="s">
        <v>819</v>
      </c>
      <c r="C167" t="s">
        <v>80</v>
      </c>
      <c r="D167">
        <v>31</v>
      </c>
      <c r="E167" t="s">
        <v>173</v>
      </c>
      <c r="F167" t="s">
        <v>29</v>
      </c>
      <c r="G167" t="s">
        <v>150</v>
      </c>
      <c r="H167" t="s">
        <v>652</v>
      </c>
      <c r="I167" t="s">
        <v>820</v>
      </c>
      <c r="J167">
        <v>4</v>
      </c>
      <c r="K167" t="s">
        <v>652</v>
      </c>
      <c r="L167" t="s">
        <v>186</v>
      </c>
      <c r="M167">
        <v>11</v>
      </c>
      <c r="N167" t="s">
        <v>34</v>
      </c>
      <c r="O167" t="s">
        <v>35</v>
      </c>
      <c r="Q167" t="s">
        <v>36</v>
      </c>
      <c r="R167">
        <v>25</v>
      </c>
      <c r="S167" t="s">
        <v>37</v>
      </c>
      <c r="T167" t="s">
        <v>38</v>
      </c>
      <c r="U167">
        <v>1</v>
      </c>
      <c r="V167" t="s">
        <v>39</v>
      </c>
      <c r="W167" t="s">
        <v>103</v>
      </c>
      <c r="X167" t="s">
        <v>52</v>
      </c>
      <c r="Y167" t="s">
        <v>53</v>
      </c>
    </row>
    <row r="168" spans="1:25">
      <c r="A168" t="s">
        <v>821</v>
      </c>
      <c r="B168" t="s">
        <v>822</v>
      </c>
      <c r="C168" t="s">
        <v>80</v>
      </c>
      <c r="D168">
        <v>22</v>
      </c>
      <c r="E168" t="s">
        <v>81</v>
      </c>
      <c r="F168" t="s">
        <v>82</v>
      </c>
      <c r="G168" t="s">
        <v>58</v>
      </c>
      <c r="H168" t="s">
        <v>823</v>
      </c>
      <c r="I168" t="s">
        <v>824</v>
      </c>
      <c r="J168">
        <v>8</v>
      </c>
      <c r="K168" t="s">
        <v>823</v>
      </c>
      <c r="L168" t="s">
        <v>825</v>
      </c>
      <c r="M168">
        <v>11</v>
      </c>
      <c r="N168" t="s">
        <v>34</v>
      </c>
      <c r="O168" t="s">
        <v>35</v>
      </c>
      <c r="Q168" t="s">
        <v>36</v>
      </c>
      <c r="R168">
        <v>20</v>
      </c>
      <c r="S168" t="s">
        <v>49</v>
      </c>
      <c r="T168" t="s">
        <v>69</v>
      </c>
      <c r="U168">
        <v>5</v>
      </c>
      <c r="V168" t="s">
        <v>89</v>
      </c>
      <c r="W168" t="s">
        <v>40</v>
      </c>
      <c r="X168" t="s">
        <v>52</v>
      </c>
      <c r="Y168" t="s">
        <v>53</v>
      </c>
    </row>
    <row r="169" spans="1:25">
      <c r="A169" t="s">
        <v>826</v>
      </c>
      <c r="B169" t="s">
        <v>827</v>
      </c>
      <c r="C169" t="s">
        <v>27</v>
      </c>
      <c r="D169">
        <v>76</v>
      </c>
      <c r="E169" t="s">
        <v>173</v>
      </c>
      <c r="F169" t="s">
        <v>29</v>
      </c>
      <c r="G169" t="s">
        <v>168</v>
      </c>
      <c r="H169" t="s">
        <v>828</v>
      </c>
      <c r="I169" t="s">
        <v>829</v>
      </c>
      <c r="J169">
        <v>4</v>
      </c>
      <c r="K169" t="s">
        <v>245</v>
      </c>
      <c r="L169" t="s">
        <v>830</v>
      </c>
      <c r="M169">
        <v>12</v>
      </c>
      <c r="N169" t="s">
        <v>34</v>
      </c>
      <c r="O169" t="s">
        <v>35</v>
      </c>
      <c r="Q169" t="s">
        <v>36</v>
      </c>
      <c r="R169">
        <v>25</v>
      </c>
      <c r="S169" t="s">
        <v>37</v>
      </c>
      <c r="T169" t="s">
        <v>88</v>
      </c>
      <c r="U169">
        <v>1</v>
      </c>
      <c r="V169" t="s">
        <v>62</v>
      </c>
      <c r="W169" t="s">
        <v>103</v>
      </c>
      <c r="X169" t="s">
        <v>52</v>
      </c>
      <c r="Y169" t="s">
        <v>42</v>
      </c>
    </row>
    <row r="170" spans="1:25">
      <c r="A170" t="s">
        <v>831</v>
      </c>
      <c r="B170" t="s">
        <v>832</v>
      </c>
      <c r="C170" t="s">
        <v>204</v>
      </c>
      <c r="D170">
        <v>12</v>
      </c>
      <c r="E170" t="s">
        <v>28</v>
      </c>
      <c r="F170" t="s">
        <v>29</v>
      </c>
      <c r="G170" t="s">
        <v>58</v>
      </c>
      <c r="H170" t="s">
        <v>427</v>
      </c>
      <c r="I170" t="s">
        <v>833</v>
      </c>
      <c r="J170">
        <v>5</v>
      </c>
      <c r="K170" t="s">
        <v>427</v>
      </c>
      <c r="L170" t="s">
        <v>834</v>
      </c>
      <c r="M170">
        <v>5</v>
      </c>
      <c r="N170" t="s">
        <v>68</v>
      </c>
      <c r="O170" t="s">
        <v>35</v>
      </c>
      <c r="Q170" t="s">
        <v>36</v>
      </c>
      <c r="R170">
        <v>35</v>
      </c>
      <c r="S170" t="s">
        <v>49</v>
      </c>
      <c r="T170" t="s">
        <v>164</v>
      </c>
      <c r="U170">
        <v>5</v>
      </c>
      <c r="V170" t="s">
        <v>39</v>
      </c>
      <c r="W170" t="s">
        <v>165</v>
      </c>
      <c r="X170" t="s">
        <v>41</v>
      </c>
      <c r="Y170" t="s">
        <v>71</v>
      </c>
    </row>
    <row r="171" spans="1:25">
      <c r="A171" t="s">
        <v>835</v>
      </c>
      <c r="B171" t="s">
        <v>836</v>
      </c>
      <c r="C171" t="s">
        <v>80</v>
      </c>
      <c r="D171">
        <v>64</v>
      </c>
      <c r="E171" t="s">
        <v>173</v>
      </c>
      <c r="F171" t="s">
        <v>29</v>
      </c>
      <c r="G171" t="s">
        <v>45</v>
      </c>
      <c r="H171" t="s">
        <v>151</v>
      </c>
      <c r="I171" t="s">
        <v>696</v>
      </c>
      <c r="J171">
        <v>4</v>
      </c>
      <c r="K171" t="s">
        <v>151</v>
      </c>
      <c r="L171" t="s">
        <v>837</v>
      </c>
      <c r="M171">
        <v>4</v>
      </c>
      <c r="N171" t="s">
        <v>68</v>
      </c>
      <c r="O171" t="s">
        <v>35</v>
      </c>
      <c r="Q171" t="s">
        <v>36</v>
      </c>
      <c r="R171">
        <v>25</v>
      </c>
      <c r="S171" t="s">
        <v>49</v>
      </c>
      <c r="T171" t="s">
        <v>96</v>
      </c>
      <c r="U171">
        <v>5</v>
      </c>
      <c r="V171" t="s">
        <v>62</v>
      </c>
      <c r="W171" t="s">
        <v>103</v>
      </c>
      <c r="X171" t="s">
        <v>109</v>
      </c>
      <c r="Y171" t="s">
        <v>53</v>
      </c>
    </row>
    <row r="172" spans="1:25">
      <c r="A172" t="s">
        <v>838</v>
      </c>
      <c r="B172" t="s">
        <v>839</v>
      </c>
      <c r="C172" t="s">
        <v>56</v>
      </c>
      <c r="D172">
        <v>34</v>
      </c>
      <c r="E172" t="s">
        <v>57</v>
      </c>
      <c r="F172" t="s">
        <v>29</v>
      </c>
      <c r="G172" t="s">
        <v>58</v>
      </c>
      <c r="H172" t="s">
        <v>194</v>
      </c>
      <c r="I172" t="s">
        <v>840</v>
      </c>
      <c r="J172">
        <v>3</v>
      </c>
      <c r="K172" t="s">
        <v>194</v>
      </c>
      <c r="L172" t="s">
        <v>841</v>
      </c>
      <c r="M172">
        <v>6</v>
      </c>
      <c r="N172" t="s">
        <v>34</v>
      </c>
      <c r="O172" t="s">
        <v>35</v>
      </c>
      <c r="Q172" t="s">
        <v>36</v>
      </c>
      <c r="R172">
        <v>15</v>
      </c>
      <c r="S172" t="s">
        <v>77</v>
      </c>
      <c r="T172" t="s">
        <v>88</v>
      </c>
      <c r="U172">
        <v>1</v>
      </c>
      <c r="V172" t="s">
        <v>70</v>
      </c>
      <c r="W172" t="s">
        <v>51</v>
      </c>
      <c r="X172" t="s">
        <v>109</v>
      </c>
      <c r="Y172" t="s">
        <v>42</v>
      </c>
    </row>
    <row r="173" spans="1:25">
      <c r="A173" t="s">
        <v>842</v>
      </c>
      <c r="B173" t="s">
        <v>843</v>
      </c>
      <c r="C173" t="s">
        <v>204</v>
      </c>
      <c r="D173">
        <v>16</v>
      </c>
      <c r="E173" t="s">
        <v>81</v>
      </c>
      <c r="F173" t="s">
        <v>82</v>
      </c>
      <c r="G173" t="s">
        <v>83</v>
      </c>
      <c r="H173" t="s">
        <v>379</v>
      </c>
      <c r="I173" t="s">
        <v>844</v>
      </c>
      <c r="J173">
        <v>8</v>
      </c>
      <c r="K173" t="s">
        <v>845</v>
      </c>
      <c r="L173" t="s">
        <v>846</v>
      </c>
      <c r="M173">
        <v>15</v>
      </c>
      <c r="N173" t="s">
        <v>34</v>
      </c>
      <c r="O173" t="s">
        <v>35</v>
      </c>
      <c r="Q173" t="s">
        <v>36</v>
      </c>
      <c r="R173">
        <v>20</v>
      </c>
      <c r="S173" t="s">
        <v>49</v>
      </c>
      <c r="T173" t="s">
        <v>96</v>
      </c>
      <c r="U173">
        <v>1</v>
      </c>
      <c r="V173" t="s">
        <v>62</v>
      </c>
      <c r="W173" t="s">
        <v>103</v>
      </c>
      <c r="X173" t="s">
        <v>41</v>
      </c>
      <c r="Y173" t="s">
        <v>71</v>
      </c>
    </row>
    <row r="174" spans="1:25">
      <c r="A174" t="s">
        <v>847</v>
      </c>
      <c r="B174" t="s">
        <v>848</v>
      </c>
      <c r="C174" t="s">
        <v>56</v>
      </c>
      <c r="D174">
        <v>4</v>
      </c>
      <c r="E174" t="s">
        <v>92</v>
      </c>
      <c r="F174" t="s">
        <v>29</v>
      </c>
      <c r="G174" t="s">
        <v>30</v>
      </c>
      <c r="H174" t="s">
        <v>123</v>
      </c>
      <c r="I174" t="s">
        <v>849</v>
      </c>
      <c r="J174">
        <v>24</v>
      </c>
      <c r="K174" t="s">
        <v>141</v>
      </c>
      <c r="L174" t="s">
        <v>555</v>
      </c>
      <c r="M174">
        <v>25</v>
      </c>
      <c r="N174" t="s">
        <v>34</v>
      </c>
      <c r="O174" t="s">
        <v>35</v>
      </c>
      <c r="Q174" t="s">
        <v>36</v>
      </c>
      <c r="R174">
        <v>50</v>
      </c>
      <c r="S174" t="s">
        <v>37</v>
      </c>
      <c r="T174" t="s">
        <v>96</v>
      </c>
      <c r="U174">
        <v>1</v>
      </c>
      <c r="V174" t="s">
        <v>62</v>
      </c>
      <c r="W174" t="s">
        <v>40</v>
      </c>
      <c r="X174" t="s">
        <v>52</v>
      </c>
      <c r="Y174" t="s">
        <v>42</v>
      </c>
    </row>
    <row r="175" spans="1:25">
      <c r="A175" t="s">
        <v>850</v>
      </c>
      <c r="B175" t="s">
        <v>851</v>
      </c>
      <c r="C175" t="s">
        <v>80</v>
      </c>
      <c r="D175">
        <v>57</v>
      </c>
      <c r="E175" t="s">
        <v>149</v>
      </c>
      <c r="F175" t="s">
        <v>29</v>
      </c>
      <c r="G175" t="s">
        <v>58</v>
      </c>
      <c r="H175" t="s">
        <v>668</v>
      </c>
      <c r="I175" t="s">
        <v>60</v>
      </c>
      <c r="J175">
        <v>6</v>
      </c>
      <c r="K175" t="s">
        <v>668</v>
      </c>
      <c r="L175" t="s">
        <v>852</v>
      </c>
      <c r="M175">
        <v>12</v>
      </c>
      <c r="N175" t="s">
        <v>34</v>
      </c>
      <c r="O175" t="s">
        <v>35</v>
      </c>
      <c r="Q175" t="s">
        <v>36</v>
      </c>
      <c r="R175">
        <v>-20</v>
      </c>
      <c r="S175" t="s">
        <v>77</v>
      </c>
      <c r="T175" t="s">
        <v>38</v>
      </c>
      <c r="U175">
        <v>1</v>
      </c>
      <c r="V175" t="s">
        <v>39</v>
      </c>
      <c r="W175" t="s">
        <v>103</v>
      </c>
      <c r="X175" t="s">
        <v>109</v>
      </c>
      <c r="Y175" t="s">
        <v>42</v>
      </c>
    </row>
    <row r="176" spans="1:25">
      <c r="A176" t="s">
        <v>853</v>
      </c>
      <c r="B176" t="s">
        <v>854</v>
      </c>
      <c r="C176" t="s">
        <v>27</v>
      </c>
      <c r="D176">
        <v>70</v>
      </c>
      <c r="E176" t="s">
        <v>28</v>
      </c>
      <c r="F176" t="s">
        <v>29</v>
      </c>
      <c r="G176" t="s">
        <v>30</v>
      </c>
      <c r="H176" t="s">
        <v>473</v>
      </c>
      <c r="I176" t="s">
        <v>855</v>
      </c>
      <c r="J176">
        <v>5</v>
      </c>
      <c r="K176" t="s">
        <v>475</v>
      </c>
      <c r="L176" t="s">
        <v>856</v>
      </c>
      <c r="M176">
        <v>13</v>
      </c>
      <c r="N176" t="s">
        <v>34</v>
      </c>
      <c r="O176" t="s">
        <v>35</v>
      </c>
      <c r="Q176" t="s">
        <v>36</v>
      </c>
      <c r="R176">
        <v>35</v>
      </c>
      <c r="S176" t="s">
        <v>77</v>
      </c>
      <c r="T176" t="s">
        <v>69</v>
      </c>
      <c r="U176">
        <v>1</v>
      </c>
      <c r="V176" t="s">
        <v>39</v>
      </c>
      <c r="W176" t="s">
        <v>51</v>
      </c>
      <c r="X176" t="s">
        <v>41</v>
      </c>
      <c r="Y176" t="s">
        <v>71</v>
      </c>
    </row>
    <row r="177" spans="1:25">
      <c r="A177" t="s">
        <v>857</v>
      </c>
      <c r="B177" t="s">
        <v>858</v>
      </c>
      <c r="C177" t="s">
        <v>204</v>
      </c>
      <c r="D177">
        <v>45</v>
      </c>
      <c r="E177" t="s">
        <v>173</v>
      </c>
      <c r="F177" t="s">
        <v>29</v>
      </c>
      <c r="G177" t="s">
        <v>83</v>
      </c>
      <c r="H177" t="s">
        <v>274</v>
      </c>
      <c r="I177" t="s">
        <v>859</v>
      </c>
      <c r="J177">
        <v>4</v>
      </c>
      <c r="K177" t="s">
        <v>274</v>
      </c>
      <c r="L177" t="s">
        <v>860</v>
      </c>
      <c r="M177">
        <v>5</v>
      </c>
      <c r="N177" t="s">
        <v>34</v>
      </c>
      <c r="O177" t="s">
        <v>35</v>
      </c>
      <c r="Q177" t="s">
        <v>36</v>
      </c>
      <c r="R177">
        <v>25</v>
      </c>
      <c r="S177" t="s">
        <v>49</v>
      </c>
      <c r="T177" t="s">
        <v>96</v>
      </c>
      <c r="U177">
        <v>1</v>
      </c>
      <c r="V177" t="s">
        <v>62</v>
      </c>
      <c r="W177" t="s">
        <v>165</v>
      </c>
      <c r="X177" t="s">
        <v>109</v>
      </c>
      <c r="Y177" t="s">
        <v>71</v>
      </c>
    </row>
    <row r="178" spans="1:25">
      <c r="A178" t="s">
        <v>861</v>
      </c>
      <c r="B178" t="s">
        <v>862</v>
      </c>
      <c r="C178" t="s">
        <v>27</v>
      </c>
      <c r="D178">
        <v>29</v>
      </c>
      <c r="E178" t="s">
        <v>92</v>
      </c>
      <c r="F178" t="s">
        <v>29</v>
      </c>
      <c r="G178" t="s">
        <v>93</v>
      </c>
      <c r="H178" t="s">
        <v>427</v>
      </c>
      <c r="I178" t="s">
        <v>863</v>
      </c>
      <c r="J178">
        <v>24</v>
      </c>
      <c r="K178" t="s">
        <v>314</v>
      </c>
      <c r="L178" t="s">
        <v>864</v>
      </c>
      <c r="M178">
        <v>27</v>
      </c>
      <c r="N178" t="s">
        <v>34</v>
      </c>
      <c r="O178" t="s">
        <v>35</v>
      </c>
      <c r="Q178" t="s">
        <v>36</v>
      </c>
      <c r="R178">
        <v>50</v>
      </c>
      <c r="S178" t="s">
        <v>37</v>
      </c>
      <c r="T178" t="s">
        <v>164</v>
      </c>
      <c r="U178">
        <v>1</v>
      </c>
      <c r="V178" t="s">
        <v>70</v>
      </c>
      <c r="W178" t="s">
        <v>103</v>
      </c>
      <c r="X178" t="s">
        <v>52</v>
      </c>
      <c r="Y178" t="s">
        <v>71</v>
      </c>
    </row>
    <row r="179" spans="1:25">
      <c r="A179" t="s">
        <v>865</v>
      </c>
      <c r="B179" t="s">
        <v>866</v>
      </c>
      <c r="C179" t="s">
        <v>56</v>
      </c>
      <c r="D179">
        <v>22</v>
      </c>
      <c r="E179" t="s">
        <v>81</v>
      </c>
      <c r="F179" t="s">
        <v>82</v>
      </c>
      <c r="G179" t="s">
        <v>83</v>
      </c>
      <c r="H179" t="s">
        <v>784</v>
      </c>
      <c r="I179" t="s">
        <v>85</v>
      </c>
      <c r="J179">
        <v>8</v>
      </c>
      <c r="K179" t="s">
        <v>784</v>
      </c>
      <c r="L179" t="s">
        <v>867</v>
      </c>
      <c r="M179">
        <v>8</v>
      </c>
      <c r="N179" t="s">
        <v>68</v>
      </c>
      <c r="O179" t="s">
        <v>35</v>
      </c>
      <c r="Q179" t="s">
        <v>36</v>
      </c>
      <c r="R179">
        <v>20</v>
      </c>
      <c r="S179" t="s">
        <v>49</v>
      </c>
      <c r="T179" t="s">
        <v>96</v>
      </c>
      <c r="U179">
        <v>1</v>
      </c>
      <c r="V179" t="s">
        <v>62</v>
      </c>
      <c r="W179" t="s">
        <v>103</v>
      </c>
      <c r="X179" t="s">
        <v>109</v>
      </c>
      <c r="Y179" t="s">
        <v>71</v>
      </c>
    </row>
    <row r="180" spans="1:25">
      <c r="A180" t="s">
        <v>868</v>
      </c>
      <c r="B180" t="s">
        <v>869</v>
      </c>
      <c r="C180" t="s">
        <v>80</v>
      </c>
      <c r="D180">
        <v>23</v>
      </c>
      <c r="E180" t="s">
        <v>57</v>
      </c>
      <c r="F180" t="s">
        <v>29</v>
      </c>
      <c r="G180" t="s">
        <v>150</v>
      </c>
      <c r="H180" t="s">
        <v>870</v>
      </c>
      <c r="I180" t="s">
        <v>395</v>
      </c>
      <c r="J180">
        <v>3</v>
      </c>
      <c r="K180" t="s">
        <v>870</v>
      </c>
      <c r="L180" t="s">
        <v>871</v>
      </c>
      <c r="M180">
        <v>7</v>
      </c>
      <c r="N180" t="s">
        <v>34</v>
      </c>
      <c r="O180" t="s">
        <v>35</v>
      </c>
      <c r="Q180" t="s">
        <v>36</v>
      </c>
      <c r="R180">
        <v>15</v>
      </c>
      <c r="S180" t="s">
        <v>49</v>
      </c>
      <c r="T180" t="s">
        <v>88</v>
      </c>
      <c r="U180">
        <v>3</v>
      </c>
      <c r="V180" t="s">
        <v>70</v>
      </c>
      <c r="W180" t="s">
        <v>51</v>
      </c>
      <c r="X180" t="s">
        <v>52</v>
      </c>
      <c r="Y180" t="s">
        <v>71</v>
      </c>
    </row>
    <row r="181" spans="1:25">
      <c r="A181" t="s">
        <v>872</v>
      </c>
      <c r="B181" t="s">
        <v>873</v>
      </c>
      <c r="C181" t="s">
        <v>27</v>
      </c>
      <c r="D181">
        <v>8</v>
      </c>
      <c r="E181" t="s">
        <v>57</v>
      </c>
      <c r="F181" t="s">
        <v>29</v>
      </c>
      <c r="G181" t="s">
        <v>168</v>
      </c>
      <c r="H181" t="s">
        <v>251</v>
      </c>
      <c r="I181" t="s">
        <v>874</v>
      </c>
      <c r="J181">
        <v>3</v>
      </c>
      <c r="K181" t="s">
        <v>251</v>
      </c>
      <c r="L181" t="s">
        <v>354</v>
      </c>
      <c r="M181">
        <v>5</v>
      </c>
      <c r="N181" t="s">
        <v>34</v>
      </c>
      <c r="O181" t="s">
        <v>35</v>
      </c>
      <c r="Q181" t="s">
        <v>36</v>
      </c>
      <c r="R181">
        <v>15</v>
      </c>
      <c r="S181" t="s">
        <v>37</v>
      </c>
      <c r="T181" t="s">
        <v>164</v>
      </c>
      <c r="U181">
        <v>2</v>
      </c>
      <c r="V181" t="s">
        <v>39</v>
      </c>
      <c r="W181" t="s">
        <v>51</v>
      </c>
      <c r="X181" t="s">
        <v>41</v>
      </c>
      <c r="Y181" t="s">
        <v>53</v>
      </c>
    </row>
    <row r="182" spans="1:25">
      <c r="A182" t="s">
        <v>875</v>
      </c>
      <c r="B182" t="s">
        <v>876</v>
      </c>
      <c r="C182" t="s">
        <v>56</v>
      </c>
      <c r="D182">
        <v>72</v>
      </c>
      <c r="E182" t="s">
        <v>92</v>
      </c>
      <c r="F182" t="s">
        <v>29</v>
      </c>
      <c r="G182" t="s">
        <v>93</v>
      </c>
      <c r="H182" t="s">
        <v>877</v>
      </c>
      <c r="I182" t="s">
        <v>878</v>
      </c>
      <c r="J182">
        <v>24</v>
      </c>
      <c r="K182" t="s">
        <v>879</v>
      </c>
      <c r="L182" t="s">
        <v>880</v>
      </c>
      <c r="M182">
        <v>27</v>
      </c>
      <c r="N182" t="s">
        <v>34</v>
      </c>
      <c r="O182" t="s">
        <v>35</v>
      </c>
      <c r="Q182" t="s">
        <v>36</v>
      </c>
      <c r="R182">
        <v>50</v>
      </c>
      <c r="S182" t="s">
        <v>49</v>
      </c>
      <c r="T182" t="s">
        <v>96</v>
      </c>
      <c r="U182">
        <v>3</v>
      </c>
      <c r="V182" t="s">
        <v>62</v>
      </c>
      <c r="W182" t="s">
        <v>165</v>
      </c>
      <c r="X182" t="s">
        <v>41</v>
      </c>
      <c r="Y182" t="s">
        <v>42</v>
      </c>
    </row>
    <row r="183" spans="1:25">
      <c r="A183" t="s">
        <v>881</v>
      </c>
      <c r="B183" t="s">
        <v>882</v>
      </c>
      <c r="C183" t="s">
        <v>80</v>
      </c>
      <c r="D183">
        <v>9</v>
      </c>
      <c r="E183" t="s">
        <v>173</v>
      </c>
      <c r="F183" t="s">
        <v>29</v>
      </c>
      <c r="G183" t="s">
        <v>168</v>
      </c>
      <c r="H183" t="s">
        <v>500</v>
      </c>
      <c r="I183" t="s">
        <v>883</v>
      </c>
      <c r="J183">
        <v>4</v>
      </c>
      <c r="K183" t="s">
        <v>500</v>
      </c>
      <c r="L183" t="s">
        <v>884</v>
      </c>
      <c r="M183">
        <v>7</v>
      </c>
      <c r="N183" t="s">
        <v>34</v>
      </c>
      <c r="O183" t="s">
        <v>35</v>
      </c>
      <c r="Q183" t="s">
        <v>36</v>
      </c>
      <c r="R183">
        <v>25</v>
      </c>
      <c r="S183" t="s">
        <v>77</v>
      </c>
      <c r="T183" t="s">
        <v>50</v>
      </c>
      <c r="U183">
        <v>2</v>
      </c>
      <c r="V183" t="s">
        <v>89</v>
      </c>
      <c r="W183" t="s">
        <v>103</v>
      </c>
      <c r="X183" t="s">
        <v>109</v>
      </c>
      <c r="Y183" t="s">
        <v>71</v>
      </c>
    </row>
    <row r="184" spans="1:25">
      <c r="A184" t="s">
        <v>885</v>
      </c>
      <c r="B184" t="s">
        <v>886</v>
      </c>
      <c r="C184" t="s">
        <v>56</v>
      </c>
      <c r="D184">
        <v>35</v>
      </c>
      <c r="E184" t="s">
        <v>92</v>
      </c>
      <c r="F184" t="s">
        <v>29</v>
      </c>
      <c r="G184" t="s">
        <v>93</v>
      </c>
      <c r="H184" t="s">
        <v>199</v>
      </c>
      <c r="I184" t="s">
        <v>887</v>
      </c>
      <c r="J184">
        <v>24</v>
      </c>
      <c r="K184" t="s">
        <v>194</v>
      </c>
      <c r="L184" t="s">
        <v>888</v>
      </c>
      <c r="M184">
        <v>25</v>
      </c>
      <c r="N184" t="s">
        <v>34</v>
      </c>
      <c r="O184" t="s">
        <v>35</v>
      </c>
      <c r="Q184" t="s">
        <v>36</v>
      </c>
      <c r="R184">
        <v>50</v>
      </c>
      <c r="S184" t="s">
        <v>37</v>
      </c>
      <c r="T184" t="s">
        <v>38</v>
      </c>
      <c r="U184">
        <v>1</v>
      </c>
      <c r="V184" t="s">
        <v>62</v>
      </c>
      <c r="W184" t="s">
        <v>40</v>
      </c>
      <c r="X184" t="s">
        <v>52</v>
      </c>
      <c r="Y184" t="s">
        <v>42</v>
      </c>
    </row>
    <row r="185" spans="1:25">
      <c r="A185" t="s">
        <v>889</v>
      </c>
      <c r="B185" t="s">
        <v>890</v>
      </c>
      <c r="C185" t="s">
        <v>80</v>
      </c>
      <c r="D185">
        <v>2</v>
      </c>
      <c r="E185" t="s">
        <v>92</v>
      </c>
      <c r="F185" t="s">
        <v>29</v>
      </c>
      <c r="G185" t="s">
        <v>93</v>
      </c>
      <c r="H185" t="s">
        <v>891</v>
      </c>
      <c r="I185" t="s">
        <v>892</v>
      </c>
      <c r="J185">
        <v>24</v>
      </c>
      <c r="K185" t="s">
        <v>893</v>
      </c>
      <c r="L185" t="s">
        <v>894</v>
      </c>
      <c r="M185">
        <v>31</v>
      </c>
      <c r="N185" t="s">
        <v>34</v>
      </c>
      <c r="O185" t="s">
        <v>35</v>
      </c>
      <c r="Q185" t="s">
        <v>36</v>
      </c>
      <c r="R185">
        <v>50</v>
      </c>
      <c r="S185" t="s">
        <v>37</v>
      </c>
      <c r="T185" t="s">
        <v>69</v>
      </c>
      <c r="U185">
        <v>4</v>
      </c>
      <c r="V185" t="s">
        <v>89</v>
      </c>
      <c r="W185" t="s">
        <v>51</v>
      </c>
      <c r="X185" t="s">
        <v>52</v>
      </c>
      <c r="Y185" t="s">
        <v>71</v>
      </c>
    </row>
    <row r="186" spans="1:25">
      <c r="A186" t="s">
        <v>895</v>
      </c>
      <c r="B186" t="s">
        <v>896</v>
      </c>
      <c r="C186" t="s">
        <v>56</v>
      </c>
      <c r="D186">
        <v>3</v>
      </c>
      <c r="E186" t="s">
        <v>173</v>
      </c>
      <c r="F186" t="s">
        <v>29</v>
      </c>
      <c r="G186" t="s">
        <v>168</v>
      </c>
      <c r="H186" t="s">
        <v>680</v>
      </c>
      <c r="I186" t="s">
        <v>514</v>
      </c>
      <c r="J186">
        <v>4</v>
      </c>
      <c r="K186" t="s">
        <v>680</v>
      </c>
      <c r="L186" t="s">
        <v>897</v>
      </c>
      <c r="M186">
        <v>7</v>
      </c>
      <c r="N186" t="s">
        <v>34</v>
      </c>
      <c r="O186" t="s">
        <v>35</v>
      </c>
      <c r="Q186" t="s">
        <v>36</v>
      </c>
      <c r="R186">
        <v>25</v>
      </c>
      <c r="S186" t="s">
        <v>49</v>
      </c>
      <c r="T186" t="s">
        <v>164</v>
      </c>
      <c r="U186">
        <v>5</v>
      </c>
      <c r="V186" t="s">
        <v>70</v>
      </c>
      <c r="W186" t="s">
        <v>40</v>
      </c>
      <c r="X186" t="s">
        <v>52</v>
      </c>
      <c r="Y186" t="s">
        <v>71</v>
      </c>
    </row>
    <row r="187" spans="1:25">
      <c r="A187" t="s">
        <v>898</v>
      </c>
      <c r="B187" t="s">
        <v>899</v>
      </c>
      <c r="C187" t="s">
        <v>27</v>
      </c>
      <c r="D187">
        <v>88</v>
      </c>
      <c r="E187" t="s">
        <v>173</v>
      </c>
      <c r="F187" t="s">
        <v>29</v>
      </c>
      <c r="G187" t="s">
        <v>168</v>
      </c>
      <c r="H187" t="s">
        <v>900</v>
      </c>
      <c r="I187" t="s">
        <v>901</v>
      </c>
      <c r="J187">
        <v>4</v>
      </c>
      <c r="K187" t="s">
        <v>902</v>
      </c>
      <c r="L187" t="s">
        <v>903</v>
      </c>
      <c r="M187">
        <v>9</v>
      </c>
      <c r="N187" t="s">
        <v>34</v>
      </c>
      <c r="O187" t="s">
        <v>35</v>
      </c>
      <c r="Q187" t="s">
        <v>36</v>
      </c>
      <c r="R187">
        <v>25</v>
      </c>
      <c r="S187" t="s">
        <v>37</v>
      </c>
      <c r="T187" t="s">
        <v>69</v>
      </c>
      <c r="U187">
        <v>4</v>
      </c>
      <c r="V187" t="s">
        <v>62</v>
      </c>
      <c r="W187" t="s">
        <v>103</v>
      </c>
      <c r="X187" t="s">
        <v>52</v>
      </c>
      <c r="Y187" t="s">
        <v>71</v>
      </c>
    </row>
    <row r="188" spans="1:25">
      <c r="A188" t="s">
        <v>904</v>
      </c>
      <c r="B188" t="s">
        <v>905</v>
      </c>
      <c r="C188" t="s">
        <v>80</v>
      </c>
      <c r="D188">
        <v>19</v>
      </c>
      <c r="E188" t="s">
        <v>92</v>
      </c>
      <c r="F188" t="s">
        <v>29</v>
      </c>
      <c r="G188" t="s">
        <v>58</v>
      </c>
      <c r="H188" t="s">
        <v>247</v>
      </c>
      <c r="I188" t="s">
        <v>906</v>
      </c>
      <c r="J188">
        <v>24</v>
      </c>
      <c r="K188" t="s">
        <v>586</v>
      </c>
      <c r="L188" t="s">
        <v>907</v>
      </c>
      <c r="M188">
        <v>27</v>
      </c>
      <c r="N188" t="s">
        <v>34</v>
      </c>
      <c r="O188" t="s">
        <v>35</v>
      </c>
      <c r="Q188" t="s">
        <v>132</v>
      </c>
      <c r="R188">
        <v>50</v>
      </c>
      <c r="S188" t="s">
        <v>77</v>
      </c>
      <c r="T188" t="s">
        <v>38</v>
      </c>
      <c r="U188">
        <v>1</v>
      </c>
      <c r="V188" t="s">
        <v>39</v>
      </c>
      <c r="W188" t="s">
        <v>165</v>
      </c>
      <c r="X188" t="s">
        <v>109</v>
      </c>
      <c r="Y188" t="s">
        <v>71</v>
      </c>
    </row>
    <row r="189" spans="1:25">
      <c r="A189" t="s">
        <v>908</v>
      </c>
      <c r="B189" t="s">
        <v>909</v>
      </c>
      <c r="C189" t="s">
        <v>80</v>
      </c>
      <c r="D189">
        <v>28</v>
      </c>
      <c r="E189" t="s">
        <v>28</v>
      </c>
      <c r="F189" t="s">
        <v>29</v>
      </c>
      <c r="G189" t="s">
        <v>83</v>
      </c>
      <c r="H189" t="s">
        <v>910</v>
      </c>
      <c r="I189" t="s">
        <v>911</v>
      </c>
      <c r="J189">
        <v>5</v>
      </c>
      <c r="K189" t="s">
        <v>910</v>
      </c>
      <c r="L189" t="s">
        <v>912</v>
      </c>
      <c r="M189">
        <v>6</v>
      </c>
      <c r="N189" t="s">
        <v>34</v>
      </c>
      <c r="O189" t="s">
        <v>35</v>
      </c>
      <c r="Q189" t="s">
        <v>36</v>
      </c>
      <c r="R189">
        <v>35</v>
      </c>
      <c r="S189" t="s">
        <v>77</v>
      </c>
      <c r="T189" t="s">
        <v>96</v>
      </c>
      <c r="U189">
        <v>1</v>
      </c>
      <c r="V189" t="s">
        <v>39</v>
      </c>
      <c r="W189" t="s">
        <v>51</v>
      </c>
      <c r="X189" t="s">
        <v>41</v>
      </c>
      <c r="Y189" t="s">
        <v>53</v>
      </c>
    </row>
    <row r="190" spans="1:25">
      <c r="A190" t="s">
        <v>913</v>
      </c>
      <c r="B190" t="s">
        <v>914</v>
      </c>
      <c r="C190" t="s">
        <v>80</v>
      </c>
      <c r="D190">
        <v>57</v>
      </c>
      <c r="E190" t="s">
        <v>149</v>
      </c>
      <c r="F190" t="s">
        <v>29</v>
      </c>
      <c r="G190" t="s">
        <v>150</v>
      </c>
      <c r="H190" t="s">
        <v>915</v>
      </c>
      <c r="I190" t="s">
        <v>916</v>
      </c>
      <c r="J190">
        <v>6</v>
      </c>
      <c r="K190" t="s">
        <v>915</v>
      </c>
      <c r="L190" t="s">
        <v>834</v>
      </c>
      <c r="M190">
        <v>7</v>
      </c>
      <c r="N190" t="s">
        <v>34</v>
      </c>
      <c r="O190" t="s">
        <v>35</v>
      </c>
      <c r="Q190" t="s">
        <v>36</v>
      </c>
      <c r="R190">
        <v>40</v>
      </c>
      <c r="S190" t="s">
        <v>77</v>
      </c>
      <c r="T190" t="s">
        <v>50</v>
      </c>
      <c r="U190">
        <v>3</v>
      </c>
      <c r="V190" t="s">
        <v>89</v>
      </c>
      <c r="W190" t="s">
        <v>51</v>
      </c>
      <c r="X190" t="s">
        <v>109</v>
      </c>
      <c r="Y190" t="s">
        <v>53</v>
      </c>
    </row>
    <row r="191" spans="1:25">
      <c r="A191" t="s">
        <v>917</v>
      </c>
      <c r="B191" t="s">
        <v>918</v>
      </c>
      <c r="C191" t="s">
        <v>204</v>
      </c>
      <c r="D191">
        <v>20</v>
      </c>
      <c r="E191" t="s">
        <v>28</v>
      </c>
      <c r="F191" t="s">
        <v>29</v>
      </c>
      <c r="G191" t="s">
        <v>30</v>
      </c>
      <c r="H191" t="s">
        <v>919</v>
      </c>
      <c r="I191" t="s">
        <v>920</v>
      </c>
      <c r="J191">
        <v>5</v>
      </c>
      <c r="K191" t="s">
        <v>919</v>
      </c>
      <c r="L191" t="s">
        <v>61</v>
      </c>
      <c r="M191">
        <v>13</v>
      </c>
      <c r="N191" t="s">
        <v>34</v>
      </c>
      <c r="O191" t="s">
        <v>35</v>
      </c>
      <c r="Q191" t="s">
        <v>36</v>
      </c>
      <c r="R191">
        <v>35</v>
      </c>
      <c r="S191" t="s">
        <v>37</v>
      </c>
      <c r="T191" t="s">
        <v>69</v>
      </c>
      <c r="U191">
        <v>4</v>
      </c>
      <c r="V191" t="s">
        <v>39</v>
      </c>
      <c r="W191" t="s">
        <v>51</v>
      </c>
      <c r="X191" t="s">
        <v>109</v>
      </c>
      <c r="Y191" t="s">
        <v>42</v>
      </c>
    </row>
    <row r="192" spans="1:25">
      <c r="A192" t="s">
        <v>921</v>
      </c>
      <c r="B192" t="s">
        <v>922</v>
      </c>
      <c r="C192" t="s">
        <v>56</v>
      </c>
      <c r="D192">
        <v>1</v>
      </c>
      <c r="E192" t="s">
        <v>57</v>
      </c>
      <c r="F192" t="s">
        <v>29</v>
      </c>
      <c r="G192" t="s">
        <v>83</v>
      </c>
      <c r="H192" t="s">
        <v>314</v>
      </c>
      <c r="I192" t="s">
        <v>923</v>
      </c>
      <c r="J192">
        <v>3</v>
      </c>
      <c r="K192" t="s">
        <v>314</v>
      </c>
      <c r="L192" t="s">
        <v>924</v>
      </c>
      <c r="M192">
        <v>3</v>
      </c>
      <c r="N192" t="s">
        <v>68</v>
      </c>
      <c r="O192" t="s">
        <v>35</v>
      </c>
      <c r="Q192" t="s">
        <v>36</v>
      </c>
      <c r="R192">
        <v>15</v>
      </c>
      <c r="S192" t="s">
        <v>37</v>
      </c>
      <c r="T192" t="s">
        <v>88</v>
      </c>
      <c r="U192">
        <v>1</v>
      </c>
      <c r="V192" t="s">
        <v>89</v>
      </c>
      <c r="W192" t="s">
        <v>40</v>
      </c>
      <c r="X192" t="s">
        <v>109</v>
      </c>
      <c r="Y192" t="s">
        <v>42</v>
      </c>
    </row>
    <row r="193" spans="1:25">
      <c r="A193" t="s">
        <v>925</v>
      </c>
      <c r="B193" t="s">
        <v>926</v>
      </c>
      <c r="C193" t="s">
        <v>80</v>
      </c>
      <c r="D193">
        <v>47</v>
      </c>
      <c r="E193" t="s">
        <v>149</v>
      </c>
      <c r="F193" t="s">
        <v>29</v>
      </c>
      <c r="G193" t="s">
        <v>30</v>
      </c>
      <c r="H193" t="s">
        <v>151</v>
      </c>
      <c r="I193" t="s">
        <v>927</v>
      </c>
      <c r="J193">
        <v>6</v>
      </c>
      <c r="K193" t="s">
        <v>151</v>
      </c>
      <c r="L193" t="s">
        <v>928</v>
      </c>
      <c r="M193">
        <v>5</v>
      </c>
      <c r="N193" t="s">
        <v>68</v>
      </c>
      <c r="O193" t="s">
        <v>35</v>
      </c>
      <c r="Q193" t="s">
        <v>36</v>
      </c>
      <c r="R193">
        <v>40</v>
      </c>
      <c r="S193" t="s">
        <v>77</v>
      </c>
      <c r="T193" t="s">
        <v>88</v>
      </c>
      <c r="U193">
        <v>5</v>
      </c>
      <c r="V193" t="s">
        <v>39</v>
      </c>
      <c r="W193" t="s">
        <v>165</v>
      </c>
      <c r="X193" t="s">
        <v>52</v>
      </c>
      <c r="Y193" t="s">
        <v>42</v>
      </c>
    </row>
    <row r="194" spans="1:25">
      <c r="A194" t="s">
        <v>929</v>
      </c>
      <c r="B194" t="s">
        <v>930</v>
      </c>
      <c r="C194" t="s">
        <v>204</v>
      </c>
      <c r="D194">
        <v>55</v>
      </c>
      <c r="E194" t="s">
        <v>149</v>
      </c>
      <c r="F194" t="s">
        <v>29</v>
      </c>
      <c r="G194" t="s">
        <v>45</v>
      </c>
      <c r="H194" t="s">
        <v>451</v>
      </c>
      <c r="I194" t="s">
        <v>931</v>
      </c>
      <c r="J194">
        <v>6</v>
      </c>
      <c r="K194" t="s">
        <v>451</v>
      </c>
      <c r="L194" t="s">
        <v>932</v>
      </c>
      <c r="M194">
        <v>10</v>
      </c>
      <c r="N194" t="s">
        <v>34</v>
      </c>
      <c r="O194" t="s">
        <v>35</v>
      </c>
      <c r="Q194" t="s">
        <v>36</v>
      </c>
      <c r="R194">
        <v>40</v>
      </c>
      <c r="S194" t="s">
        <v>37</v>
      </c>
      <c r="T194" t="s">
        <v>88</v>
      </c>
      <c r="U194">
        <v>3</v>
      </c>
      <c r="V194" t="s">
        <v>89</v>
      </c>
      <c r="W194" t="s">
        <v>103</v>
      </c>
      <c r="X194" t="s">
        <v>109</v>
      </c>
      <c r="Y194" t="s">
        <v>42</v>
      </c>
    </row>
    <row r="195" spans="1:25">
      <c r="A195" t="s">
        <v>933</v>
      </c>
      <c r="B195" t="s">
        <v>934</v>
      </c>
      <c r="C195" t="s">
        <v>56</v>
      </c>
      <c r="D195">
        <v>18</v>
      </c>
      <c r="E195" t="s">
        <v>57</v>
      </c>
      <c r="F195" t="s">
        <v>29</v>
      </c>
      <c r="G195" t="s">
        <v>58</v>
      </c>
      <c r="H195" t="s">
        <v>262</v>
      </c>
      <c r="I195" t="s">
        <v>935</v>
      </c>
      <c r="J195">
        <v>3</v>
      </c>
      <c r="K195" t="s">
        <v>262</v>
      </c>
      <c r="L195" t="s">
        <v>936</v>
      </c>
      <c r="M195">
        <v>6</v>
      </c>
      <c r="N195" t="s">
        <v>34</v>
      </c>
      <c r="O195" t="s">
        <v>270</v>
      </c>
      <c r="P195" t="s">
        <v>391</v>
      </c>
      <c r="Q195" t="s">
        <v>36</v>
      </c>
      <c r="R195">
        <v>15</v>
      </c>
      <c r="S195" t="s">
        <v>77</v>
      </c>
      <c r="T195" t="s">
        <v>88</v>
      </c>
      <c r="U195">
        <v>3</v>
      </c>
      <c r="V195" t="s">
        <v>62</v>
      </c>
      <c r="W195" t="s">
        <v>40</v>
      </c>
      <c r="X195" t="s">
        <v>41</v>
      </c>
      <c r="Y195" t="s">
        <v>71</v>
      </c>
    </row>
    <row r="196" spans="1:25">
      <c r="A196" t="s">
        <v>937</v>
      </c>
      <c r="B196" t="s">
        <v>938</v>
      </c>
      <c r="C196" t="s">
        <v>204</v>
      </c>
      <c r="D196">
        <v>69</v>
      </c>
      <c r="E196" t="s">
        <v>57</v>
      </c>
      <c r="F196" t="s">
        <v>29</v>
      </c>
      <c r="G196" t="s">
        <v>83</v>
      </c>
      <c r="H196" t="s">
        <v>723</v>
      </c>
      <c r="I196" t="s">
        <v>939</v>
      </c>
      <c r="J196">
        <v>3</v>
      </c>
      <c r="K196" t="s">
        <v>723</v>
      </c>
      <c r="L196" t="s">
        <v>940</v>
      </c>
      <c r="M196">
        <v>6</v>
      </c>
      <c r="N196" t="s">
        <v>34</v>
      </c>
      <c r="O196" t="s">
        <v>35</v>
      </c>
      <c r="Q196" t="s">
        <v>36</v>
      </c>
      <c r="R196">
        <v>15</v>
      </c>
      <c r="S196" t="s">
        <v>37</v>
      </c>
      <c r="T196" t="s">
        <v>164</v>
      </c>
      <c r="U196">
        <v>3</v>
      </c>
      <c r="V196" t="s">
        <v>39</v>
      </c>
      <c r="W196" t="s">
        <v>51</v>
      </c>
      <c r="X196" t="s">
        <v>52</v>
      </c>
      <c r="Y196" t="s">
        <v>42</v>
      </c>
    </row>
    <row r="197" spans="1:25">
      <c r="A197" t="s">
        <v>941</v>
      </c>
      <c r="B197" t="s">
        <v>942</v>
      </c>
      <c r="C197" t="s">
        <v>80</v>
      </c>
      <c r="D197">
        <v>63</v>
      </c>
      <c r="E197" t="s">
        <v>173</v>
      </c>
      <c r="F197" t="s">
        <v>29</v>
      </c>
      <c r="G197" t="s">
        <v>45</v>
      </c>
      <c r="H197" t="s">
        <v>258</v>
      </c>
      <c r="I197" t="s">
        <v>943</v>
      </c>
      <c r="J197">
        <v>4</v>
      </c>
      <c r="K197" t="s">
        <v>258</v>
      </c>
      <c r="L197" t="s">
        <v>944</v>
      </c>
      <c r="M197">
        <v>4</v>
      </c>
      <c r="N197" t="s">
        <v>68</v>
      </c>
      <c r="O197" t="s">
        <v>35</v>
      </c>
      <c r="Q197" t="s">
        <v>36</v>
      </c>
      <c r="R197">
        <v>25</v>
      </c>
      <c r="S197" t="s">
        <v>37</v>
      </c>
      <c r="T197" t="s">
        <v>69</v>
      </c>
      <c r="U197">
        <v>3</v>
      </c>
      <c r="V197" t="s">
        <v>89</v>
      </c>
      <c r="W197" t="s">
        <v>165</v>
      </c>
      <c r="X197" t="s">
        <v>52</v>
      </c>
      <c r="Y197" t="s">
        <v>53</v>
      </c>
    </row>
    <row r="198" spans="1:25">
      <c r="A198" t="s">
        <v>945</v>
      </c>
      <c r="B198" t="s">
        <v>946</v>
      </c>
      <c r="C198" t="s">
        <v>56</v>
      </c>
      <c r="D198">
        <v>90</v>
      </c>
      <c r="E198" t="s">
        <v>173</v>
      </c>
      <c r="F198" t="s">
        <v>29</v>
      </c>
      <c r="G198" t="s">
        <v>30</v>
      </c>
      <c r="H198" t="s">
        <v>106</v>
      </c>
      <c r="I198" t="s">
        <v>947</v>
      </c>
      <c r="J198">
        <v>4</v>
      </c>
      <c r="K198" t="s">
        <v>106</v>
      </c>
      <c r="L198" t="s">
        <v>948</v>
      </c>
      <c r="M198">
        <v>3</v>
      </c>
      <c r="N198" t="s">
        <v>68</v>
      </c>
      <c r="O198" t="s">
        <v>35</v>
      </c>
      <c r="Q198" t="s">
        <v>132</v>
      </c>
      <c r="R198">
        <v>25</v>
      </c>
      <c r="S198" t="s">
        <v>77</v>
      </c>
      <c r="T198" t="s">
        <v>50</v>
      </c>
      <c r="U198">
        <v>5</v>
      </c>
      <c r="V198" t="s">
        <v>70</v>
      </c>
      <c r="W198" t="s">
        <v>103</v>
      </c>
      <c r="X198" t="s">
        <v>41</v>
      </c>
      <c r="Y198" t="s">
        <v>53</v>
      </c>
    </row>
    <row r="199" spans="1:25">
      <c r="A199" t="s">
        <v>949</v>
      </c>
      <c r="B199" t="s">
        <v>950</v>
      </c>
      <c r="C199" t="s">
        <v>56</v>
      </c>
      <c r="D199">
        <v>81</v>
      </c>
      <c r="E199" t="s">
        <v>92</v>
      </c>
      <c r="F199" t="s">
        <v>29</v>
      </c>
      <c r="G199" t="s">
        <v>93</v>
      </c>
      <c r="H199" t="s">
        <v>951</v>
      </c>
      <c r="I199" t="s">
        <v>196</v>
      </c>
      <c r="J199">
        <v>24</v>
      </c>
      <c r="K199" t="s">
        <v>595</v>
      </c>
      <c r="L199" t="s">
        <v>474</v>
      </c>
      <c r="M199">
        <v>26</v>
      </c>
      <c r="N199" t="s">
        <v>34</v>
      </c>
      <c r="O199" t="s">
        <v>35</v>
      </c>
      <c r="Q199" t="s">
        <v>36</v>
      </c>
      <c r="R199">
        <v>50</v>
      </c>
      <c r="S199" t="s">
        <v>77</v>
      </c>
      <c r="T199" t="s">
        <v>96</v>
      </c>
      <c r="U199">
        <v>3</v>
      </c>
      <c r="V199" t="s">
        <v>70</v>
      </c>
      <c r="W199" t="s">
        <v>103</v>
      </c>
      <c r="X199" t="s">
        <v>52</v>
      </c>
      <c r="Y199" t="s">
        <v>53</v>
      </c>
    </row>
    <row r="200" spans="1:25">
      <c r="A200" t="s">
        <v>63</v>
      </c>
      <c r="B200" t="s">
        <v>952</v>
      </c>
      <c r="C200" t="s">
        <v>80</v>
      </c>
      <c r="D200">
        <v>55</v>
      </c>
      <c r="E200" t="s">
        <v>28</v>
      </c>
      <c r="F200" t="s">
        <v>29</v>
      </c>
      <c r="G200" t="s">
        <v>58</v>
      </c>
      <c r="H200" t="s">
        <v>59</v>
      </c>
      <c r="I200" t="s">
        <v>953</v>
      </c>
      <c r="J200">
        <v>5</v>
      </c>
      <c r="K200" t="s">
        <v>59</v>
      </c>
      <c r="L200" t="s">
        <v>954</v>
      </c>
      <c r="M200">
        <v>6</v>
      </c>
      <c r="N200" t="s">
        <v>34</v>
      </c>
      <c r="O200" t="s">
        <v>35</v>
      </c>
      <c r="Q200" t="s">
        <v>36</v>
      </c>
      <c r="R200">
        <v>35</v>
      </c>
      <c r="S200" t="s">
        <v>77</v>
      </c>
      <c r="T200" t="s">
        <v>50</v>
      </c>
      <c r="U200">
        <v>3</v>
      </c>
      <c r="V200" t="s">
        <v>70</v>
      </c>
      <c r="W200" t="s">
        <v>103</v>
      </c>
      <c r="X200" t="s">
        <v>109</v>
      </c>
      <c r="Y200" t="s">
        <v>71</v>
      </c>
    </row>
    <row r="201" spans="1:25">
      <c r="A201" t="s">
        <v>955</v>
      </c>
      <c r="B201" t="s">
        <v>956</v>
      </c>
      <c r="C201" t="s">
        <v>56</v>
      </c>
      <c r="D201">
        <v>2</v>
      </c>
      <c r="E201" t="s">
        <v>57</v>
      </c>
      <c r="F201" t="s">
        <v>29</v>
      </c>
      <c r="G201" t="s">
        <v>30</v>
      </c>
      <c r="H201" t="s">
        <v>685</v>
      </c>
      <c r="I201" t="s">
        <v>957</v>
      </c>
      <c r="J201">
        <v>3</v>
      </c>
      <c r="K201" t="s">
        <v>685</v>
      </c>
      <c r="L201" t="s">
        <v>958</v>
      </c>
      <c r="M201">
        <v>8</v>
      </c>
      <c r="N201" t="s">
        <v>34</v>
      </c>
      <c r="O201" t="s">
        <v>35</v>
      </c>
      <c r="Q201" t="s">
        <v>36</v>
      </c>
      <c r="R201">
        <v>15</v>
      </c>
      <c r="S201" t="s">
        <v>77</v>
      </c>
      <c r="T201" t="s">
        <v>50</v>
      </c>
      <c r="U201">
        <v>5</v>
      </c>
      <c r="V201" t="s">
        <v>70</v>
      </c>
      <c r="W201" t="s">
        <v>40</v>
      </c>
      <c r="X201" t="s">
        <v>109</v>
      </c>
      <c r="Y201" t="s">
        <v>71</v>
      </c>
    </row>
    <row r="202" spans="1:25">
      <c r="A202" t="s">
        <v>959</v>
      </c>
      <c r="B202" t="s">
        <v>960</v>
      </c>
      <c r="C202" t="s">
        <v>204</v>
      </c>
      <c r="D202">
        <v>73</v>
      </c>
      <c r="E202" t="s">
        <v>28</v>
      </c>
      <c r="F202" t="s">
        <v>29</v>
      </c>
      <c r="G202" t="s">
        <v>83</v>
      </c>
      <c r="H202" t="s">
        <v>95</v>
      </c>
      <c r="I202" t="s">
        <v>961</v>
      </c>
      <c r="J202">
        <v>5</v>
      </c>
      <c r="K202" t="s">
        <v>95</v>
      </c>
      <c r="L202" t="s">
        <v>708</v>
      </c>
      <c r="M202">
        <v>5</v>
      </c>
      <c r="N202" t="s">
        <v>68</v>
      </c>
      <c r="O202" t="s">
        <v>35</v>
      </c>
      <c r="Q202" t="s">
        <v>36</v>
      </c>
      <c r="R202">
        <v>35</v>
      </c>
      <c r="S202" t="s">
        <v>49</v>
      </c>
      <c r="T202" t="s">
        <v>50</v>
      </c>
      <c r="U202">
        <v>3</v>
      </c>
      <c r="V202" t="s">
        <v>39</v>
      </c>
      <c r="W202" t="s">
        <v>40</v>
      </c>
      <c r="X202" t="s">
        <v>52</v>
      </c>
      <c r="Y202" t="s">
        <v>53</v>
      </c>
    </row>
    <row r="203" spans="1:25">
      <c r="A203" t="s">
        <v>962</v>
      </c>
      <c r="B203" t="s">
        <v>963</v>
      </c>
      <c r="C203" t="s">
        <v>27</v>
      </c>
      <c r="D203">
        <v>89</v>
      </c>
      <c r="E203" t="s">
        <v>28</v>
      </c>
      <c r="F203" t="s">
        <v>29</v>
      </c>
      <c r="G203" t="s">
        <v>30</v>
      </c>
      <c r="H203" t="s">
        <v>205</v>
      </c>
      <c r="I203" t="s">
        <v>380</v>
      </c>
      <c r="J203">
        <v>5</v>
      </c>
      <c r="K203" t="s">
        <v>205</v>
      </c>
      <c r="L203" t="s">
        <v>964</v>
      </c>
      <c r="M203">
        <v>4</v>
      </c>
      <c r="N203" t="s">
        <v>68</v>
      </c>
      <c r="O203" t="s">
        <v>35</v>
      </c>
      <c r="Q203" t="s">
        <v>36</v>
      </c>
      <c r="R203">
        <v>35</v>
      </c>
      <c r="S203" t="s">
        <v>37</v>
      </c>
      <c r="T203" t="s">
        <v>88</v>
      </c>
      <c r="U203">
        <v>4</v>
      </c>
      <c r="V203" t="s">
        <v>39</v>
      </c>
      <c r="W203" t="s">
        <v>40</v>
      </c>
      <c r="X203" t="s">
        <v>52</v>
      </c>
      <c r="Y203" t="s">
        <v>53</v>
      </c>
    </row>
    <row r="204" spans="1:25">
      <c r="A204" t="s">
        <v>965</v>
      </c>
      <c r="B204" t="s">
        <v>966</v>
      </c>
      <c r="C204" t="s">
        <v>56</v>
      </c>
      <c r="D204">
        <v>53</v>
      </c>
      <c r="E204" t="s">
        <v>149</v>
      </c>
      <c r="F204" t="s">
        <v>29</v>
      </c>
      <c r="G204" t="s">
        <v>150</v>
      </c>
      <c r="H204" t="s">
        <v>879</v>
      </c>
      <c r="I204" t="s">
        <v>719</v>
      </c>
      <c r="J204">
        <v>6</v>
      </c>
      <c r="K204" t="s">
        <v>879</v>
      </c>
      <c r="L204" t="s">
        <v>456</v>
      </c>
      <c r="M204">
        <v>6</v>
      </c>
      <c r="N204" t="s">
        <v>68</v>
      </c>
      <c r="O204" t="s">
        <v>35</v>
      </c>
      <c r="Q204" t="s">
        <v>36</v>
      </c>
      <c r="R204">
        <v>40</v>
      </c>
      <c r="S204" t="s">
        <v>37</v>
      </c>
      <c r="T204" t="s">
        <v>96</v>
      </c>
      <c r="U204">
        <v>2</v>
      </c>
      <c r="V204" t="s">
        <v>89</v>
      </c>
      <c r="W204" t="s">
        <v>51</v>
      </c>
      <c r="X204" t="s">
        <v>109</v>
      </c>
      <c r="Y204" t="s">
        <v>42</v>
      </c>
    </row>
    <row r="205" spans="1:25">
      <c r="A205" t="s">
        <v>967</v>
      </c>
      <c r="B205" t="s">
        <v>968</v>
      </c>
      <c r="C205" t="s">
        <v>56</v>
      </c>
      <c r="D205">
        <v>70</v>
      </c>
      <c r="E205" t="s">
        <v>28</v>
      </c>
      <c r="F205" t="s">
        <v>29</v>
      </c>
      <c r="G205" t="s">
        <v>83</v>
      </c>
      <c r="H205" t="s">
        <v>130</v>
      </c>
      <c r="I205" t="s">
        <v>969</v>
      </c>
      <c r="J205">
        <v>5</v>
      </c>
      <c r="K205" t="s">
        <v>130</v>
      </c>
      <c r="L205" t="s">
        <v>793</v>
      </c>
      <c r="M205">
        <v>11</v>
      </c>
      <c r="N205" t="s">
        <v>34</v>
      </c>
      <c r="O205" t="s">
        <v>35</v>
      </c>
      <c r="Q205" t="s">
        <v>36</v>
      </c>
      <c r="R205">
        <v>35</v>
      </c>
      <c r="S205" t="s">
        <v>49</v>
      </c>
      <c r="T205" t="s">
        <v>38</v>
      </c>
      <c r="U205">
        <v>2</v>
      </c>
      <c r="V205" t="s">
        <v>89</v>
      </c>
      <c r="W205" t="s">
        <v>165</v>
      </c>
      <c r="X205" t="s">
        <v>109</v>
      </c>
      <c r="Y205" t="s">
        <v>42</v>
      </c>
    </row>
    <row r="206" spans="1:25">
      <c r="A206" t="s">
        <v>970</v>
      </c>
      <c r="B206" t="s">
        <v>971</v>
      </c>
      <c r="C206" t="s">
        <v>27</v>
      </c>
      <c r="D206">
        <v>21</v>
      </c>
      <c r="E206" t="s">
        <v>173</v>
      </c>
      <c r="F206" t="s">
        <v>29</v>
      </c>
      <c r="G206" t="s">
        <v>168</v>
      </c>
      <c r="H206" t="s">
        <v>314</v>
      </c>
      <c r="I206" t="s">
        <v>176</v>
      </c>
      <c r="J206">
        <v>4</v>
      </c>
      <c r="K206" t="s">
        <v>560</v>
      </c>
      <c r="L206" t="s">
        <v>972</v>
      </c>
      <c r="M206">
        <v>8</v>
      </c>
      <c r="N206" t="s">
        <v>34</v>
      </c>
      <c r="O206" t="s">
        <v>35</v>
      </c>
      <c r="Q206" t="s">
        <v>36</v>
      </c>
      <c r="R206">
        <v>25</v>
      </c>
      <c r="S206" t="s">
        <v>49</v>
      </c>
      <c r="T206" t="s">
        <v>38</v>
      </c>
      <c r="U206">
        <v>3</v>
      </c>
      <c r="V206" t="s">
        <v>62</v>
      </c>
      <c r="W206" t="s">
        <v>51</v>
      </c>
      <c r="X206" t="s">
        <v>109</v>
      </c>
      <c r="Y206" t="s">
        <v>71</v>
      </c>
    </row>
    <row r="207" spans="1:25">
      <c r="A207" t="s">
        <v>973</v>
      </c>
      <c r="B207" t="s">
        <v>974</v>
      </c>
      <c r="C207" t="s">
        <v>27</v>
      </c>
      <c r="D207">
        <v>37</v>
      </c>
      <c r="E207" t="s">
        <v>92</v>
      </c>
      <c r="F207" t="s">
        <v>29</v>
      </c>
      <c r="G207" t="s">
        <v>45</v>
      </c>
      <c r="H207" t="s">
        <v>803</v>
      </c>
      <c r="I207" t="s">
        <v>975</v>
      </c>
      <c r="J207">
        <v>24</v>
      </c>
      <c r="K207" t="s">
        <v>222</v>
      </c>
      <c r="L207" t="s">
        <v>976</v>
      </c>
      <c r="M207">
        <v>26</v>
      </c>
      <c r="N207" t="s">
        <v>34</v>
      </c>
      <c r="O207" t="s">
        <v>35</v>
      </c>
      <c r="Q207" t="s">
        <v>36</v>
      </c>
      <c r="R207">
        <v>50</v>
      </c>
      <c r="S207" t="s">
        <v>49</v>
      </c>
      <c r="T207" t="s">
        <v>88</v>
      </c>
      <c r="U207">
        <v>2</v>
      </c>
      <c r="V207" t="s">
        <v>70</v>
      </c>
      <c r="W207" t="s">
        <v>165</v>
      </c>
      <c r="X207" t="s">
        <v>52</v>
      </c>
      <c r="Y207" t="s">
        <v>53</v>
      </c>
    </row>
    <row r="208" spans="1:25">
      <c r="A208" t="s">
        <v>977</v>
      </c>
      <c r="B208" t="s">
        <v>978</v>
      </c>
      <c r="C208" t="s">
        <v>56</v>
      </c>
      <c r="D208">
        <v>17</v>
      </c>
      <c r="E208" t="s">
        <v>173</v>
      </c>
      <c r="F208" t="s">
        <v>29</v>
      </c>
      <c r="G208" t="s">
        <v>93</v>
      </c>
      <c r="H208" t="s">
        <v>979</v>
      </c>
      <c r="I208" t="s">
        <v>980</v>
      </c>
      <c r="J208">
        <v>4</v>
      </c>
      <c r="K208" t="s">
        <v>979</v>
      </c>
      <c r="L208" t="s">
        <v>981</v>
      </c>
      <c r="M208">
        <v>9</v>
      </c>
      <c r="N208" t="s">
        <v>34</v>
      </c>
      <c r="O208" t="s">
        <v>35</v>
      </c>
      <c r="Q208" t="s">
        <v>36</v>
      </c>
      <c r="R208">
        <v>25</v>
      </c>
      <c r="S208" t="s">
        <v>37</v>
      </c>
      <c r="T208" t="s">
        <v>38</v>
      </c>
      <c r="U208">
        <v>5</v>
      </c>
      <c r="V208" t="s">
        <v>70</v>
      </c>
      <c r="W208" t="s">
        <v>51</v>
      </c>
      <c r="X208" t="s">
        <v>52</v>
      </c>
      <c r="Y208" t="s">
        <v>53</v>
      </c>
    </row>
    <row r="209" spans="1:25">
      <c r="A209" t="s">
        <v>982</v>
      </c>
      <c r="B209" t="s">
        <v>983</v>
      </c>
      <c r="C209" t="s">
        <v>56</v>
      </c>
      <c r="D209">
        <v>2</v>
      </c>
      <c r="E209" t="s">
        <v>28</v>
      </c>
      <c r="F209" t="s">
        <v>29</v>
      </c>
      <c r="G209" t="s">
        <v>168</v>
      </c>
      <c r="H209" t="s">
        <v>333</v>
      </c>
      <c r="I209" t="s">
        <v>984</v>
      </c>
      <c r="J209">
        <v>5</v>
      </c>
      <c r="K209" t="s">
        <v>333</v>
      </c>
      <c r="L209" t="s">
        <v>985</v>
      </c>
      <c r="M209">
        <v>4</v>
      </c>
      <c r="N209" t="s">
        <v>68</v>
      </c>
      <c r="O209" t="s">
        <v>35</v>
      </c>
      <c r="Q209" t="s">
        <v>36</v>
      </c>
      <c r="R209">
        <v>35</v>
      </c>
      <c r="S209" t="s">
        <v>37</v>
      </c>
      <c r="T209" t="s">
        <v>69</v>
      </c>
      <c r="U209">
        <v>2</v>
      </c>
      <c r="V209" t="s">
        <v>62</v>
      </c>
      <c r="W209" t="s">
        <v>40</v>
      </c>
      <c r="X209" t="s">
        <v>109</v>
      </c>
      <c r="Y209" t="s">
        <v>42</v>
      </c>
    </row>
    <row r="210" spans="1:25">
      <c r="A210" t="s">
        <v>986</v>
      </c>
      <c r="B210" t="s">
        <v>987</v>
      </c>
      <c r="C210" t="s">
        <v>204</v>
      </c>
      <c r="D210">
        <v>40</v>
      </c>
      <c r="E210" t="s">
        <v>173</v>
      </c>
      <c r="F210" t="s">
        <v>29</v>
      </c>
      <c r="G210" t="s">
        <v>168</v>
      </c>
      <c r="H210" t="s">
        <v>988</v>
      </c>
      <c r="I210" t="s">
        <v>989</v>
      </c>
      <c r="J210">
        <v>4</v>
      </c>
      <c r="K210" t="s">
        <v>988</v>
      </c>
      <c r="L210" t="s">
        <v>196</v>
      </c>
      <c r="M210">
        <v>6</v>
      </c>
      <c r="N210" t="s">
        <v>34</v>
      </c>
      <c r="O210" t="s">
        <v>35</v>
      </c>
      <c r="Q210" t="s">
        <v>36</v>
      </c>
      <c r="R210">
        <v>25</v>
      </c>
      <c r="S210" t="s">
        <v>37</v>
      </c>
      <c r="T210" t="s">
        <v>50</v>
      </c>
      <c r="U210">
        <v>1</v>
      </c>
      <c r="V210" t="s">
        <v>89</v>
      </c>
      <c r="W210" t="s">
        <v>51</v>
      </c>
      <c r="X210" t="s">
        <v>41</v>
      </c>
      <c r="Y210" t="s">
        <v>42</v>
      </c>
    </row>
    <row r="211" spans="1:25">
      <c r="A211" t="s">
        <v>990</v>
      </c>
      <c r="B211" t="s">
        <v>991</v>
      </c>
      <c r="C211" t="s">
        <v>27</v>
      </c>
      <c r="D211">
        <v>85</v>
      </c>
      <c r="E211" t="s">
        <v>149</v>
      </c>
      <c r="F211" t="s">
        <v>29</v>
      </c>
      <c r="G211" t="s">
        <v>30</v>
      </c>
      <c r="H211" t="s">
        <v>128</v>
      </c>
      <c r="I211" t="s">
        <v>992</v>
      </c>
      <c r="J211">
        <v>6</v>
      </c>
      <c r="K211" t="s">
        <v>128</v>
      </c>
      <c r="L211" t="s">
        <v>993</v>
      </c>
      <c r="M211">
        <v>9</v>
      </c>
      <c r="N211" t="s">
        <v>34</v>
      </c>
      <c r="O211" t="s">
        <v>35</v>
      </c>
      <c r="Q211" t="s">
        <v>36</v>
      </c>
      <c r="R211">
        <v>40</v>
      </c>
      <c r="S211" t="s">
        <v>49</v>
      </c>
      <c r="T211" t="s">
        <v>38</v>
      </c>
      <c r="U211">
        <v>5</v>
      </c>
      <c r="V211" t="s">
        <v>39</v>
      </c>
      <c r="W211" t="s">
        <v>165</v>
      </c>
      <c r="X211" t="s">
        <v>109</v>
      </c>
      <c r="Y211" t="s">
        <v>53</v>
      </c>
    </row>
    <row r="212" spans="1:25">
      <c r="A212" t="s">
        <v>994</v>
      </c>
      <c r="B212" t="s">
        <v>995</v>
      </c>
      <c r="C212" t="s">
        <v>204</v>
      </c>
      <c r="D212">
        <v>34</v>
      </c>
      <c r="E212" t="s">
        <v>57</v>
      </c>
      <c r="F212" t="s">
        <v>29</v>
      </c>
      <c r="G212" t="s">
        <v>150</v>
      </c>
      <c r="H212" t="s">
        <v>996</v>
      </c>
      <c r="I212" t="s">
        <v>997</v>
      </c>
      <c r="J212">
        <v>3</v>
      </c>
      <c r="K212" t="s">
        <v>996</v>
      </c>
      <c r="L212" t="s">
        <v>998</v>
      </c>
      <c r="M212">
        <v>3</v>
      </c>
      <c r="N212" t="s">
        <v>68</v>
      </c>
      <c r="O212" t="s">
        <v>35</v>
      </c>
      <c r="Q212" t="s">
        <v>36</v>
      </c>
      <c r="R212">
        <v>15</v>
      </c>
      <c r="S212" t="s">
        <v>37</v>
      </c>
      <c r="T212" t="s">
        <v>50</v>
      </c>
      <c r="U212">
        <v>2</v>
      </c>
      <c r="V212" t="s">
        <v>70</v>
      </c>
      <c r="W212" t="s">
        <v>165</v>
      </c>
      <c r="X212" t="s">
        <v>41</v>
      </c>
      <c r="Y212" t="s">
        <v>71</v>
      </c>
    </row>
    <row r="213" spans="1:25">
      <c r="A213" t="s">
        <v>999</v>
      </c>
      <c r="B213" t="s">
        <v>1000</v>
      </c>
      <c r="C213" t="s">
        <v>27</v>
      </c>
      <c r="D213">
        <v>64</v>
      </c>
      <c r="E213" t="s">
        <v>149</v>
      </c>
      <c r="F213" t="s">
        <v>29</v>
      </c>
      <c r="G213" t="s">
        <v>93</v>
      </c>
      <c r="H213" t="s">
        <v>199</v>
      </c>
      <c r="I213" t="s">
        <v>1001</v>
      </c>
      <c r="J213">
        <v>6</v>
      </c>
      <c r="K213" t="s">
        <v>194</v>
      </c>
      <c r="L213" t="s">
        <v>1002</v>
      </c>
      <c r="M213">
        <v>9</v>
      </c>
      <c r="N213" t="s">
        <v>34</v>
      </c>
      <c r="O213" t="s">
        <v>35</v>
      </c>
      <c r="Q213" t="s">
        <v>36</v>
      </c>
      <c r="R213">
        <v>40</v>
      </c>
      <c r="S213" t="s">
        <v>37</v>
      </c>
      <c r="T213" t="s">
        <v>50</v>
      </c>
      <c r="U213">
        <v>2</v>
      </c>
      <c r="V213" t="s">
        <v>39</v>
      </c>
      <c r="W213" t="s">
        <v>40</v>
      </c>
      <c r="X213" t="s">
        <v>109</v>
      </c>
      <c r="Y213" t="s">
        <v>71</v>
      </c>
    </row>
    <row r="214" spans="1:25">
      <c r="A214" t="s">
        <v>1003</v>
      </c>
      <c r="B214" t="s">
        <v>1004</v>
      </c>
      <c r="C214" t="s">
        <v>27</v>
      </c>
      <c r="D214">
        <v>11</v>
      </c>
      <c r="E214" t="s">
        <v>173</v>
      </c>
      <c r="F214" t="s">
        <v>29</v>
      </c>
      <c r="G214" t="s">
        <v>168</v>
      </c>
      <c r="H214" t="s">
        <v>65</v>
      </c>
      <c r="I214" t="s">
        <v>656</v>
      </c>
      <c r="J214">
        <v>4</v>
      </c>
      <c r="K214" t="s">
        <v>680</v>
      </c>
      <c r="L214" t="s">
        <v>1005</v>
      </c>
      <c r="M214">
        <v>10</v>
      </c>
      <c r="N214" t="s">
        <v>34</v>
      </c>
      <c r="O214" t="s">
        <v>35</v>
      </c>
      <c r="Q214" t="s">
        <v>36</v>
      </c>
      <c r="R214">
        <v>25</v>
      </c>
      <c r="S214" t="s">
        <v>49</v>
      </c>
      <c r="T214" t="s">
        <v>96</v>
      </c>
      <c r="U214">
        <v>3</v>
      </c>
      <c r="V214" t="s">
        <v>39</v>
      </c>
      <c r="W214" t="s">
        <v>103</v>
      </c>
      <c r="X214" t="s">
        <v>41</v>
      </c>
      <c r="Y214" t="s">
        <v>71</v>
      </c>
    </row>
    <row r="215" spans="1:25">
      <c r="A215" t="s">
        <v>1006</v>
      </c>
      <c r="B215" t="s">
        <v>1007</v>
      </c>
      <c r="C215" t="s">
        <v>204</v>
      </c>
      <c r="D215">
        <v>37</v>
      </c>
      <c r="E215" t="s">
        <v>81</v>
      </c>
      <c r="F215" t="s">
        <v>82</v>
      </c>
      <c r="G215" t="s">
        <v>58</v>
      </c>
      <c r="H215" t="s">
        <v>342</v>
      </c>
      <c r="I215" t="s">
        <v>252</v>
      </c>
      <c r="J215">
        <v>8</v>
      </c>
      <c r="K215" t="s">
        <v>344</v>
      </c>
      <c r="L215" t="s">
        <v>1008</v>
      </c>
      <c r="M215">
        <v>15</v>
      </c>
      <c r="N215" t="s">
        <v>34</v>
      </c>
      <c r="O215" t="s">
        <v>35</v>
      </c>
      <c r="Q215" t="s">
        <v>36</v>
      </c>
      <c r="R215">
        <v>20</v>
      </c>
      <c r="S215" t="s">
        <v>49</v>
      </c>
      <c r="T215" t="s">
        <v>88</v>
      </c>
      <c r="U215">
        <v>3</v>
      </c>
      <c r="V215" t="s">
        <v>70</v>
      </c>
      <c r="W215" t="s">
        <v>165</v>
      </c>
      <c r="X215" t="s">
        <v>41</v>
      </c>
      <c r="Y215" t="s">
        <v>53</v>
      </c>
    </row>
    <row r="216" spans="1:25">
      <c r="A216" t="s">
        <v>1009</v>
      </c>
      <c r="B216" t="s">
        <v>1010</v>
      </c>
      <c r="C216" t="s">
        <v>27</v>
      </c>
      <c r="D216">
        <v>67</v>
      </c>
      <c r="E216" t="s">
        <v>81</v>
      </c>
      <c r="F216" t="s">
        <v>82</v>
      </c>
      <c r="G216" t="s">
        <v>58</v>
      </c>
      <c r="H216" t="s">
        <v>421</v>
      </c>
      <c r="I216" t="s">
        <v>1011</v>
      </c>
      <c r="J216">
        <v>8</v>
      </c>
      <c r="K216" t="s">
        <v>106</v>
      </c>
      <c r="L216" t="s">
        <v>1012</v>
      </c>
      <c r="M216">
        <v>15</v>
      </c>
      <c r="N216" t="s">
        <v>34</v>
      </c>
      <c r="O216" t="s">
        <v>35</v>
      </c>
      <c r="Q216" t="s">
        <v>36</v>
      </c>
      <c r="R216">
        <v>20</v>
      </c>
      <c r="S216" t="s">
        <v>77</v>
      </c>
      <c r="T216" t="s">
        <v>69</v>
      </c>
      <c r="U216">
        <v>4</v>
      </c>
      <c r="V216" t="s">
        <v>70</v>
      </c>
      <c r="W216" t="s">
        <v>40</v>
      </c>
      <c r="X216" t="s">
        <v>52</v>
      </c>
      <c r="Y216" t="s">
        <v>53</v>
      </c>
    </row>
    <row r="217" spans="1:25">
      <c r="A217" t="s">
        <v>1013</v>
      </c>
      <c r="B217" t="s">
        <v>1014</v>
      </c>
      <c r="C217" t="s">
        <v>204</v>
      </c>
      <c r="D217">
        <v>63</v>
      </c>
      <c r="E217" t="s">
        <v>173</v>
      </c>
      <c r="F217" t="s">
        <v>29</v>
      </c>
      <c r="G217" t="s">
        <v>58</v>
      </c>
      <c r="H217" t="s">
        <v>544</v>
      </c>
      <c r="I217" t="s">
        <v>1015</v>
      </c>
      <c r="J217">
        <v>4</v>
      </c>
      <c r="K217" t="s">
        <v>544</v>
      </c>
      <c r="L217" t="s">
        <v>225</v>
      </c>
      <c r="M217">
        <v>6</v>
      </c>
      <c r="N217" t="s">
        <v>34</v>
      </c>
      <c r="O217" t="s">
        <v>35</v>
      </c>
      <c r="Q217" t="s">
        <v>36</v>
      </c>
      <c r="R217">
        <v>25</v>
      </c>
      <c r="S217" t="s">
        <v>37</v>
      </c>
      <c r="T217" t="s">
        <v>88</v>
      </c>
      <c r="U217">
        <v>5</v>
      </c>
      <c r="V217" t="s">
        <v>70</v>
      </c>
      <c r="W217" t="s">
        <v>165</v>
      </c>
      <c r="X217" t="s">
        <v>52</v>
      </c>
      <c r="Y217" t="s">
        <v>53</v>
      </c>
    </row>
    <row r="218" spans="1:25">
      <c r="A218" t="s">
        <v>1016</v>
      </c>
      <c r="B218" t="s">
        <v>1017</v>
      </c>
      <c r="C218" t="s">
        <v>80</v>
      </c>
      <c r="D218">
        <v>35</v>
      </c>
      <c r="E218" t="s">
        <v>173</v>
      </c>
      <c r="F218" t="s">
        <v>29</v>
      </c>
      <c r="G218" t="s">
        <v>93</v>
      </c>
      <c r="H218" t="s">
        <v>707</v>
      </c>
      <c r="I218" t="s">
        <v>1018</v>
      </c>
      <c r="J218">
        <v>4</v>
      </c>
      <c r="K218" t="s">
        <v>1019</v>
      </c>
      <c r="L218" t="s">
        <v>1020</v>
      </c>
      <c r="M218">
        <v>11</v>
      </c>
      <c r="N218" t="s">
        <v>34</v>
      </c>
      <c r="O218" t="s">
        <v>270</v>
      </c>
      <c r="P218" t="s">
        <v>620</v>
      </c>
      <c r="Q218" t="s">
        <v>36</v>
      </c>
      <c r="R218">
        <v>25</v>
      </c>
      <c r="S218" t="s">
        <v>49</v>
      </c>
      <c r="T218" t="s">
        <v>69</v>
      </c>
      <c r="U218">
        <v>1</v>
      </c>
      <c r="V218" t="s">
        <v>39</v>
      </c>
      <c r="W218" t="s">
        <v>103</v>
      </c>
      <c r="X218" t="s">
        <v>109</v>
      </c>
      <c r="Y218" t="s">
        <v>71</v>
      </c>
    </row>
    <row r="219" spans="1:25">
      <c r="A219" t="s">
        <v>1021</v>
      </c>
      <c r="B219" t="s">
        <v>1022</v>
      </c>
      <c r="C219" t="s">
        <v>80</v>
      </c>
      <c r="D219">
        <v>71</v>
      </c>
      <c r="E219" t="s">
        <v>28</v>
      </c>
      <c r="F219" t="s">
        <v>29</v>
      </c>
      <c r="G219" t="s">
        <v>58</v>
      </c>
      <c r="H219" t="s">
        <v>262</v>
      </c>
      <c r="I219" t="s">
        <v>1023</v>
      </c>
      <c r="J219">
        <v>5</v>
      </c>
      <c r="K219" t="s">
        <v>262</v>
      </c>
      <c r="L219" t="s">
        <v>1024</v>
      </c>
      <c r="M219">
        <v>10</v>
      </c>
      <c r="N219" t="s">
        <v>34</v>
      </c>
      <c r="O219" t="s">
        <v>35</v>
      </c>
      <c r="Q219" t="s">
        <v>36</v>
      </c>
      <c r="R219">
        <v>35</v>
      </c>
      <c r="S219" t="s">
        <v>37</v>
      </c>
      <c r="T219" t="s">
        <v>69</v>
      </c>
      <c r="U219">
        <v>2</v>
      </c>
      <c r="V219" t="s">
        <v>39</v>
      </c>
      <c r="W219" t="s">
        <v>165</v>
      </c>
      <c r="X219" t="s">
        <v>109</v>
      </c>
      <c r="Y219" t="s">
        <v>71</v>
      </c>
    </row>
    <row r="220" spans="1:25">
      <c r="A220" t="s">
        <v>1025</v>
      </c>
      <c r="B220" t="s">
        <v>1026</v>
      </c>
      <c r="C220" t="s">
        <v>56</v>
      </c>
      <c r="D220">
        <v>67</v>
      </c>
      <c r="E220" t="s">
        <v>149</v>
      </c>
      <c r="F220" t="s">
        <v>29</v>
      </c>
      <c r="G220" t="s">
        <v>83</v>
      </c>
      <c r="H220" t="s">
        <v>1027</v>
      </c>
      <c r="I220" t="s">
        <v>438</v>
      </c>
      <c r="J220">
        <v>6</v>
      </c>
      <c r="K220" t="s">
        <v>1027</v>
      </c>
      <c r="L220" t="s">
        <v>1028</v>
      </c>
      <c r="M220">
        <v>9</v>
      </c>
      <c r="N220" t="s">
        <v>34</v>
      </c>
      <c r="O220" t="s">
        <v>35</v>
      </c>
      <c r="Q220" t="s">
        <v>36</v>
      </c>
      <c r="R220">
        <v>40</v>
      </c>
      <c r="S220" t="s">
        <v>37</v>
      </c>
      <c r="T220" t="s">
        <v>38</v>
      </c>
      <c r="U220">
        <v>3</v>
      </c>
      <c r="V220" t="s">
        <v>70</v>
      </c>
      <c r="W220" t="s">
        <v>40</v>
      </c>
      <c r="X220" t="s">
        <v>52</v>
      </c>
      <c r="Y220" t="s">
        <v>42</v>
      </c>
    </row>
    <row r="221" spans="1:25">
      <c r="A221" t="s">
        <v>1029</v>
      </c>
      <c r="B221" t="s">
        <v>1030</v>
      </c>
      <c r="C221" t="s">
        <v>56</v>
      </c>
      <c r="D221">
        <v>76</v>
      </c>
      <c r="E221" t="s">
        <v>149</v>
      </c>
      <c r="F221" t="s">
        <v>29</v>
      </c>
      <c r="G221" t="s">
        <v>93</v>
      </c>
      <c r="H221" t="s">
        <v>59</v>
      </c>
      <c r="I221" t="s">
        <v>343</v>
      </c>
      <c r="J221">
        <v>6</v>
      </c>
      <c r="K221" t="s">
        <v>59</v>
      </c>
      <c r="L221" t="s">
        <v>1031</v>
      </c>
      <c r="M221">
        <v>8</v>
      </c>
      <c r="N221" t="s">
        <v>34</v>
      </c>
      <c r="O221" t="s">
        <v>35</v>
      </c>
      <c r="Q221" t="s">
        <v>36</v>
      </c>
      <c r="R221">
        <v>40</v>
      </c>
      <c r="S221" t="s">
        <v>49</v>
      </c>
      <c r="T221" t="s">
        <v>38</v>
      </c>
      <c r="U221">
        <v>1</v>
      </c>
      <c r="V221" t="s">
        <v>62</v>
      </c>
      <c r="W221" t="s">
        <v>103</v>
      </c>
      <c r="X221" t="s">
        <v>109</v>
      </c>
      <c r="Y221" t="s">
        <v>53</v>
      </c>
    </row>
    <row r="222" spans="1:25">
      <c r="A222" t="s">
        <v>1032</v>
      </c>
      <c r="B222" t="s">
        <v>1033</v>
      </c>
      <c r="C222" t="s">
        <v>27</v>
      </c>
      <c r="D222">
        <v>49</v>
      </c>
      <c r="E222" t="s">
        <v>57</v>
      </c>
      <c r="F222" t="s">
        <v>29</v>
      </c>
      <c r="G222" t="s">
        <v>168</v>
      </c>
      <c r="H222" t="s">
        <v>211</v>
      </c>
      <c r="I222" t="s">
        <v>763</v>
      </c>
      <c r="J222">
        <v>3</v>
      </c>
      <c r="K222" t="s">
        <v>211</v>
      </c>
      <c r="L222" t="s">
        <v>901</v>
      </c>
      <c r="M222">
        <v>3</v>
      </c>
      <c r="N222" t="s">
        <v>68</v>
      </c>
      <c r="O222" t="s">
        <v>35</v>
      </c>
      <c r="Q222" t="s">
        <v>36</v>
      </c>
      <c r="R222">
        <v>15</v>
      </c>
      <c r="S222" t="s">
        <v>77</v>
      </c>
      <c r="T222" t="s">
        <v>38</v>
      </c>
      <c r="U222">
        <v>4</v>
      </c>
      <c r="V222" t="s">
        <v>70</v>
      </c>
      <c r="W222" t="s">
        <v>51</v>
      </c>
      <c r="X222" t="s">
        <v>52</v>
      </c>
      <c r="Y222" t="s">
        <v>42</v>
      </c>
    </row>
    <row r="223" spans="1:25">
      <c r="A223" t="s">
        <v>1034</v>
      </c>
      <c r="B223" t="s">
        <v>1035</v>
      </c>
      <c r="C223" t="s">
        <v>80</v>
      </c>
      <c r="D223">
        <v>70</v>
      </c>
      <c r="E223" t="s">
        <v>149</v>
      </c>
      <c r="F223" t="s">
        <v>29</v>
      </c>
      <c r="G223" t="s">
        <v>93</v>
      </c>
      <c r="H223" t="s">
        <v>784</v>
      </c>
      <c r="I223" t="s">
        <v>1036</v>
      </c>
      <c r="J223">
        <v>6</v>
      </c>
      <c r="K223" t="s">
        <v>784</v>
      </c>
      <c r="L223" t="s">
        <v>1037</v>
      </c>
      <c r="M223">
        <v>5</v>
      </c>
      <c r="N223" t="s">
        <v>68</v>
      </c>
      <c r="O223" t="s">
        <v>35</v>
      </c>
      <c r="Q223" t="s">
        <v>36</v>
      </c>
      <c r="R223">
        <v>40</v>
      </c>
      <c r="S223" t="s">
        <v>77</v>
      </c>
      <c r="T223" t="s">
        <v>69</v>
      </c>
      <c r="U223">
        <v>3</v>
      </c>
      <c r="V223" t="s">
        <v>89</v>
      </c>
      <c r="W223" t="s">
        <v>51</v>
      </c>
      <c r="X223" t="s">
        <v>41</v>
      </c>
      <c r="Y223" t="s">
        <v>53</v>
      </c>
    </row>
    <row r="224" spans="1:25">
      <c r="A224" t="s">
        <v>1038</v>
      </c>
      <c r="B224" t="s">
        <v>1039</v>
      </c>
      <c r="C224" t="s">
        <v>80</v>
      </c>
      <c r="D224">
        <v>77</v>
      </c>
      <c r="E224" t="s">
        <v>149</v>
      </c>
      <c r="F224" t="s">
        <v>29</v>
      </c>
      <c r="G224" t="s">
        <v>30</v>
      </c>
      <c r="H224" t="s">
        <v>128</v>
      </c>
      <c r="I224" t="s">
        <v>824</v>
      </c>
      <c r="J224">
        <v>6</v>
      </c>
      <c r="K224" t="s">
        <v>128</v>
      </c>
      <c r="L224" t="s">
        <v>1040</v>
      </c>
      <c r="M224">
        <v>6</v>
      </c>
      <c r="N224" t="s">
        <v>68</v>
      </c>
      <c r="O224" t="s">
        <v>35</v>
      </c>
      <c r="Q224" t="s">
        <v>36</v>
      </c>
      <c r="R224">
        <v>40</v>
      </c>
      <c r="S224" t="s">
        <v>49</v>
      </c>
      <c r="T224" t="s">
        <v>88</v>
      </c>
      <c r="U224">
        <v>3</v>
      </c>
      <c r="V224" t="s">
        <v>89</v>
      </c>
      <c r="W224" t="s">
        <v>40</v>
      </c>
      <c r="X224" t="s">
        <v>52</v>
      </c>
      <c r="Y224" t="s">
        <v>42</v>
      </c>
    </row>
    <row r="225" spans="1:25">
      <c r="A225" t="s">
        <v>1041</v>
      </c>
      <c r="B225" t="s">
        <v>1042</v>
      </c>
      <c r="C225" t="s">
        <v>204</v>
      </c>
      <c r="D225">
        <v>69</v>
      </c>
      <c r="E225" t="s">
        <v>92</v>
      </c>
      <c r="F225" t="s">
        <v>29</v>
      </c>
      <c r="G225" t="s">
        <v>168</v>
      </c>
      <c r="H225" t="s">
        <v>262</v>
      </c>
      <c r="I225" t="s">
        <v>1043</v>
      </c>
      <c r="J225">
        <v>24</v>
      </c>
      <c r="K225" t="s">
        <v>333</v>
      </c>
      <c r="L225" t="s">
        <v>1044</v>
      </c>
      <c r="M225">
        <v>27</v>
      </c>
      <c r="N225" t="s">
        <v>34</v>
      </c>
      <c r="O225" t="s">
        <v>35</v>
      </c>
      <c r="Q225" t="s">
        <v>36</v>
      </c>
      <c r="R225">
        <v>50</v>
      </c>
      <c r="S225" t="s">
        <v>77</v>
      </c>
      <c r="T225" t="s">
        <v>88</v>
      </c>
      <c r="U225">
        <v>2</v>
      </c>
      <c r="V225" t="s">
        <v>89</v>
      </c>
      <c r="W225" t="s">
        <v>40</v>
      </c>
      <c r="X225" t="s">
        <v>109</v>
      </c>
      <c r="Y225" t="s">
        <v>42</v>
      </c>
    </row>
    <row r="226" spans="1:25">
      <c r="A226" t="s">
        <v>1045</v>
      </c>
      <c r="B226" t="s">
        <v>1046</v>
      </c>
      <c r="C226" t="s">
        <v>80</v>
      </c>
      <c r="D226">
        <v>56</v>
      </c>
      <c r="E226" t="s">
        <v>92</v>
      </c>
      <c r="F226" t="s">
        <v>29</v>
      </c>
      <c r="G226" t="s">
        <v>93</v>
      </c>
      <c r="H226" t="s">
        <v>114</v>
      </c>
      <c r="I226" t="s">
        <v>1047</v>
      </c>
      <c r="J226">
        <v>24</v>
      </c>
      <c r="K226" t="s">
        <v>258</v>
      </c>
      <c r="L226" t="s">
        <v>675</v>
      </c>
      <c r="M226">
        <v>27</v>
      </c>
      <c r="N226" t="s">
        <v>34</v>
      </c>
      <c r="O226" t="s">
        <v>35</v>
      </c>
      <c r="Q226" t="s">
        <v>36</v>
      </c>
      <c r="R226">
        <v>50</v>
      </c>
      <c r="S226" t="s">
        <v>49</v>
      </c>
      <c r="T226" t="s">
        <v>50</v>
      </c>
      <c r="U226">
        <v>5</v>
      </c>
      <c r="V226" t="s">
        <v>62</v>
      </c>
      <c r="W226" t="s">
        <v>103</v>
      </c>
      <c r="X226" t="s">
        <v>52</v>
      </c>
      <c r="Y226" t="s">
        <v>53</v>
      </c>
    </row>
    <row r="227" spans="1:25">
      <c r="A227" t="s">
        <v>1048</v>
      </c>
      <c r="B227" t="s">
        <v>1049</v>
      </c>
      <c r="C227" t="s">
        <v>56</v>
      </c>
      <c r="D227">
        <v>82</v>
      </c>
      <c r="E227" t="s">
        <v>173</v>
      </c>
      <c r="F227" t="s">
        <v>29</v>
      </c>
      <c r="G227" t="s">
        <v>150</v>
      </c>
      <c r="H227" t="s">
        <v>31</v>
      </c>
      <c r="I227" t="s">
        <v>1015</v>
      </c>
      <c r="J227">
        <v>4</v>
      </c>
      <c r="K227" t="s">
        <v>31</v>
      </c>
      <c r="L227" t="s">
        <v>1050</v>
      </c>
      <c r="M227">
        <v>5</v>
      </c>
      <c r="N227" t="s">
        <v>34</v>
      </c>
      <c r="O227" t="s">
        <v>35</v>
      </c>
      <c r="Q227" t="s">
        <v>36</v>
      </c>
      <c r="R227">
        <v>25</v>
      </c>
      <c r="S227" t="s">
        <v>49</v>
      </c>
      <c r="T227" t="s">
        <v>96</v>
      </c>
      <c r="U227">
        <v>5</v>
      </c>
      <c r="V227" t="s">
        <v>89</v>
      </c>
      <c r="W227" t="s">
        <v>165</v>
      </c>
      <c r="X227" t="s">
        <v>41</v>
      </c>
      <c r="Y227" t="s">
        <v>71</v>
      </c>
    </row>
    <row r="228" spans="1:25">
      <c r="A228" t="s">
        <v>1051</v>
      </c>
      <c r="B228" t="s">
        <v>1052</v>
      </c>
      <c r="C228" t="s">
        <v>80</v>
      </c>
      <c r="D228">
        <v>18</v>
      </c>
      <c r="E228" t="s">
        <v>81</v>
      </c>
      <c r="F228" t="s">
        <v>82</v>
      </c>
      <c r="G228" t="s">
        <v>83</v>
      </c>
      <c r="H228" t="s">
        <v>1053</v>
      </c>
      <c r="I228" t="s">
        <v>349</v>
      </c>
      <c r="J228">
        <v>8</v>
      </c>
      <c r="K228" t="s">
        <v>1053</v>
      </c>
      <c r="L228" t="s">
        <v>350</v>
      </c>
      <c r="M228">
        <v>14</v>
      </c>
      <c r="N228" t="s">
        <v>34</v>
      </c>
      <c r="O228" t="s">
        <v>35</v>
      </c>
      <c r="Q228" t="s">
        <v>36</v>
      </c>
      <c r="R228">
        <v>20</v>
      </c>
      <c r="S228" t="s">
        <v>49</v>
      </c>
      <c r="T228" t="s">
        <v>38</v>
      </c>
      <c r="U228">
        <v>3</v>
      </c>
      <c r="V228" t="s">
        <v>39</v>
      </c>
      <c r="W228" t="s">
        <v>165</v>
      </c>
      <c r="X228" t="s">
        <v>41</v>
      </c>
      <c r="Y228" t="s">
        <v>53</v>
      </c>
    </row>
    <row r="229" spans="1:25">
      <c r="A229" t="s">
        <v>1054</v>
      </c>
      <c r="B229" t="s">
        <v>1055</v>
      </c>
      <c r="C229" t="s">
        <v>27</v>
      </c>
      <c r="D229">
        <v>60</v>
      </c>
      <c r="E229" t="s">
        <v>57</v>
      </c>
      <c r="F229" t="s">
        <v>29</v>
      </c>
      <c r="G229" t="s">
        <v>58</v>
      </c>
      <c r="H229" t="s">
        <v>542</v>
      </c>
      <c r="I229" t="s">
        <v>1056</v>
      </c>
      <c r="J229">
        <v>3</v>
      </c>
      <c r="K229" t="s">
        <v>542</v>
      </c>
      <c r="L229" t="s">
        <v>1024</v>
      </c>
      <c r="M229">
        <v>5</v>
      </c>
      <c r="N229" t="s">
        <v>34</v>
      </c>
      <c r="O229" t="s">
        <v>35</v>
      </c>
      <c r="Q229" t="s">
        <v>36</v>
      </c>
      <c r="R229">
        <v>15</v>
      </c>
      <c r="S229" t="s">
        <v>49</v>
      </c>
      <c r="T229" t="s">
        <v>50</v>
      </c>
      <c r="U229">
        <v>4</v>
      </c>
      <c r="V229" t="s">
        <v>70</v>
      </c>
      <c r="W229" t="s">
        <v>40</v>
      </c>
      <c r="X229" t="s">
        <v>41</v>
      </c>
      <c r="Y229" t="s">
        <v>71</v>
      </c>
    </row>
    <row r="230" spans="1:25">
      <c r="A230" t="s">
        <v>1057</v>
      </c>
      <c r="B230" t="s">
        <v>1058</v>
      </c>
      <c r="C230" t="s">
        <v>204</v>
      </c>
      <c r="D230">
        <v>3</v>
      </c>
      <c r="E230" t="s">
        <v>173</v>
      </c>
      <c r="F230" t="s">
        <v>29</v>
      </c>
      <c r="G230" t="s">
        <v>168</v>
      </c>
      <c r="H230" t="s">
        <v>513</v>
      </c>
      <c r="I230" t="s">
        <v>1059</v>
      </c>
      <c r="J230">
        <v>4</v>
      </c>
      <c r="K230" t="s">
        <v>513</v>
      </c>
      <c r="L230" t="s">
        <v>1060</v>
      </c>
      <c r="M230">
        <v>11</v>
      </c>
      <c r="N230" t="s">
        <v>34</v>
      </c>
      <c r="O230" t="s">
        <v>35</v>
      </c>
      <c r="Q230" t="s">
        <v>132</v>
      </c>
      <c r="R230">
        <v>25</v>
      </c>
      <c r="S230" t="s">
        <v>77</v>
      </c>
      <c r="T230" t="s">
        <v>50</v>
      </c>
      <c r="U230">
        <v>3</v>
      </c>
      <c r="V230" t="s">
        <v>70</v>
      </c>
      <c r="W230" t="s">
        <v>103</v>
      </c>
      <c r="X230" t="s">
        <v>52</v>
      </c>
      <c r="Y230" t="s">
        <v>42</v>
      </c>
    </row>
    <row r="231" spans="1:25">
      <c r="A231" t="s">
        <v>1061</v>
      </c>
      <c r="B231" t="s">
        <v>1062</v>
      </c>
      <c r="C231" t="s">
        <v>80</v>
      </c>
      <c r="D231">
        <v>64</v>
      </c>
      <c r="E231" t="s">
        <v>92</v>
      </c>
      <c r="F231" t="s">
        <v>29</v>
      </c>
      <c r="G231" t="s">
        <v>93</v>
      </c>
      <c r="H231" t="s">
        <v>344</v>
      </c>
      <c r="I231" t="s">
        <v>1008</v>
      </c>
      <c r="J231">
        <v>24</v>
      </c>
      <c r="K231" t="s">
        <v>446</v>
      </c>
      <c r="L231" t="s">
        <v>1063</v>
      </c>
      <c r="M231">
        <v>26</v>
      </c>
      <c r="N231" t="s">
        <v>34</v>
      </c>
      <c r="O231" t="s">
        <v>35</v>
      </c>
      <c r="Q231" t="s">
        <v>36</v>
      </c>
      <c r="R231">
        <v>50</v>
      </c>
      <c r="S231" t="s">
        <v>77</v>
      </c>
      <c r="T231" t="s">
        <v>50</v>
      </c>
      <c r="U231">
        <v>3</v>
      </c>
      <c r="V231" t="s">
        <v>62</v>
      </c>
      <c r="W231" t="s">
        <v>165</v>
      </c>
      <c r="X231" t="s">
        <v>41</v>
      </c>
      <c r="Y231" t="s">
        <v>53</v>
      </c>
    </row>
    <row r="232" spans="1:25">
      <c r="A232" t="s">
        <v>1064</v>
      </c>
      <c r="B232" t="s">
        <v>1065</v>
      </c>
      <c r="C232" t="s">
        <v>204</v>
      </c>
      <c r="D232">
        <v>27</v>
      </c>
      <c r="E232" t="s">
        <v>28</v>
      </c>
      <c r="F232" t="s">
        <v>29</v>
      </c>
      <c r="G232" t="s">
        <v>168</v>
      </c>
      <c r="H232" t="s">
        <v>427</v>
      </c>
      <c r="I232" t="s">
        <v>1066</v>
      </c>
      <c r="J232">
        <v>5</v>
      </c>
      <c r="K232" t="s">
        <v>427</v>
      </c>
      <c r="L232" t="s">
        <v>740</v>
      </c>
      <c r="M232">
        <v>4</v>
      </c>
      <c r="N232" t="s">
        <v>68</v>
      </c>
      <c r="O232" t="s">
        <v>35</v>
      </c>
      <c r="Q232" t="s">
        <v>132</v>
      </c>
      <c r="R232">
        <v>35</v>
      </c>
      <c r="S232" t="s">
        <v>37</v>
      </c>
      <c r="T232" t="s">
        <v>50</v>
      </c>
      <c r="U232">
        <v>1</v>
      </c>
      <c r="V232" t="s">
        <v>39</v>
      </c>
      <c r="W232" t="s">
        <v>51</v>
      </c>
      <c r="X232" t="s">
        <v>109</v>
      </c>
      <c r="Y232" t="s">
        <v>53</v>
      </c>
    </row>
    <row r="233" spans="1:25">
      <c r="A233" t="s">
        <v>1067</v>
      </c>
      <c r="B233" t="s">
        <v>1068</v>
      </c>
      <c r="C233" t="s">
        <v>56</v>
      </c>
      <c r="D233">
        <v>3</v>
      </c>
      <c r="E233" t="s">
        <v>149</v>
      </c>
      <c r="F233" t="s">
        <v>29</v>
      </c>
      <c r="G233" t="s">
        <v>83</v>
      </c>
      <c r="H233" t="s">
        <v>1069</v>
      </c>
      <c r="I233" t="s">
        <v>1070</v>
      </c>
      <c r="J233">
        <v>6</v>
      </c>
      <c r="K233" t="s">
        <v>707</v>
      </c>
      <c r="L233" t="s">
        <v>1071</v>
      </c>
      <c r="M233">
        <v>13</v>
      </c>
      <c r="N233" t="s">
        <v>34</v>
      </c>
      <c r="O233" t="s">
        <v>35</v>
      </c>
      <c r="Q233" t="s">
        <v>36</v>
      </c>
      <c r="R233">
        <v>40</v>
      </c>
      <c r="S233" t="s">
        <v>37</v>
      </c>
      <c r="T233" t="s">
        <v>38</v>
      </c>
      <c r="U233">
        <v>1</v>
      </c>
      <c r="V233" t="s">
        <v>62</v>
      </c>
      <c r="W233" t="s">
        <v>165</v>
      </c>
      <c r="X233" t="s">
        <v>109</v>
      </c>
      <c r="Y233" t="s">
        <v>42</v>
      </c>
    </row>
    <row r="234" spans="1:25">
      <c r="A234" t="s">
        <v>1072</v>
      </c>
      <c r="B234" t="s">
        <v>1073</v>
      </c>
      <c r="C234" t="s">
        <v>80</v>
      </c>
      <c r="D234">
        <v>75</v>
      </c>
      <c r="E234" t="s">
        <v>57</v>
      </c>
      <c r="F234" t="s">
        <v>29</v>
      </c>
      <c r="G234" t="s">
        <v>58</v>
      </c>
      <c r="H234" t="s">
        <v>1074</v>
      </c>
      <c r="I234" t="s">
        <v>315</v>
      </c>
      <c r="J234">
        <v>3</v>
      </c>
      <c r="K234" t="s">
        <v>1074</v>
      </c>
      <c r="L234" t="s">
        <v>157</v>
      </c>
      <c r="M234">
        <v>2</v>
      </c>
      <c r="N234" t="s">
        <v>68</v>
      </c>
      <c r="O234" t="s">
        <v>35</v>
      </c>
      <c r="Q234" t="s">
        <v>36</v>
      </c>
      <c r="R234">
        <v>15</v>
      </c>
      <c r="S234" t="s">
        <v>37</v>
      </c>
      <c r="T234" t="s">
        <v>164</v>
      </c>
      <c r="U234">
        <v>2</v>
      </c>
      <c r="V234" t="s">
        <v>39</v>
      </c>
      <c r="W234" t="s">
        <v>51</v>
      </c>
      <c r="X234" t="s">
        <v>109</v>
      </c>
      <c r="Y234" t="s">
        <v>53</v>
      </c>
    </row>
    <row r="235" spans="1:25">
      <c r="A235" t="s">
        <v>1075</v>
      </c>
      <c r="B235" t="s">
        <v>1076</v>
      </c>
      <c r="C235" t="s">
        <v>80</v>
      </c>
      <c r="D235">
        <v>72</v>
      </c>
      <c r="E235" t="s">
        <v>92</v>
      </c>
      <c r="F235" t="s">
        <v>29</v>
      </c>
      <c r="G235" t="s">
        <v>93</v>
      </c>
      <c r="H235" t="s">
        <v>668</v>
      </c>
      <c r="I235" t="s">
        <v>551</v>
      </c>
      <c r="J235">
        <v>24</v>
      </c>
      <c r="K235" t="s">
        <v>84</v>
      </c>
      <c r="L235" t="s">
        <v>1077</v>
      </c>
      <c r="M235">
        <v>29</v>
      </c>
      <c r="N235" t="s">
        <v>34</v>
      </c>
      <c r="O235" t="s">
        <v>35</v>
      </c>
      <c r="Q235" t="s">
        <v>36</v>
      </c>
      <c r="R235">
        <v>50</v>
      </c>
      <c r="S235" t="s">
        <v>49</v>
      </c>
      <c r="T235" t="s">
        <v>38</v>
      </c>
      <c r="U235">
        <v>5</v>
      </c>
      <c r="V235" t="s">
        <v>89</v>
      </c>
      <c r="W235" t="s">
        <v>51</v>
      </c>
      <c r="X235" t="s">
        <v>41</v>
      </c>
      <c r="Y235" t="s">
        <v>71</v>
      </c>
    </row>
    <row r="236" spans="1:25">
      <c r="A236" t="s">
        <v>1078</v>
      </c>
      <c r="B236" t="s">
        <v>1079</v>
      </c>
      <c r="C236" t="s">
        <v>56</v>
      </c>
      <c r="D236">
        <v>72</v>
      </c>
      <c r="E236" t="s">
        <v>57</v>
      </c>
      <c r="F236" t="s">
        <v>29</v>
      </c>
      <c r="G236" t="s">
        <v>58</v>
      </c>
      <c r="H236" t="s">
        <v>95</v>
      </c>
      <c r="I236" t="s">
        <v>844</v>
      </c>
      <c r="J236">
        <v>3</v>
      </c>
      <c r="K236" t="s">
        <v>95</v>
      </c>
      <c r="L236" t="s">
        <v>1080</v>
      </c>
      <c r="M236">
        <v>2</v>
      </c>
      <c r="N236" t="s">
        <v>68</v>
      </c>
      <c r="O236" t="s">
        <v>35</v>
      </c>
      <c r="Q236" t="s">
        <v>132</v>
      </c>
      <c r="R236">
        <v>15</v>
      </c>
      <c r="S236" t="s">
        <v>37</v>
      </c>
      <c r="T236" t="s">
        <v>88</v>
      </c>
      <c r="U236">
        <v>3</v>
      </c>
      <c r="V236" t="s">
        <v>39</v>
      </c>
      <c r="W236" t="s">
        <v>103</v>
      </c>
      <c r="X236" t="s">
        <v>52</v>
      </c>
      <c r="Y236" t="s">
        <v>42</v>
      </c>
    </row>
    <row r="237" spans="1:25">
      <c r="A237" t="s">
        <v>1081</v>
      </c>
      <c r="B237" t="s">
        <v>1082</v>
      </c>
      <c r="C237" t="s">
        <v>80</v>
      </c>
      <c r="D237">
        <v>28</v>
      </c>
      <c r="E237" t="s">
        <v>28</v>
      </c>
      <c r="F237" t="s">
        <v>29</v>
      </c>
      <c r="G237" t="s">
        <v>30</v>
      </c>
      <c r="H237" t="s">
        <v>1019</v>
      </c>
      <c r="I237" t="s">
        <v>1083</v>
      </c>
      <c r="J237">
        <v>5</v>
      </c>
      <c r="K237" t="s">
        <v>1019</v>
      </c>
      <c r="L237" t="s">
        <v>1084</v>
      </c>
      <c r="M237">
        <v>6</v>
      </c>
      <c r="N237" t="s">
        <v>34</v>
      </c>
      <c r="O237" t="s">
        <v>270</v>
      </c>
      <c r="P237" t="s">
        <v>391</v>
      </c>
      <c r="Q237" t="s">
        <v>36</v>
      </c>
      <c r="R237">
        <v>35</v>
      </c>
      <c r="S237" t="s">
        <v>49</v>
      </c>
      <c r="T237" t="s">
        <v>38</v>
      </c>
      <c r="U237">
        <v>2</v>
      </c>
      <c r="V237" t="s">
        <v>39</v>
      </c>
      <c r="W237" t="s">
        <v>40</v>
      </c>
      <c r="X237" t="s">
        <v>41</v>
      </c>
      <c r="Y237" t="s">
        <v>53</v>
      </c>
    </row>
    <row r="238" spans="1:25">
      <c r="A238" t="s">
        <v>1085</v>
      </c>
      <c r="B238" t="s">
        <v>1086</v>
      </c>
      <c r="C238" t="s">
        <v>204</v>
      </c>
      <c r="D238">
        <v>68</v>
      </c>
      <c r="E238" t="s">
        <v>81</v>
      </c>
      <c r="F238" t="s">
        <v>82</v>
      </c>
      <c r="G238" t="s">
        <v>83</v>
      </c>
      <c r="H238" t="s">
        <v>1087</v>
      </c>
      <c r="I238" t="s">
        <v>1088</v>
      </c>
      <c r="J238">
        <v>8</v>
      </c>
      <c r="K238" t="s">
        <v>1087</v>
      </c>
      <c r="L238" t="s">
        <v>1089</v>
      </c>
      <c r="M238">
        <v>9</v>
      </c>
      <c r="N238" t="s">
        <v>34</v>
      </c>
      <c r="O238" t="s">
        <v>35</v>
      </c>
      <c r="Q238" t="s">
        <v>132</v>
      </c>
      <c r="R238">
        <v>20</v>
      </c>
      <c r="S238" t="s">
        <v>37</v>
      </c>
      <c r="T238" t="s">
        <v>88</v>
      </c>
      <c r="U238">
        <v>3</v>
      </c>
      <c r="V238" t="s">
        <v>70</v>
      </c>
      <c r="W238" t="s">
        <v>165</v>
      </c>
      <c r="X238" t="s">
        <v>52</v>
      </c>
      <c r="Y238" t="s">
        <v>53</v>
      </c>
    </row>
    <row r="239" spans="1:25">
      <c r="A239" t="s">
        <v>1090</v>
      </c>
      <c r="B239" t="s">
        <v>1091</v>
      </c>
      <c r="C239" t="s">
        <v>56</v>
      </c>
      <c r="D239">
        <v>14</v>
      </c>
      <c r="E239" t="s">
        <v>57</v>
      </c>
      <c r="F239" t="s">
        <v>29</v>
      </c>
      <c r="G239" t="s">
        <v>58</v>
      </c>
      <c r="H239" t="s">
        <v>1092</v>
      </c>
      <c r="I239" t="s">
        <v>1093</v>
      </c>
      <c r="J239">
        <v>3</v>
      </c>
      <c r="K239" t="s">
        <v>1092</v>
      </c>
      <c r="L239" t="s">
        <v>1094</v>
      </c>
      <c r="M239">
        <v>11</v>
      </c>
      <c r="N239" t="s">
        <v>34</v>
      </c>
      <c r="O239" t="s">
        <v>35</v>
      </c>
      <c r="Q239" t="s">
        <v>36</v>
      </c>
      <c r="R239">
        <v>15</v>
      </c>
      <c r="S239" t="s">
        <v>49</v>
      </c>
      <c r="T239" t="s">
        <v>38</v>
      </c>
      <c r="U239">
        <v>2</v>
      </c>
      <c r="V239" t="s">
        <v>89</v>
      </c>
      <c r="W239" t="s">
        <v>103</v>
      </c>
      <c r="X239" t="s">
        <v>41</v>
      </c>
      <c r="Y239" t="s">
        <v>53</v>
      </c>
    </row>
    <row r="240" spans="1:25">
      <c r="A240" t="s">
        <v>1095</v>
      </c>
      <c r="B240" t="s">
        <v>1096</v>
      </c>
      <c r="C240" t="s">
        <v>27</v>
      </c>
      <c r="D240">
        <v>10</v>
      </c>
      <c r="E240" t="s">
        <v>149</v>
      </c>
      <c r="F240" t="s">
        <v>29</v>
      </c>
      <c r="G240" t="s">
        <v>30</v>
      </c>
      <c r="H240" t="s">
        <v>1097</v>
      </c>
      <c r="I240" t="s">
        <v>1098</v>
      </c>
      <c r="J240">
        <v>6</v>
      </c>
      <c r="K240" t="s">
        <v>1097</v>
      </c>
      <c r="L240" t="s">
        <v>1099</v>
      </c>
      <c r="M240">
        <v>8</v>
      </c>
      <c r="N240" t="s">
        <v>34</v>
      </c>
      <c r="O240" t="s">
        <v>35</v>
      </c>
      <c r="Q240" t="s">
        <v>36</v>
      </c>
      <c r="R240">
        <v>40</v>
      </c>
      <c r="S240" t="s">
        <v>37</v>
      </c>
      <c r="T240" t="s">
        <v>96</v>
      </c>
      <c r="U240">
        <v>5</v>
      </c>
      <c r="V240" t="s">
        <v>62</v>
      </c>
      <c r="W240" t="s">
        <v>165</v>
      </c>
      <c r="X240" t="s">
        <v>109</v>
      </c>
      <c r="Y240" t="s">
        <v>42</v>
      </c>
    </row>
    <row r="241" spans="1:25">
      <c r="A241" t="s">
        <v>1100</v>
      </c>
      <c r="B241" t="s">
        <v>1101</v>
      </c>
      <c r="C241" t="s">
        <v>204</v>
      </c>
      <c r="D241">
        <v>13</v>
      </c>
      <c r="E241" t="s">
        <v>92</v>
      </c>
      <c r="F241" t="s">
        <v>29</v>
      </c>
      <c r="G241" t="s">
        <v>93</v>
      </c>
      <c r="H241" t="s">
        <v>338</v>
      </c>
      <c r="I241" t="s">
        <v>1102</v>
      </c>
      <c r="J241">
        <v>24</v>
      </c>
      <c r="K241" t="s">
        <v>615</v>
      </c>
      <c r="L241" t="s">
        <v>94</v>
      </c>
      <c r="M241">
        <v>29</v>
      </c>
      <c r="N241" t="s">
        <v>34</v>
      </c>
      <c r="O241" t="s">
        <v>35</v>
      </c>
      <c r="Q241" t="s">
        <v>36</v>
      </c>
      <c r="R241">
        <v>50</v>
      </c>
      <c r="S241" t="s">
        <v>77</v>
      </c>
      <c r="T241" t="s">
        <v>164</v>
      </c>
      <c r="U241">
        <v>4</v>
      </c>
      <c r="V241" t="s">
        <v>62</v>
      </c>
      <c r="W241" t="s">
        <v>103</v>
      </c>
      <c r="X241" t="s">
        <v>109</v>
      </c>
      <c r="Y241" t="s">
        <v>42</v>
      </c>
    </row>
    <row r="242" spans="1:25">
      <c r="A242" t="s">
        <v>1103</v>
      </c>
      <c r="B242" t="s">
        <v>1104</v>
      </c>
      <c r="C242" t="s">
        <v>204</v>
      </c>
      <c r="D242">
        <v>80</v>
      </c>
      <c r="E242" t="s">
        <v>149</v>
      </c>
      <c r="F242" t="s">
        <v>29</v>
      </c>
      <c r="G242" t="s">
        <v>30</v>
      </c>
      <c r="H242" t="s">
        <v>329</v>
      </c>
      <c r="I242" t="s">
        <v>1105</v>
      </c>
      <c r="J242">
        <v>6</v>
      </c>
      <c r="K242" t="s">
        <v>329</v>
      </c>
      <c r="L242" t="s">
        <v>1106</v>
      </c>
      <c r="M242">
        <v>12</v>
      </c>
      <c r="N242" t="s">
        <v>34</v>
      </c>
      <c r="O242" t="s">
        <v>35</v>
      </c>
      <c r="Q242" t="s">
        <v>36</v>
      </c>
      <c r="R242">
        <v>40</v>
      </c>
      <c r="S242" t="s">
        <v>49</v>
      </c>
      <c r="T242" t="s">
        <v>38</v>
      </c>
      <c r="U242">
        <v>1</v>
      </c>
      <c r="V242" t="s">
        <v>39</v>
      </c>
      <c r="W242" t="s">
        <v>51</v>
      </c>
      <c r="X242" t="s">
        <v>52</v>
      </c>
      <c r="Y242" t="s">
        <v>53</v>
      </c>
    </row>
    <row r="243" spans="1:25">
      <c r="A243" t="s">
        <v>1107</v>
      </c>
      <c r="B243" t="s">
        <v>1108</v>
      </c>
      <c r="C243" t="s">
        <v>80</v>
      </c>
      <c r="D243">
        <v>84</v>
      </c>
      <c r="E243" t="s">
        <v>57</v>
      </c>
      <c r="F243" t="s">
        <v>29</v>
      </c>
      <c r="G243" t="s">
        <v>58</v>
      </c>
      <c r="H243" t="s">
        <v>329</v>
      </c>
      <c r="I243" t="s">
        <v>1109</v>
      </c>
      <c r="J243">
        <v>3</v>
      </c>
      <c r="K243" t="s">
        <v>329</v>
      </c>
      <c r="L243" t="s">
        <v>1110</v>
      </c>
      <c r="M243">
        <v>10</v>
      </c>
      <c r="N243" t="s">
        <v>34</v>
      </c>
      <c r="O243" t="s">
        <v>35</v>
      </c>
      <c r="Q243" t="s">
        <v>36</v>
      </c>
      <c r="R243">
        <v>15</v>
      </c>
      <c r="S243" t="s">
        <v>37</v>
      </c>
      <c r="T243" t="s">
        <v>69</v>
      </c>
      <c r="U243">
        <v>4</v>
      </c>
      <c r="V243" t="s">
        <v>70</v>
      </c>
      <c r="W243" t="s">
        <v>165</v>
      </c>
      <c r="X243" t="s">
        <v>109</v>
      </c>
      <c r="Y243" t="s">
        <v>53</v>
      </c>
    </row>
    <row r="244" spans="1:25">
      <c r="A244" t="s">
        <v>1111</v>
      </c>
      <c r="B244" t="s">
        <v>1112</v>
      </c>
      <c r="C244" t="s">
        <v>204</v>
      </c>
      <c r="D244">
        <v>79</v>
      </c>
      <c r="E244" t="s">
        <v>81</v>
      </c>
      <c r="F244" t="s">
        <v>82</v>
      </c>
      <c r="G244" t="s">
        <v>83</v>
      </c>
      <c r="H244" t="s">
        <v>101</v>
      </c>
      <c r="I244" t="s">
        <v>944</v>
      </c>
      <c r="J244">
        <v>8</v>
      </c>
      <c r="K244" t="s">
        <v>1113</v>
      </c>
      <c r="L244" t="s">
        <v>1114</v>
      </c>
      <c r="M244">
        <v>15</v>
      </c>
      <c r="N244" t="s">
        <v>34</v>
      </c>
      <c r="O244" t="s">
        <v>270</v>
      </c>
      <c r="P244" t="s">
        <v>677</v>
      </c>
      <c r="Q244" t="s">
        <v>36</v>
      </c>
      <c r="R244">
        <v>20</v>
      </c>
      <c r="S244" t="s">
        <v>37</v>
      </c>
      <c r="T244" t="s">
        <v>164</v>
      </c>
      <c r="U244">
        <v>3</v>
      </c>
      <c r="V244" t="s">
        <v>70</v>
      </c>
      <c r="W244" t="s">
        <v>165</v>
      </c>
      <c r="X244" t="s">
        <v>52</v>
      </c>
      <c r="Y244" t="s">
        <v>53</v>
      </c>
    </row>
    <row r="245" spans="1:25">
      <c r="A245" t="s">
        <v>1115</v>
      </c>
      <c r="B245" t="s">
        <v>1116</v>
      </c>
      <c r="C245" t="s">
        <v>80</v>
      </c>
      <c r="D245">
        <v>60</v>
      </c>
      <c r="E245" t="s">
        <v>149</v>
      </c>
      <c r="F245" t="s">
        <v>29</v>
      </c>
      <c r="G245" t="s">
        <v>30</v>
      </c>
      <c r="H245" t="s">
        <v>490</v>
      </c>
      <c r="I245" t="s">
        <v>820</v>
      </c>
      <c r="J245">
        <v>6</v>
      </c>
      <c r="K245" t="s">
        <v>490</v>
      </c>
      <c r="L245" t="s">
        <v>1117</v>
      </c>
      <c r="M245">
        <v>14</v>
      </c>
      <c r="N245" t="s">
        <v>34</v>
      </c>
      <c r="O245" t="s">
        <v>35</v>
      </c>
      <c r="Q245" t="s">
        <v>36</v>
      </c>
      <c r="R245">
        <v>40</v>
      </c>
      <c r="S245" t="s">
        <v>77</v>
      </c>
      <c r="T245" t="s">
        <v>38</v>
      </c>
      <c r="U245">
        <v>3</v>
      </c>
      <c r="V245" t="s">
        <v>39</v>
      </c>
      <c r="W245" t="s">
        <v>40</v>
      </c>
      <c r="X245" t="s">
        <v>41</v>
      </c>
      <c r="Y245" t="s">
        <v>71</v>
      </c>
    </row>
    <row r="246" spans="1:25">
      <c r="A246" t="s">
        <v>1118</v>
      </c>
      <c r="B246" t="s">
        <v>1119</v>
      </c>
      <c r="C246" t="s">
        <v>80</v>
      </c>
      <c r="D246">
        <v>54</v>
      </c>
      <c r="E246" t="s">
        <v>173</v>
      </c>
      <c r="F246" t="s">
        <v>29</v>
      </c>
      <c r="G246" t="s">
        <v>83</v>
      </c>
      <c r="H246" t="s">
        <v>291</v>
      </c>
      <c r="I246" t="s">
        <v>1120</v>
      </c>
      <c r="J246">
        <v>4</v>
      </c>
      <c r="K246" t="s">
        <v>128</v>
      </c>
      <c r="L246" t="s">
        <v>552</v>
      </c>
      <c r="M246">
        <v>11</v>
      </c>
      <c r="N246" t="s">
        <v>34</v>
      </c>
      <c r="O246" t="s">
        <v>35</v>
      </c>
      <c r="Q246" t="s">
        <v>36</v>
      </c>
      <c r="R246">
        <v>25</v>
      </c>
      <c r="S246" t="s">
        <v>77</v>
      </c>
      <c r="T246" t="s">
        <v>50</v>
      </c>
      <c r="U246">
        <v>4</v>
      </c>
      <c r="V246" t="s">
        <v>89</v>
      </c>
      <c r="W246" t="s">
        <v>103</v>
      </c>
      <c r="X246" t="s">
        <v>109</v>
      </c>
      <c r="Y246" t="s">
        <v>53</v>
      </c>
    </row>
    <row r="247" spans="1:25">
      <c r="A247" t="s">
        <v>1121</v>
      </c>
      <c r="B247" t="s">
        <v>1122</v>
      </c>
      <c r="C247" t="s">
        <v>27</v>
      </c>
      <c r="D247">
        <v>49</v>
      </c>
      <c r="E247" t="s">
        <v>57</v>
      </c>
      <c r="F247" t="s">
        <v>29</v>
      </c>
      <c r="G247" t="s">
        <v>58</v>
      </c>
      <c r="H247" t="s">
        <v>712</v>
      </c>
      <c r="I247" t="s">
        <v>724</v>
      </c>
      <c r="J247">
        <v>3</v>
      </c>
      <c r="K247" t="s">
        <v>712</v>
      </c>
      <c r="L247" t="s">
        <v>1123</v>
      </c>
      <c r="M247">
        <v>2</v>
      </c>
      <c r="N247" t="s">
        <v>68</v>
      </c>
      <c r="O247" t="s">
        <v>35</v>
      </c>
      <c r="Q247" t="s">
        <v>36</v>
      </c>
      <c r="R247">
        <v>15</v>
      </c>
      <c r="S247" t="s">
        <v>49</v>
      </c>
      <c r="T247" t="s">
        <v>88</v>
      </c>
      <c r="U247">
        <v>4</v>
      </c>
      <c r="V247" t="s">
        <v>89</v>
      </c>
      <c r="W247" t="s">
        <v>51</v>
      </c>
      <c r="X247" t="s">
        <v>41</v>
      </c>
      <c r="Y247" t="s">
        <v>71</v>
      </c>
    </row>
    <row r="248" spans="1:25">
      <c r="A248" t="s">
        <v>1124</v>
      </c>
      <c r="B248" t="s">
        <v>1125</v>
      </c>
      <c r="C248" t="s">
        <v>56</v>
      </c>
      <c r="D248">
        <v>43</v>
      </c>
      <c r="E248" t="s">
        <v>173</v>
      </c>
      <c r="F248" t="s">
        <v>29</v>
      </c>
      <c r="G248" t="s">
        <v>83</v>
      </c>
      <c r="H248" t="s">
        <v>1053</v>
      </c>
      <c r="I248" t="s">
        <v>447</v>
      </c>
      <c r="J248">
        <v>4</v>
      </c>
      <c r="K248" t="s">
        <v>1053</v>
      </c>
      <c r="L248" t="s">
        <v>614</v>
      </c>
      <c r="M248">
        <v>6</v>
      </c>
      <c r="N248" t="s">
        <v>34</v>
      </c>
      <c r="O248" t="s">
        <v>35</v>
      </c>
      <c r="Q248" t="s">
        <v>36</v>
      </c>
      <c r="R248">
        <v>25</v>
      </c>
      <c r="S248" t="s">
        <v>37</v>
      </c>
      <c r="T248" t="s">
        <v>38</v>
      </c>
      <c r="U248">
        <v>2</v>
      </c>
      <c r="V248" t="s">
        <v>89</v>
      </c>
      <c r="W248" t="s">
        <v>51</v>
      </c>
      <c r="X248" t="s">
        <v>109</v>
      </c>
      <c r="Y248" t="s">
        <v>71</v>
      </c>
    </row>
    <row r="249" spans="1:25">
      <c r="A249" t="s">
        <v>1126</v>
      </c>
      <c r="B249" t="s">
        <v>1127</v>
      </c>
      <c r="C249" t="s">
        <v>56</v>
      </c>
      <c r="D249">
        <v>84</v>
      </c>
      <c r="E249" t="s">
        <v>57</v>
      </c>
      <c r="F249" t="s">
        <v>29</v>
      </c>
      <c r="G249" t="s">
        <v>58</v>
      </c>
      <c r="H249" t="s">
        <v>407</v>
      </c>
      <c r="I249" t="s">
        <v>927</v>
      </c>
      <c r="J249">
        <v>3</v>
      </c>
      <c r="K249" t="s">
        <v>407</v>
      </c>
      <c r="L249" t="s">
        <v>1128</v>
      </c>
      <c r="M249">
        <v>2</v>
      </c>
      <c r="N249" t="s">
        <v>68</v>
      </c>
      <c r="O249" t="s">
        <v>35</v>
      </c>
      <c r="Q249" t="s">
        <v>36</v>
      </c>
      <c r="R249">
        <v>15</v>
      </c>
      <c r="S249" t="s">
        <v>49</v>
      </c>
      <c r="T249" t="s">
        <v>50</v>
      </c>
      <c r="U249">
        <v>1</v>
      </c>
      <c r="V249" t="s">
        <v>89</v>
      </c>
      <c r="W249" t="s">
        <v>51</v>
      </c>
      <c r="X249" t="s">
        <v>41</v>
      </c>
      <c r="Y249" t="s">
        <v>53</v>
      </c>
    </row>
    <row r="250" spans="1:25">
      <c r="A250" t="s">
        <v>1129</v>
      </c>
      <c r="B250" t="s">
        <v>1130</v>
      </c>
      <c r="C250" t="s">
        <v>204</v>
      </c>
      <c r="D250">
        <v>88</v>
      </c>
      <c r="E250" t="s">
        <v>57</v>
      </c>
      <c r="F250" t="s">
        <v>29</v>
      </c>
      <c r="G250" t="s">
        <v>150</v>
      </c>
      <c r="H250" t="s">
        <v>199</v>
      </c>
      <c r="I250" t="s">
        <v>880</v>
      </c>
      <c r="J250">
        <v>3</v>
      </c>
      <c r="K250" t="s">
        <v>199</v>
      </c>
      <c r="L250" t="s">
        <v>1131</v>
      </c>
      <c r="M250">
        <v>5</v>
      </c>
      <c r="N250" t="s">
        <v>34</v>
      </c>
      <c r="O250" t="s">
        <v>35</v>
      </c>
      <c r="Q250" t="s">
        <v>36</v>
      </c>
      <c r="R250">
        <v>15</v>
      </c>
      <c r="S250" t="s">
        <v>77</v>
      </c>
      <c r="T250" t="s">
        <v>96</v>
      </c>
      <c r="U250">
        <v>1</v>
      </c>
      <c r="V250" t="s">
        <v>89</v>
      </c>
      <c r="W250" t="s">
        <v>165</v>
      </c>
      <c r="X250" t="s">
        <v>41</v>
      </c>
      <c r="Y250" t="s">
        <v>53</v>
      </c>
    </row>
    <row r="251" spans="1:25">
      <c r="A251" t="s">
        <v>1132</v>
      </c>
      <c r="B251" t="s">
        <v>1133</v>
      </c>
      <c r="C251" t="s">
        <v>204</v>
      </c>
      <c r="D251">
        <v>84</v>
      </c>
      <c r="E251" t="s">
        <v>81</v>
      </c>
      <c r="F251" t="s">
        <v>82</v>
      </c>
      <c r="G251" t="s">
        <v>150</v>
      </c>
      <c r="H251" t="s">
        <v>437</v>
      </c>
      <c r="I251" t="s">
        <v>878</v>
      </c>
      <c r="J251">
        <v>8</v>
      </c>
      <c r="K251" t="s">
        <v>262</v>
      </c>
      <c r="L251" t="s">
        <v>408</v>
      </c>
      <c r="M251">
        <v>11</v>
      </c>
      <c r="N251" t="s">
        <v>34</v>
      </c>
      <c r="O251" t="s">
        <v>35</v>
      </c>
      <c r="Q251" t="s">
        <v>36</v>
      </c>
      <c r="R251">
        <v>20</v>
      </c>
      <c r="S251" t="s">
        <v>37</v>
      </c>
      <c r="T251" t="s">
        <v>38</v>
      </c>
      <c r="U251">
        <v>1</v>
      </c>
      <c r="V251" t="s">
        <v>70</v>
      </c>
      <c r="W251" t="s">
        <v>103</v>
      </c>
      <c r="X251" t="s">
        <v>41</v>
      </c>
      <c r="Y251" t="s">
        <v>53</v>
      </c>
    </row>
    <row r="252" spans="1:25">
      <c r="A252" t="s">
        <v>1134</v>
      </c>
      <c r="B252" t="s">
        <v>1135</v>
      </c>
      <c r="C252" t="s">
        <v>56</v>
      </c>
      <c r="D252">
        <v>50</v>
      </c>
      <c r="E252" t="s">
        <v>92</v>
      </c>
      <c r="F252" t="s">
        <v>29</v>
      </c>
      <c r="G252" t="s">
        <v>93</v>
      </c>
      <c r="H252" t="s">
        <v>413</v>
      </c>
      <c r="I252" t="s">
        <v>218</v>
      </c>
      <c r="J252">
        <v>24</v>
      </c>
      <c r="K252" t="s">
        <v>384</v>
      </c>
      <c r="L252" t="s">
        <v>1136</v>
      </c>
      <c r="M252">
        <v>28</v>
      </c>
      <c r="N252" t="s">
        <v>34</v>
      </c>
      <c r="O252" t="s">
        <v>35</v>
      </c>
      <c r="Q252" t="s">
        <v>36</v>
      </c>
      <c r="R252">
        <v>50</v>
      </c>
      <c r="S252" t="s">
        <v>49</v>
      </c>
      <c r="T252" t="s">
        <v>38</v>
      </c>
      <c r="U252">
        <v>1</v>
      </c>
      <c r="V252" t="s">
        <v>70</v>
      </c>
      <c r="W252" t="s">
        <v>40</v>
      </c>
      <c r="X252" t="s">
        <v>52</v>
      </c>
      <c r="Y252" t="s">
        <v>53</v>
      </c>
    </row>
    <row r="253" spans="1:25">
      <c r="A253" t="s">
        <v>1137</v>
      </c>
      <c r="B253" t="s">
        <v>1138</v>
      </c>
      <c r="C253" t="s">
        <v>56</v>
      </c>
      <c r="D253">
        <v>68</v>
      </c>
      <c r="E253" t="s">
        <v>149</v>
      </c>
      <c r="F253" t="s">
        <v>29</v>
      </c>
      <c r="G253" t="s">
        <v>58</v>
      </c>
      <c r="H253" t="s">
        <v>224</v>
      </c>
      <c r="I253" t="s">
        <v>1139</v>
      </c>
      <c r="J253">
        <v>6</v>
      </c>
      <c r="K253" t="s">
        <v>46</v>
      </c>
      <c r="L253" t="s">
        <v>1140</v>
      </c>
      <c r="M253">
        <v>14</v>
      </c>
      <c r="N253" t="s">
        <v>34</v>
      </c>
      <c r="O253" t="s">
        <v>35</v>
      </c>
      <c r="Q253" t="s">
        <v>36</v>
      </c>
      <c r="R253">
        <v>40</v>
      </c>
      <c r="S253" t="s">
        <v>77</v>
      </c>
      <c r="T253" t="s">
        <v>88</v>
      </c>
      <c r="U253">
        <v>5</v>
      </c>
      <c r="V253" t="s">
        <v>70</v>
      </c>
      <c r="W253" t="s">
        <v>165</v>
      </c>
      <c r="X253" t="s">
        <v>109</v>
      </c>
      <c r="Y253" t="s">
        <v>71</v>
      </c>
    </row>
    <row r="254" spans="1:25">
      <c r="A254" t="s">
        <v>1141</v>
      </c>
      <c r="B254" t="s">
        <v>1142</v>
      </c>
      <c r="C254" t="s">
        <v>56</v>
      </c>
      <c r="D254">
        <v>71</v>
      </c>
      <c r="E254" t="s">
        <v>28</v>
      </c>
      <c r="F254" t="s">
        <v>29</v>
      </c>
      <c r="G254" t="s">
        <v>30</v>
      </c>
      <c r="H254" t="s">
        <v>915</v>
      </c>
      <c r="I254" t="s">
        <v>690</v>
      </c>
      <c r="J254">
        <v>5</v>
      </c>
      <c r="K254" t="s">
        <v>915</v>
      </c>
      <c r="L254" t="s">
        <v>1143</v>
      </c>
      <c r="M254">
        <v>6</v>
      </c>
      <c r="N254" t="s">
        <v>34</v>
      </c>
      <c r="O254" t="s">
        <v>35</v>
      </c>
      <c r="Q254" t="s">
        <v>36</v>
      </c>
      <c r="R254">
        <v>35</v>
      </c>
      <c r="S254" t="s">
        <v>49</v>
      </c>
      <c r="T254" t="s">
        <v>164</v>
      </c>
      <c r="U254">
        <v>2</v>
      </c>
      <c r="V254" t="s">
        <v>70</v>
      </c>
      <c r="W254" t="s">
        <v>51</v>
      </c>
      <c r="X254" t="s">
        <v>52</v>
      </c>
      <c r="Y254" t="s">
        <v>71</v>
      </c>
    </row>
    <row r="255" spans="1:25">
      <c r="A255" t="s">
        <v>1144</v>
      </c>
      <c r="B255" t="s">
        <v>1145</v>
      </c>
      <c r="C255" t="s">
        <v>204</v>
      </c>
      <c r="D255">
        <v>8</v>
      </c>
      <c r="E255" t="s">
        <v>173</v>
      </c>
      <c r="F255" t="s">
        <v>29</v>
      </c>
      <c r="G255" t="s">
        <v>93</v>
      </c>
      <c r="H255" t="s">
        <v>174</v>
      </c>
      <c r="I255" t="s">
        <v>1146</v>
      </c>
      <c r="J255">
        <v>4</v>
      </c>
      <c r="K255" t="s">
        <v>174</v>
      </c>
      <c r="L255" t="s">
        <v>1147</v>
      </c>
      <c r="M255">
        <v>11</v>
      </c>
      <c r="N255" t="s">
        <v>34</v>
      </c>
      <c r="O255" t="s">
        <v>35</v>
      </c>
      <c r="Q255" t="s">
        <v>36</v>
      </c>
      <c r="R255">
        <v>25</v>
      </c>
      <c r="S255" t="s">
        <v>49</v>
      </c>
      <c r="T255" t="s">
        <v>164</v>
      </c>
      <c r="U255">
        <v>5</v>
      </c>
      <c r="V255" t="s">
        <v>70</v>
      </c>
      <c r="W255" t="s">
        <v>40</v>
      </c>
      <c r="X255" t="s">
        <v>41</v>
      </c>
      <c r="Y255" t="s">
        <v>42</v>
      </c>
    </row>
    <row r="256" spans="1:25">
      <c r="A256" t="s">
        <v>1148</v>
      </c>
      <c r="B256" t="s">
        <v>1149</v>
      </c>
      <c r="C256" t="s">
        <v>80</v>
      </c>
      <c r="D256">
        <v>10</v>
      </c>
      <c r="E256" t="s">
        <v>28</v>
      </c>
      <c r="F256" t="s">
        <v>29</v>
      </c>
      <c r="G256" t="s">
        <v>83</v>
      </c>
      <c r="H256" t="s">
        <v>274</v>
      </c>
      <c r="I256" t="s">
        <v>1150</v>
      </c>
      <c r="J256">
        <v>5</v>
      </c>
      <c r="K256" t="s">
        <v>274</v>
      </c>
      <c r="L256" t="s">
        <v>665</v>
      </c>
      <c r="M256">
        <v>10</v>
      </c>
      <c r="N256" t="s">
        <v>34</v>
      </c>
      <c r="O256" t="s">
        <v>35</v>
      </c>
      <c r="Q256" t="s">
        <v>36</v>
      </c>
      <c r="R256">
        <v>35</v>
      </c>
      <c r="S256" t="s">
        <v>37</v>
      </c>
      <c r="T256" t="s">
        <v>50</v>
      </c>
      <c r="U256">
        <v>1</v>
      </c>
      <c r="V256" t="s">
        <v>70</v>
      </c>
      <c r="W256" t="s">
        <v>165</v>
      </c>
      <c r="X256" t="s">
        <v>41</v>
      </c>
      <c r="Y256" t="s">
        <v>71</v>
      </c>
    </row>
    <row r="257" spans="1:25">
      <c r="A257" t="s">
        <v>1151</v>
      </c>
      <c r="B257" t="s">
        <v>1152</v>
      </c>
      <c r="C257" t="s">
        <v>27</v>
      </c>
      <c r="D257">
        <v>5</v>
      </c>
      <c r="E257" t="s">
        <v>92</v>
      </c>
      <c r="F257" t="s">
        <v>29</v>
      </c>
      <c r="G257" t="s">
        <v>93</v>
      </c>
      <c r="H257" t="s">
        <v>338</v>
      </c>
      <c r="I257" t="s">
        <v>1153</v>
      </c>
      <c r="J257">
        <v>24</v>
      </c>
      <c r="K257" t="s">
        <v>615</v>
      </c>
      <c r="L257" t="s">
        <v>1154</v>
      </c>
      <c r="M257">
        <v>30</v>
      </c>
      <c r="N257" t="s">
        <v>34</v>
      </c>
      <c r="O257" t="s">
        <v>35</v>
      </c>
      <c r="Q257" t="s">
        <v>36</v>
      </c>
      <c r="R257">
        <v>50</v>
      </c>
      <c r="S257" t="s">
        <v>49</v>
      </c>
      <c r="T257" t="s">
        <v>38</v>
      </c>
      <c r="U257">
        <v>2</v>
      </c>
      <c r="V257" t="s">
        <v>62</v>
      </c>
      <c r="W257" t="s">
        <v>51</v>
      </c>
      <c r="X257" t="s">
        <v>41</v>
      </c>
      <c r="Y257" t="s">
        <v>42</v>
      </c>
    </row>
    <row r="258" spans="1:25">
      <c r="A258" t="s">
        <v>1155</v>
      </c>
      <c r="B258" t="s">
        <v>1156</v>
      </c>
      <c r="C258" t="s">
        <v>56</v>
      </c>
      <c r="D258">
        <v>71</v>
      </c>
      <c r="E258" t="s">
        <v>149</v>
      </c>
      <c r="F258" t="s">
        <v>29</v>
      </c>
      <c r="G258" t="s">
        <v>58</v>
      </c>
      <c r="H258" t="s">
        <v>668</v>
      </c>
      <c r="I258" t="s">
        <v>1157</v>
      </c>
      <c r="J258">
        <v>6</v>
      </c>
      <c r="K258" t="s">
        <v>668</v>
      </c>
      <c r="L258" t="s">
        <v>1158</v>
      </c>
      <c r="M258">
        <v>11</v>
      </c>
      <c r="N258" t="s">
        <v>34</v>
      </c>
      <c r="O258" t="s">
        <v>35</v>
      </c>
      <c r="Q258" t="s">
        <v>36</v>
      </c>
      <c r="R258">
        <v>40</v>
      </c>
      <c r="S258" t="s">
        <v>77</v>
      </c>
      <c r="T258" t="s">
        <v>69</v>
      </c>
      <c r="U258">
        <v>4</v>
      </c>
      <c r="V258" t="s">
        <v>62</v>
      </c>
      <c r="W258" t="s">
        <v>40</v>
      </c>
      <c r="X258" t="s">
        <v>52</v>
      </c>
      <c r="Y258" t="s">
        <v>42</v>
      </c>
    </row>
    <row r="259" spans="1:25">
      <c r="A259" t="s">
        <v>1159</v>
      </c>
      <c r="B259" t="s">
        <v>1160</v>
      </c>
      <c r="C259" t="s">
        <v>56</v>
      </c>
      <c r="D259">
        <v>68</v>
      </c>
      <c r="E259" t="s">
        <v>92</v>
      </c>
      <c r="F259" t="s">
        <v>29</v>
      </c>
      <c r="G259" t="s">
        <v>93</v>
      </c>
      <c r="H259" t="s">
        <v>893</v>
      </c>
      <c r="I259" t="s">
        <v>561</v>
      </c>
      <c r="J259">
        <v>24</v>
      </c>
      <c r="K259" t="s">
        <v>189</v>
      </c>
      <c r="L259" t="s">
        <v>1047</v>
      </c>
      <c r="M259">
        <v>25</v>
      </c>
      <c r="N259" t="s">
        <v>34</v>
      </c>
      <c r="O259" t="s">
        <v>35</v>
      </c>
      <c r="Q259" t="s">
        <v>36</v>
      </c>
      <c r="R259">
        <v>50</v>
      </c>
      <c r="S259" t="s">
        <v>49</v>
      </c>
      <c r="T259" t="s">
        <v>164</v>
      </c>
      <c r="U259">
        <v>1</v>
      </c>
      <c r="V259" t="s">
        <v>39</v>
      </c>
      <c r="W259" t="s">
        <v>40</v>
      </c>
      <c r="X259" t="s">
        <v>109</v>
      </c>
      <c r="Y259" t="s">
        <v>53</v>
      </c>
    </row>
    <row r="260" spans="1:25">
      <c r="A260" t="s">
        <v>1161</v>
      </c>
      <c r="B260" t="s">
        <v>1162</v>
      </c>
      <c r="C260" t="s">
        <v>27</v>
      </c>
      <c r="D260">
        <v>31</v>
      </c>
      <c r="E260" t="s">
        <v>173</v>
      </c>
      <c r="F260" t="s">
        <v>29</v>
      </c>
      <c r="G260" t="s">
        <v>83</v>
      </c>
      <c r="H260" t="s">
        <v>513</v>
      </c>
      <c r="I260" t="s">
        <v>763</v>
      </c>
      <c r="J260">
        <v>4</v>
      </c>
      <c r="K260" t="s">
        <v>513</v>
      </c>
      <c r="L260" t="s">
        <v>1163</v>
      </c>
      <c r="M260">
        <v>11</v>
      </c>
      <c r="N260" t="s">
        <v>34</v>
      </c>
      <c r="O260" t="s">
        <v>35</v>
      </c>
      <c r="Q260" t="s">
        <v>36</v>
      </c>
      <c r="R260">
        <v>25</v>
      </c>
      <c r="S260" t="s">
        <v>77</v>
      </c>
      <c r="T260" t="s">
        <v>88</v>
      </c>
      <c r="U260">
        <v>3</v>
      </c>
      <c r="V260" t="s">
        <v>62</v>
      </c>
      <c r="W260" t="s">
        <v>165</v>
      </c>
      <c r="X260" t="s">
        <v>52</v>
      </c>
      <c r="Y260" t="s">
        <v>42</v>
      </c>
    </row>
    <row r="261" spans="1:25">
      <c r="A261" t="s">
        <v>1164</v>
      </c>
      <c r="B261" t="s">
        <v>1165</v>
      </c>
      <c r="C261" t="s">
        <v>204</v>
      </c>
      <c r="D261">
        <v>37</v>
      </c>
      <c r="E261" t="s">
        <v>81</v>
      </c>
      <c r="F261" t="s">
        <v>82</v>
      </c>
      <c r="G261" t="s">
        <v>83</v>
      </c>
      <c r="H261" t="s">
        <v>919</v>
      </c>
      <c r="I261" t="s">
        <v>1166</v>
      </c>
      <c r="J261">
        <v>8</v>
      </c>
      <c r="K261" t="s">
        <v>74</v>
      </c>
      <c r="L261" t="s">
        <v>1167</v>
      </c>
      <c r="M261">
        <v>14</v>
      </c>
      <c r="N261" t="s">
        <v>34</v>
      </c>
      <c r="O261" t="s">
        <v>270</v>
      </c>
      <c r="P261" t="s">
        <v>620</v>
      </c>
      <c r="Q261" t="s">
        <v>36</v>
      </c>
      <c r="R261">
        <v>20</v>
      </c>
      <c r="S261" t="s">
        <v>37</v>
      </c>
      <c r="T261" t="s">
        <v>96</v>
      </c>
      <c r="U261">
        <v>5</v>
      </c>
      <c r="V261" t="s">
        <v>89</v>
      </c>
      <c r="W261" t="s">
        <v>51</v>
      </c>
      <c r="X261" t="s">
        <v>52</v>
      </c>
      <c r="Y261" t="s">
        <v>53</v>
      </c>
    </row>
    <row r="262" spans="1:25">
      <c r="A262" t="s">
        <v>1168</v>
      </c>
      <c r="B262" t="s">
        <v>1169</v>
      </c>
      <c r="C262" t="s">
        <v>56</v>
      </c>
      <c r="D262">
        <v>15</v>
      </c>
      <c r="E262" t="s">
        <v>81</v>
      </c>
      <c r="F262" t="s">
        <v>82</v>
      </c>
      <c r="G262" t="s">
        <v>150</v>
      </c>
      <c r="H262" t="s">
        <v>1170</v>
      </c>
      <c r="I262" t="s">
        <v>1171</v>
      </c>
      <c r="J262">
        <v>8</v>
      </c>
      <c r="K262" t="s">
        <v>1053</v>
      </c>
      <c r="L262" t="s">
        <v>1172</v>
      </c>
      <c r="M262">
        <v>13</v>
      </c>
      <c r="N262" t="s">
        <v>34</v>
      </c>
      <c r="O262" t="s">
        <v>35</v>
      </c>
      <c r="Q262" t="s">
        <v>36</v>
      </c>
      <c r="R262">
        <v>20</v>
      </c>
      <c r="S262" t="s">
        <v>37</v>
      </c>
      <c r="T262" t="s">
        <v>96</v>
      </c>
      <c r="U262">
        <v>4</v>
      </c>
      <c r="V262" t="s">
        <v>89</v>
      </c>
      <c r="W262" t="s">
        <v>103</v>
      </c>
      <c r="X262" t="s">
        <v>41</v>
      </c>
      <c r="Y262" t="s">
        <v>42</v>
      </c>
    </row>
    <row r="263" spans="1:25">
      <c r="A263" t="s">
        <v>1173</v>
      </c>
      <c r="B263" t="s">
        <v>1174</v>
      </c>
      <c r="C263" t="s">
        <v>204</v>
      </c>
      <c r="D263">
        <v>10</v>
      </c>
      <c r="E263" t="s">
        <v>173</v>
      </c>
      <c r="F263" t="s">
        <v>29</v>
      </c>
      <c r="G263" t="s">
        <v>45</v>
      </c>
      <c r="H263" t="s">
        <v>267</v>
      </c>
      <c r="I263" t="s">
        <v>681</v>
      </c>
      <c r="J263">
        <v>4</v>
      </c>
      <c r="K263" t="s">
        <v>267</v>
      </c>
      <c r="L263" t="s">
        <v>924</v>
      </c>
      <c r="M263">
        <v>9</v>
      </c>
      <c r="N263" t="s">
        <v>34</v>
      </c>
      <c r="O263" t="s">
        <v>35</v>
      </c>
      <c r="Q263" t="s">
        <v>36</v>
      </c>
      <c r="R263">
        <v>25</v>
      </c>
      <c r="S263" t="s">
        <v>37</v>
      </c>
      <c r="T263" t="s">
        <v>164</v>
      </c>
      <c r="U263">
        <v>3</v>
      </c>
      <c r="V263" t="s">
        <v>62</v>
      </c>
      <c r="W263" t="s">
        <v>51</v>
      </c>
      <c r="X263" t="s">
        <v>109</v>
      </c>
      <c r="Y263" t="s">
        <v>42</v>
      </c>
    </row>
    <row r="264" spans="1:25">
      <c r="A264" t="s">
        <v>1175</v>
      </c>
      <c r="B264" t="s">
        <v>1176</v>
      </c>
      <c r="C264" t="s">
        <v>204</v>
      </c>
      <c r="D264">
        <v>50</v>
      </c>
      <c r="E264" t="s">
        <v>149</v>
      </c>
      <c r="F264" t="s">
        <v>29</v>
      </c>
      <c r="G264" t="s">
        <v>58</v>
      </c>
      <c r="H264" t="s">
        <v>1177</v>
      </c>
      <c r="I264" t="s">
        <v>704</v>
      </c>
      <c r="J264">
        <v>6</v>
      </c>
      <c r="K264" t="s">
        <v>1177</v>
      </c>
      <c r="L264" t="s">
        <v>772</v>
      </c>
      <c r="M264">
        <v>6</v>
      </c>
      <c r="N264" t="s">
        <v>68</v>
      </c>
      <c r="O264" t="s">
        <v>35</v>
      </c>
      <c r="Q264" t="s">
        <v>36</v>
      </c>
      <c r="R264">
        <v>40</v>
      </c>
      <c r="S264" t="s">
        <v>49</v>
      </c>
      <c r="T264" t="s">
        <v>69</v>
      </c>
      <c r="U264">
        <v>2</v>
      </c>
      <c r="V264" t="s">
        <v>70</v>
      </c>
      <c r="W264" t="s">
        <v>51</v>
      </c>
      <c r="X264" t="s">
        <v>52</v>
      </c>
      <c r="Y264" t="s">
        <v>53</v>
      </c>
    </row>
    <row r="265" spans="1:25">
      <c r="A265" t="s">
        <v>1178</v>
      </c>
      <c r="B265" t="s">
        <v>1179</v>
      </c>
      <c r="C265" t="s">
        <v>204</v>
      </c>
      <c r="D265">
        <v>27</v>
      </c>
      <c r="E265" t="s">
        <v>92</v>
      </c>
      <c r="F265" t="s">
        <v>29</v>
      </c>
      <c r="G265" t="s">
        <v>93</v>
      </c>
      <c r="H265" t="s">
        <v>1180</v>
      </c>
      <c r="I265" t="s">
        <v>1088</v>
      </c>
      <c r="J265">
        <v>24</v>
      </c>
      <c r="K265" t="s">
        <v>1181</v>
      </c>
      <c r="L265" t="s">
        <v>676</v>
      </c>
      <c r="M265">
        <v>30</v>
      </c>
      <c r="N265" t="s">
        <v>34</v>
      </c>
      <c r="O265" t="s">
        <v>35</v>
      </c>
      <c r="Q265" t="s">
        <v>36</v>
      </c>
      <c r="R265">
        <v>50</v>
      </c>
      <c r="S265" t="s">
        <v>77</v>
      </c>
      <c r="T265" t="s">
        <v>96</v>
      </c>
      <c r="U265">
        <v>1</v>
      </c>
      <c r="V265" t="s">
        <v>70</v>
      </c>
      <c r="W265" t="s">
        <v>103</v>
      </c>
      <c r="X265" t="s">
        <v>109</v>
      </c>
      <c r="Y265" t="s">
        <v>71</v>
      </c>
    </row>
    <row r="266" spans="1:25">
      <c r="A266" t="s">
        <v>1182</v>
      </c>
      <c r="B266" t="s">
        <v>1183</v>
      </c>
      <c r="C266" t="s">
        <v>56</v>
      </c>
      <c r="D266">
        <v>18</v>
      </c>
      <c r="E266" t="s">
        <v>28</v>
      </c>
      <c r="F266" t="s">
        <v>29</v>
      </c>
      <c r="G266" t="s">
        <v>150</v>
      </c>
      <c r="H266" t="s">
        <v>59</v>
      </c>
      <c r="I266" t="s">
        <v>1184</v>
      </c>
      <c r="J266">
        <v>5</v>
      </c>
      <c r="K266" t="s">
        <v>59</v>
      </c>
      <c r="L266" t="s">
        <v>1024</v>
      </c>
      <c r="M266">
        <v>7</v>
      </c>
      <c r="N266" t="s">
        <v>34</v>
      </c>
      <c r="O266" t="s">
        <v>35</v>
      </c>
      <c r="Q266" t="s">
        <v>36</v>
      </c>
      <c r="S266" t="s">
        <v>49</v>
      </c>
      <c r="T266" t="s">
        <v>164</v>
      </c>
      <c r="U266">
        <v>3</v>
      </c>
      <c r="V266" t="s">
        <v>70</v>
      </c>
      <c r="W266" t="s">
        <v>51</v>
      </c>
      <c r="X266" t="s">
        <v>52</v>
      </c>
      <c r="Y266" t="s">
        <v>71</v>
      </c>
    </row>
    <row r="267" spans="1:25">
      <c r="A267" t="s">
        <v>1185</v>
      </c>
      <c r="B267" t="s">
        <v>1186</v>
      </c>
      <c r="C267" t="s">
        <v>80</v>
      </c>
      <c r="D267">
        <v>68</v>
      </c>
      <c r="E267" t="s">
        <v>173</v>
      </c>
      <c r="F267" t="s">
        <v>29</v>
      </c>
      <c r="G267" t="s">
        <v>93</v>
      </c>
      <c r="H267" t="s">
        <v>979</v>
      </c>
      <c r="I267" t="s">
        <v>47</v>
      </c>
      <c r="J267">
        <v>4</v>
      </c>
      <c r="K267" t="s">
        <v>979</v>
      </c>
      <c r="L267" t="s">
        <v>229</v>
      </c>
      <c r="M267">
        <v>3</v>
      </c>
      <c r="N267" t="s">
        <v>68</v>
      </c>
      <c r="O267" t="s">
        <v>35</v>
      </c>
      <c r="Q267" t="s">
        <v>36</v>
      </c>
      <c r="R267">
        <v>25</v>
      </c>
      <c r="S267" t="s">
        <v>37</v>
      </c>
      <c r="T267" t="s">
        <v>88</v>
      </c>
      <c r="U267">
        <v>4</v>
      </c>
      <c r="V267" t="s">
        <v>39</v>
      </c>
      <c r="W267" t="s">
        <v>165</v>
      </c>
      <c r="X267" t="s">
        <v>109</v>
      </c>
      <c r="Y267" t="s">
        <v>42</v>
      </c>
    </row>
    <row r="268" spans="1:25">
      <c r="A268" t="s">
        <v>1187</v>
      </c>
      <c r="B268" t="s">
        <v>1188</v>
      </c>
      <c r="C268" t="s">
        <v>27</v>
      </c>
      <c r="D268">
        <v>43</v>
      </c>
      <c r="E268" t="s">
        <v>173</v>
      </c>
      <c r="F268" t="s">
        <v>29</v>
      </c>
      <c r="G268" t="s">
        <v>30</v>
      </c>
      <c r="H268" t="s">
        <v>556</v>
      </c>
      <c r="I268" t="s">
        <v>479</v>
      </c>
      <c r="J268">
        <v>4</v>
      </c>
      <c r="K268" t="s">
        <v>1189</v>
      </c>
      <c r="L268" t="s">
        <v>1190</v>
      </c>
      <c r="M268">
        <v>8</v>
      </c>
      <c r="N268" t="s">
        <v>34</v>
      </c>
      <c r="O268" t="s">
        <v>35</v>
      </c>
      <c r="Q268" t="s">
        <v>36</v>
      </c>
      <c r="R268">
        <v>25</v>
      </c>
      <c r="S268" t="s">
        <v>49</v>
      </c>
      <c r="T268" t="s">
        <v>88</v>
      </c>
      <c r="U268">
        <v>4</v>
      </c>
      <c r="V268" t="s">
        <v>62</v>
      </c>
      <c r="W268" t="s">
        <v>165</v>
      </c>
      <c r="X268" t="s">
        <v>41</v>
      </c>
      <c r="Y268" t="s">
        <v>71</v>
      </c>
    </row>
    <row r="269" spans="1:25">
      <c r="A269" t="s">
        <v>1191</v>
      </c>
      <c r="B269" t="s">
        <v>1192</v>
      </c>
      <c r="C269" t="s">
        <v>204</v>
      </c>
      <c r="D269">
        <v>8</v>
      </c>
      <c r="E269" t="s">
        <v>28</v>
      </c>
      <c r="F269" t="s">
        <v>29</v>
      </c>
      <c r="G269" t="s">
        <v>93</v>
      </c>
      <c r="H269" t="s">
        <v>253</v>
      </c>
      <c r="I269" t="s">
        <v>1193</v>
      </c>
      <c r="J269">
        <v>5</v>
      </c>
      <c r="K269" t="s">
        <v>253</v>
      </c>
      <c r="L269" t="s">
        <v>716</v>
      </c>
      <c r="M269">
        <v>9</v>
      </c>
      <c r="N269" t="s">
        <v>34</v>
      </c>
      <c r="O269" t="s">
        <v>35</v>
      </c>
      <c r="Q269" t="s">
        <v>36</v>
      </c>
      <c r="R269">
        <v>35</v>
      </c>
      <c r="S269" t="s">
        <v>49</v>
      </c>
      <c r="T269" t="s">
        <v>88</v>
      </c>
      <c r="U269">
        <v>3</v>
      </c>
      <c r="V269" t="s">
        <v>70</v>
      </c>
      <c r="W269" t="s">
        <v>165</v>
      </c>
      <c r="X269" t="s">
        <v>109</v>
      </c>
      <c r="Y269" t="s">
        <v>53</v>
      </c>
    </row>
    <row r="270" spans="1:25">
      <c r="A270" t="s">
        <v>1194</v>
      </c>
      <c r="B270" t="s">
        <v>1195</v>
      </c>
      <c r="C270" t="s">
        <v>56</v>
      </c>
      <c r="D270">
        <v>14</v>
      </c>
      <c r="E270" t="s">
        <v>81</v>
      </c>
      <c r="F270" t="s">
        <v>82</v>
      </c>
      <c r="G270" t="s">
        <v>83</v>
      </c>
      <c r="H270" t="s">
        <v>1097</v>
      </c>
      <c r="I270" t="s">
        <v>476</v>
      </c>
      <c r="J270">
        <v>8</v>
      </c>
      <c r="K270" t="s">
        <v>1097</v>
      </c>
      <c r="L270" t="s">
        <v>825</v>
      </c>
      <c r="M270">
        <v>13</v>
      </c>
      <c r="N270" t="s">
        <v>34</v>
      </c>
      <c r="O270" t="s">
        <v>35</v>
      </c>
      <c r="Q270" t="s">
        <v>36</v>
      </c>
      <c r="R270">
        <v>20</v>
      </c>
      <c r="S270" t="s">
        <v>49</v>
      </c>
      <c r="T270" t="s">
        <v>69</v>
      </c>
      <c r="U270">
        <v>2</v>
      </c>
      <c r="V270" t="s">
        <v>62</v>
      </c>
      <c r="W270" t="s">
        <v>165</v>
      </c>
      <c r="X270" t="s">
        <v>109</v>
      </c>
      <c r="Y270" t="s">
        <v>71</v>
      </c>
    </row>
    <row r="271" spans="1:25">
      <c r="A271" t="s">
        <v>1196</v>
      </c>
      <c r="B271" t="s">
        <v>1197</v>
      </c>
      <c r="C271" t="s">
        <v>27</v>
      </c>
      <c r="D271">
        <v>11</v>
      </c>
      <c r="E271" t="s">
        <v>173</v>
      </c>
      <c r="F271" t="s">
        <v>29</v>
      </c>
      <c r="G271" t="s">
        <v>150</v>
      </c>
      <c r="H271" t="s">
        <v>780</v>
      </c>
      <c r="I271" t="s">
        <v>107</v>
      </c>
      <c r="J271">
        <v>4</v>
      </c>
      <c r="K271" t="s">
        <v>780</v>
      </c>
      <c r="L271" t="s">
        <v>1198</v>
      </c>
      <c r="M271">
        <v>5</v>
      </c>
      <c r="N271" t="s">
        <v>34</v>
      </c>
      <c r="O271" t="s">
        <v>35</v>
      </c>
      <c r="Q271" t="s">
        <v>36</v>
      </c>
      <c r="R271">
        <v>25</v>
      </c>
      <c r="S271" t="s">
        <v>37</v>
      </c>
      <c r="T271" t="s">
        <v>88</v>
      </c>
      <c r="U271">
        <v>4</v>
      </c>
      <c r="V271" t="s">
        <v>39</v>
      </c>
      <c r="W271" t="s">
        <v>51</v>
      </c>
      <c r="X271" t="s">
        <v>109</v>
      </c>
      <c r="Y271" t="s">
        <v>71</v>
      </c>
    </row>
    <row r="272" spans="1:25">
      <c r="A272" t="s">
        <v>1199</v>
      </c>
      <c r="B272" t="s">
        <v>1200</v>
      </c>
      <c r="C272" t="s">
        <v>204</v>
      </c>
      <c r="D272">
        <v>84</v>
      </c>
      <c r="E272" t="s">
        <v>92</v>
      </c>
      <c r="F272" t="s">
        <v>29</v>
      </c>
      <c r="G272" t="s">
        <v>93</v>
      </c>
      <c r="H272" t="s">
        <v>205</v>
      </c>
      <c r="I272" t="s">
        <v>1201</v>
      </c>
      <c r="J272">
        <v>24</v>
      </c>
      <c r="K272" t="s">
        <v>207</v>
      </c>
      <c r="L272" t="s">
        <v>1202</v>
      </c>
      <c r="M272">
        <v>30</v>
      </c>
      <c r="N272" t="s">
        <v>34</v>
      </c>
      <c r="O272" t="s">
        <v>35</v>
      </c>
      <c r="Q272" t="s">
        <v>132</v>
      </c>
      <c r="R272">
        <v>50</v>
      </c>
      <c r="S272" t="s">
        <v>77</v>
      </c>
      <c r="T272" t="s">
        <v>88</v>
      </c>
      <c r="U272">
        <v>2</v>
      </c>
      <c r="V272" t="s">
        <v>89</v>
      </c>
      <c r="W272" t="s">
        <v>40</v>
      </c>
      <c r="X272" t="s">
        <v>109</v>
      </c>
      <c r="Y272" t="s">
        <v>71</v>
      </c>
    </row>
    <row r="273" spans="1:25">
      <c r="A273" t="s">
        <v>1203</v>
      </c>
      <c r="B273" t="s">
        <v>1204</v>
      </c>
      <c r="C273" t="s">
        <v>80</v>
      </c>
      <c r="D273">
        <v>89</v>
      </c>
      <c r="E273" t="s">
        <v>92</v>
      </c>
      <c r="F273" t="s">
        <v>29</v>
      </c>
      <c r="G273" t="s">
        <v>45</v>
      </c>
      <c r="H273" t="s">
        <v>411</v>
      </c>
      <c r="I273" t="s">
        <v>1205</v>
      </c>
      <c r="J273">
        <v>24</v>
      </c>
      <c r="K273" t="s">
        <v>413</v>
      </c>
      <c r="L273" t="s">
        <v>829</v>
      </c>
      <c r="M273">
        <v>29</v>
      </c>
      <c r="N273" t="s">
        <v>34</v>
      </c>
      <c r="O273" t="s">
        <v>270</v>
      </c>
      <c r="P273" t="s">
        <v>271</v>
      </c>
      <c r="Q273" t="s">
        <v>36</v>
      </c>
      <c r="R273">
        <v>50</v>
      </c>
      <c r="S273" t="s">
        <v>77</v>
      </c>
      <c r="T273" t="s">
        <v>69</v>
      </c>
      <c r="U273">
        <v>1</v>
      </c>
      <c r="V273" t="s">
        <v>89</v>
      </c>
      <c r="W273" t="s">
        <v>51</v>
      </c>
      <c r="X273" t="s">
        <v>41</v>
      </c>
      <c r="Y273" t="s">
        <v>53</v>
      </c>
    </row>
    <row r="274" spans="1:25">
      <c r="A274" t="s">
        <v>1206</v>
      </c>
      <c r="B274" t="s">
        <v>1207</v>
      </c>
      <c r="C274" t="s">
        <v>27</v>
      </c>
      <c r="D274">
        <v>46</v>
      </c>
      <c r="E274" t="s">
        <v>173</v>
      </c>
      <c r="F274" t="s">
        <v>29</v>
      </c>
      <c r="G274" t="s">
        <v>168</v>
      </c>
      <c r="H274" t="s">
        <v>1208</v>
      </c>
      <c r="I274" t="s">
        <v>883</v>
      </c>
      <c r="J274">
        <v>4</v>
      </c>
      <c r="K274" t="s">
        <v>1208</v>
      </c>
      <c r="L274" t="s">
        <v>597</v>
      </c>
      <c r="M274">
        <v>12</v>
      </c>
      <c r="N274" t="s">
        <v>34</v>
      </c>
      <c r="O274" t="s">
        <v>35</v>
      </c>
      <c r="Q274" t="s">
        <v>36</v>
      </c>
      <c r="R274">
        <v>25</v>
      </c>
      <c r="S274" t="s">
        <v>37</v>
      </c>
      <c r="T274" t="s">
        <v>50</v>
      </c>
      <c r="U274">
        <v>2</v>
      </c>
      <c r="V274" t="s">
        <v>39</v>
      </c>
      <c r="W274" t="s">
        <v>51</v>
      </c>
      <c r="X274" t="s">
        <v>109</v>
      </c>
      <c r="Y274" t="s">
        <v>71</v>
      </c>
    </row>
    <row r="275" spans="1:25">
      <c r="A275" t="s">
        <v>1209</v>
      </c>
      <c r="B275" t="s">
        <v>1210</v>
      </c>
      <c r="C275" t="s">
        <v>56</v>
      </c>
      <c r="D275">
        <v>53</v>
      </c>
      <c r="E275" t="s">
        <v>57</v>
      </c>
      <c r="F275" t="s">
        <v>29</v>
      </c>
      <c r="G275" t="s">
        <v>58</v>
      </c>
      <c r="H275" t="s">
        <v>542</v>
      </c>
      <c r="I275" t="s">
        <v>522</v>
      </c>
      <c r="J275">
        <v>3</v>
      </c>
      <c r="K275" t="s">
        <v>542</v>
      </c>
      <c r="L275" t="s">
        <v>817</v>
      </c>
      <c r="M275">
        <v>10</v>
      </c>
      <c r="N275" t="s">
        <v>34</v>
      </c>
      <c r="O275" t="s">
        <v>35</v>
      </c>
      <c r="Q275" t="s">
        <v>36</v>
      </c>
      <c r="R275">
        <v>15</v>
      </c>
      <c r="S275" t="s">
        <v>77</v>
      </c>
      <c r="T275" t="s">
        <v>38</v>
      </c>
      <c r="U275">
        <v>3</v>
      </c>
      <c r="V275" t="s">
        <v>89</v>
      </c>
      <c r="W275" t="s">
        <v>103</v>
      </c>
      <c r="X275" t="s">
        <v>52</v>
      </c>
      <c r="Y275" t="s">
        <v>42</v>
      </c>
    </row>
    <row r="276" spans="1:25">
      <c r="A276" t="s">
        <v>1211</v>
      </c>
      <c r="B276" t="s">
        <v>1212</v>
      </c>
      <c r="C276" t="s">
        <v>56</v>
      </c>
      <c r="D276">
        <v>30</v>
      </c>
      <c r="E276" t="s">
        <v>173</v>
      </c>
      <c r="F276" t="s">
        <v>29</v>
      </c>
      <c r="G276" t="s">
        <v>83</v>
      </c>
      <c r="H276" t="s">
        <v>1213</v>
      </c>
      <c r="I276" t="s">
        <v>145</v>
      </c>
      <c r="J276">
        <v>4</v>
      </c>
      <c r="K276" t="s">
        <v>1213</v>
      </c>
      <c r="L276" t="s">
        <v>1214</v>
      </c>
      <c r="M276">
        <v>7</v>
      </c>
      <c r="N276" t="s">
        <v>34</v>
      </c>
      <c r="O276" t="s">
        <v>35</v>
      </c>
      <c r="Q276" t="s">
        <v>36</v>
      </c>
      <c r="R276">
        <v>25</v>
      </c>
      <c r="S276" t="s">
        <v>49</v>
      </c>
      <c r="T276" t="s">
        <v>50</v>
      </c>
      <c r="U276">
        <v>1</v>
      </c>
      <c r="V276" t="s">
        <v>89</v>
      </c>
      <c r="W276" t="s">
        <v>165</v>
      </c>
      <c r="X276" t="s">
        <v>52</v>
      </c>
      <c r="Y276" t="s">
        <v>42</v>
      </c>
    </row>
    <row r="277" spans="1:25">
      <c r="A277" t="s">
        <v>1215</v>
      </c>
      <c r="B277" t="s">
        <v>1216</v>
      </c>
      <c r="C277" t="s">
        <v>27</v>
      </c>
      <c r="D277">
        <v>76</v>
      </c>
      <c r="E277" t="s">
        <v>28</v>
      </c>
      <c r="F277" t="s">
        <v>29</v>
      </c>
      <c r="G277" t="s">
        <v>30</v>
      </c>
      <c r="H277" t="s">
        <v>184</v>
      </c>
      <c r="I277" t="s">
        <v>1217</v>
      </c>
      <c r="J277">
        <v>5</v>
      </c>
      <c r="K277" t="s">
        <v>184</v>
      </c>
      <c r="L277" t="s">
        <v>1218</v>
      </c>
      <c r="M277">
        <v>9</v>
      </c>
      <c r="N277" t="s">
        <v>34</v>
      </c>
      <c r="O277" t="s">
        <v>270</v>
      </c>
      <c r="P277" t="s">
        <v>620</v>
      </c>
      <c r="Q277" t="s">
        <v>36</v>
      </c>
      <c r="R277">
        <v>35</v>
      </c>
      <c r="S277" t="s">
        <v>49</v>
      </c>
      <c r="T277" t="s">
        <v>88</v>
      </c>
      <c r="U277">
        <v>4</v>
      </c>
      <c r="V277" t="s">
        <v>62</v>
      </c>
      <c r="W277" t="s">
        <v>165</v>
      </c>
      <c r="X277" t="s">
        <v>109</v>
      </c>
      <c r="Y277" t="s">
        <v>53</v>
      </c>
    </row>
    <row r="278" spans="1:25">
      <c r="A278" t="s">
        <v>1219</v>
      </c>
      <c r="B278" t="s">
        <v>1220</v>
      </c>
      <c r="C278" t="s">
        <v>204</v>
      </c>
      <c r="D278">
        <v>5</v>
      </c>
      <c r="E278" t="s">
        <v>28</v>
      </c>
      <c r="F278" t="s">
        <v>29</v>
      </c>
      <c r="G278" t="s">
        <v>93</v>
      </c>
      <c r="H278" t="s">
        <v>1087</v>
      </c>
      <c r="I278" t="s">
        <v>1221</v>
      </c>
      <c r="J278">
        <v>5</v>
      </c>
      <c r="K278" t="s">
        <v>1087</v>
      </c>
      <c r="L278" t="s">
        <v>1222</v>
      </c>
      <c r="M278">
        <v>4</v>
      </c>
      <c r="N278" t="s">
        <v>68</v>
      </c>
      <c r="O278" t="s">
        <v>35</v>
      </c>
      <c r="Q278" t="s">
        <v>36</v>
      </c>
      <c r="R278">
        <v>35</v>
      </c>
      <c r="S278" t="s">
        <v>37</v>
      </c>
      <c r="T278" t="s">
        <v>38</v>
      </c>
      <c r="U278">
        <v>4</v>
      </c>
      <c r="V278" t="s">
        <v>39</v>
      </c>
      <c r="W278" t="s">
        <v>103</v>
      </c>
      <c r="X278" t="s">
        <v>109</v>
      </c>
      <c r="Y278" t="s">
        <v>53</v>
      </c>
    </row>
    <row r="279" spans="1:25">
      <c r="A279" t="s">
        <v>1223</v>
      </c>
      <c r="B279" t="s">
        <v>1224</v>
      </c>
      <c r="C279" t="s">
        <v>56</v>
      </c>
      <c r="D279">
        <v>57</v>
      </c>
      <c r="E279" t="s">
        <v>92</v>
      </c>
      <c r="F279" t="s">
        <v>29</v>
      </c>
      <c r="G279" t="s">
        <v>93</v>
      </c>
      <c r="H279" t="s">
        <v>247</v>
      </c>
      <c r="I279" t="s">
        <v>1225</v>
      </c>
      <c r="J279">
        <v>24</v>
      </c>
      <c r="K279" t="s">
        <v>586</v>
      </c>
      <c r="L279" t="s">
        <v>268</v>
      </c>
      <c r="M279">
        <v>29</v>
      </c>
      <c r="N279" t="s">
        <v>34</v>
      </c>
      <c r="O279" t="s">
        <v>35</v>
      </c>
      <c r="Q279" t="s">
        <v>36</v>
      </c>
      <c r="R279">
        <v>50</v>
      </c>
      <c r="S279" t="s">
        <v>49</v>
      </c>
      <c r="T279" t="s">
        <v>96</v>
      </c>
      <c r="U279">
        <v>4</v>
      </c>
      <c r="V279" t="s">
        <v>39</v>
      </c>
      <c r="W279" t="s">
        <v>103</v>
      </c>
      <c r="X279" t="s">
        <v>52</v>
      </c>
      <c r="Y279" t="s">
        <v>53</v>
      </c>
    </row>
    <row r="280" spans="1:25">
      <c r="A280" t="s">
        <v>1226</v>
      </c>
      <c r="B280" t="s">
        <v>1227</v>
      </c>
      <c r="C280" t="s">
        <v>56</v>
      </c>
      <c r="D280">
        <v>44</v>
      </c>
      <c r="E280" t="s">
        <v>28</v>
      </c>
      <c r="F280" t="s">
        <v>29</v>
      </c>
      <c r="G280" t="s">
        <v>45</v>
      </c>
      <c r="H280" t="s">
        <v>123</v>
      </c>
      <c r="I280" t="s">
        <v>1228</v>
      </c>
      <c r="J280">
        <v>5</v>
      </c>
      <c r="K280" t="s">
        <v>123</v>
      </c>
      <c r="L280" t="s">
        <v>1229</v>
      </c>
      <c r="M280">
        <v>4</v>
      </c>
      <c r="N280" t="s">
        <v>68</v>
      </c>
      <c r="O280" t="s">
        <v>35</v>
      </c>
      <c r="Q280" t="s">
        <v>36</v>
      </c>
      <c r="R280">
        <v>35</v>
      </c>
      <c r="S280" t="s">
        <v>37</v>
      </c>
      <c r="T280" t="s">
        <v>38</v>
      </c>
      <c r="U280">
        <v>4</v>
      </c>
      <c r="V280" t="s">
        <v>39</v>
      </c>
      <c r="W280" t="s">
        <v>51</v>
      </c>
      <c r="X280" t="s">
        <v>109</v>
      </c>
      <c r="Y280" t="s">
        <v>42</v>
      </c>
    </row>
    <row r="281" spans="1:25">
      <c r="A281" t="s">
        <v>1230</v>
      </c>
      <c r="B281" t="s">
        <v>1231</v>
      </c>
      <c r="C281" t="s">
        <v>27</v>
      </c>
      <c r="D281">
        <v>29</v>
      </c>
      <c r="E281" t="s">
        <v>57</v>
      </c>
      <c r="F281" t="s">
        <v>29</v>
      </c>
      <c r="G281" t="s">
        <v>93</v>
      </c>
      <c r="H281" t="s">
        <v>31</v>
      </c>
      <c r="I281" t="s">
        <v>1232</v>
      </c>
      <c r="J281">
        <v>3</v>
      </c>
      <c r="K281" t="s">
        <v>31</v>
      </c>
      <c r="L281" t="s">
        <v>984</v>
      </c>
      <c r="M281">
        <v>8</v>
      </c>
      <c r="N281" t="s">
        <v>34</v>
      </c>
      <c r="O281" t="s">
        <v>35</v>
      </c>
      <c r="Q281" t="s">
        <v>36</v>
      </c>
      <c r="R281">
        <v>15</v>
      </c>
      <c r="S281" t="s">
        <v>37</v>
      </c>
      <c r="T281" t="s">
        <v>69</v>
      </c>
      <c r="U281">
        <v>2</v>
      </c>
      <c r="V281" t="s">
        <v>39</v>
      </c>
      <c r="W281" t="s">
        <v>103</v>
      </c>
      <c r="X281" t="s">
        <v>41</v>
      </c>
      <c r="Y281" t="s">
        <v>53</v>
      </c>
    </row>
    <row r="282" spans="1:25">
      <c r="A282" t="s">
        <v>1233</v>
      </c>
      <c r="B282" t="s">
        <v>1234</v>
      </c>
      <c r="C282" t="s">
        <v>80</v>
      </c>
      <c r="D282">
        <v>34</v>
      </c>
      <c r="E282" t="s">
        <v>173</v>
      </c>
      <c r="F282" t="s">
        <v>29</v>
      </c>
      <c r="G282" t="s">
        <v>83</v>
      </c>
      <c r="H282" t="s">
        <v>1235</v>
      </c>
      <c r="I282" t="s">
        <v>1236</v>
      </c>
      <c r="J282">
        <v>4</v>
      </c>
      <c r="K282" t="s">
        <v>274</v>
      </c>
      <c r="L282" t="s">
        <v>1237</v>
      </c>
      <c r="M282">
        <v>12</v>
      </c>
      <c r="N282" t="s">
        <v>34</v>
      </c>
      <c r="O282" t="s">
        <v>35</v>
      </c>
      <c r="Q282" t="s">
        <v>36</v>
      </c>
      <c r="R282">
        <v>25</v>
      </c>
      <c r="S282" t="s">
        <v>77</v>
      </c>
      <c r="T282" t="s">
        <v>96</v>
      </c>
      <c r="U282">
        <v>4</v>
      </c>
      <c r="V282" t="s">
        <v>89</v>
      </c>
      <c r="W282" t="s">
        <v>40</v>
      </c>
      <c r="X282" t="s">
        <v>41</v>
      </c>
      <c r="Y282" t="s">
        <v>42</v>
      </c>
    </row>
    <row r="283" spans="1:25">
      <c r="A283" t="s">
        <v>1238</v>
      </c>
      <c r="B283" t="s">
        <v>1239</v>
      </c>
      <c r="C283" t="s">
        <v>80</v>
      </c>
      <c r="D283">
        <v>21</v>
      </c>
      <c r="E283" t="s">
        <v>28</v>
      </c>
      <c r="F283" t="s">
        <v>29</v>
      </c>
      <c r="G283" t="s">
        <v>83</v>
      </c>
      <c r="H283" t="s">
        <v>1240</v>
      </c>
      <c r="I283" t="s">
        <v>1241</v>
      </c>
      <c r="J283">
        <v>5</v>
      </c>
      <c r="K283" t="s">
        <v>211</v>
      </c>
      <c r="L283" t="s">
        <v>1237</v>
      </c>
      <c r="M283">
        <v>9</v>
      </c>
      <c r="N283" t="s">
        <v>34</v>
      </c>
      <c r="O283" t="s">
        <v>35</v>
      </c>
      <c r="Q283" t="s">
        <v>36</v>
      </c>
      <c r="R283">
        <v>35</v>
      </c>
      <c r="S283" t="s">
        <v>49</v>
      </c>
      <c r="T283" t="s">
        <v>88</v>
      </c>
      <c r="U283">
        <v>2</v>
      </c>
      <c r="V283" t="s">
        <v>39</v>
      </c>
      <c r="W283" t="s">
        <v>165</v>
      </c>
      <c r="X283" t="s">
        <v>109</v>
      </c>
      <c r="Y283" t="s">
        <v>42</v>
      </c>
    </row>
    <row r="284" spans="1:25">
      <c r="A284" t="s">
        <v>1242</v>
      </c>
      <c r="B284" t="s">
        <v>1243</v>
      </c>
      <c r="C284" t="s">
        <v>27</v>
      </c>
      <c r="D284">
        <v>17</v>
      </c>
      <c r="E284" t="s">
        <v>28</v>
      </c>
      <c r="F284" t="s">
        <v>29</v>
      </c>
      <c r="G284" t="s">
        <v>30</v>
      </c>
      <c r="H284" t="s">
        <v>464</v>
      </c>
      <c r="I284" t="s">
        <v>1244</v>
      </c>
      <c r="J284">
        <v>5</v>
      </c>
      <c r="K284" t="s">
        <v>464</v>
      </c>
      <c r="L284" t="s">
        <v>1245</v>
      </c>
      <c r="M284">
        <v>10</v>
      </c>
      <c r="N284" t="s">
        <v>34</v>
      </c>
      <c r="O284" t="s">
        <v>35</v>
      </c>
      <c r="Q284" t="s">
        <v>36</v>
      </c>
      <c r="R284">
        <v>35</v>
      </c>
      <c r="S284" t="s">
        <v>77</v>
      </c>
      <c r="T284" t="s">
        <v>88</v>
      </c>
      <c r="U284">
        <v>1</v>
      </c>
      <c r="V284" t="s">
        <v>70</v>
      </c>
      <c r="W284" t="s">
        <v>40</v>
      </c>
      <c r="X284" t="s">
        <v>109</v>
      </c>
      <c r="Y284" t="s">
        <v>42</v>
      </c>
    </row>
    <row r="285" spans="1:25">
      <c r="A285" t="s">
        <v>1246</v>
      </c>
      <c r="B285" t="s">
        <v>1247</v>
      </c>
      <c r="C285" t="s">
        <v>56</v>
      </c>
      <c r="D285">
        <v>30</v>
      </c>
      <c r="E285" t="s">
        <v>57</v>
      </c>
      <c r="F285" t="s">
        <v>29</v>
      </c>
      <c r="G285" t="s">
        <v>58</v>
      </c>
      <c r="H285" t="s">
        <v>1248</v>
      </c>
      <c r="I285" t="s">
        <v>75</v>
      </c>
      <c r="J285">
        <v>3</v>
      </c>
      <c r="K285" t="s">
        <v>1248</v>
      </c>
      <c r="L285" t="s">
        <v>1249</v>
      </c>
      <c r="M285">
        <v>3</v>
      </c>
      <c r="N285" t="s">
        <v>68</v>
      </c>
      <c r="O285" t="s">
        <v>35</v>
      </c>
      <c r="Q285" t="s">
        <v>36</v>
      </c>
      <c r="R285">
        <v>15</v>
      </c>
      <c r="S285" t="s">
        <v>49</v>
      </c>
      <c r="T285" t="s">
        <v>88</v>
      </c>
      <c r="U285">
        <v>4</v>
      </c>
      <c r="V285" t="s">
        <v>39</v>
      </c>
      <c r="W285" t="s">
        <v>103</v>
      </c>
      <c r="X285" t="s">
        <v>52</v>
      </c>
      <c r="Y285" t="s">
        <v>71</v>
      </c>
    </row>
    <row r="286" spans="1:25">
      <c r="A286" t="s">
        <v>1250</v>
      </c>
      <c r="B286" t="s">
        <v>1251</v>
      </c>
      <c r="C286" t="s">
        <v>80</v>
      </c>
      <c r="D286">
        <v>74</v>
      </c>
      <c r="E286" t="s">
        <v>81</v>
      </c>
      <c r="F286" t="s">
        <v>82</v>
      </c>
      <c r="G286" t="s">
        <v>83</v>
      </c>
      <c r="H286" t="s">
        <v>700</v>
      </c>
      <c r="I286" t="s">
        <v>316</v>
      </c>
      <c r="J286">
        <v>8</v>
      </c>
      <c r="K286" t="s">
        <v>712</v>
      </c>
      <c r="L286" t="s">
        <v>1252</v>
      </c>
      <c r="M286">
        <v>10</v>
      </c>
      <c r="N286" t="s">
        <v>34</v>
      </c>
      <c r="O286" t="s">
        <v>35</v>
      </c>
      <c r="Q286" t="s">
        <v>36</v>
      </c>
      <c r="R286">
        <v>20</v>
      </c>
      <c r="S286" t="s">
        <v>49</v>
      </c>
      <c r="T286" t="s">
        <v>50</v>
      </c>
      <c r="U286">
        <v>3</v>
      </c>
      <c r="V286" t="s">
        <v>39</v>
      </c>
      <c r="W286" t="s">
        <v>103</v>
      </c>
      <c r="X286" t="s">
        <v>109</v>
      </c>
      <c r="Y286" t="s">
        <v>53</v>
      </c>
    </row>
    <row r="287" spans="1:25">
      <c r="A287" t="s">
        <v>1253</v>
      </c>
      <c r="B287" t="s">
        <v>1254</v>
      </c>
      <c r="C287" t="s">
        <v>80</v>
      </c>
      <c r="D287">
        <v>10</v>
      </c>
      <c r="E287" t="s">
        <v>149</v>
      </c>
      <c r="F287" t="s">
        <v>29</v>
      </c>
      <c r="G287" t="s">
        <v>30</v>
      </c>
      <c r="H287" t="s">
        <v>1113</v>
      </c>
      <c r="I287" t="s">
        <v>1255</v>
      </c>
      <c r="J287">
        <v>6</v>
      </c>
      <c r="K287" t="s">
        <v>1113</v>
      </c>
      <c r="L287" t="s">
        <v>1256</v>
      </c>
      <c r="M287">
        <v>11</v>
      </c>
      <c r="N287" t="s">
        <v>34</v>
      </c>
      <c r="O287" t="s">
        <v>35</v>
      </c>
      <c r="Q287" t="s">
        <v>36</v>
      </c>
      <c r="R287">
        <v>40</v>
      </c>
      <c r="S287" t="s">
        <v>37</v>
      </c>
      <c r="T287" t="s">
        <v>50</v>
      </c>
      <c r="U287">
        <v>3</v>
      </c>
      <c r="V287" t="s">
        <v>89</v>
      </c>
      <c r="W287" t="s">
        <v>165</v>
      </c>
      <c r="X287" t="s">
        <v>109</v>
      </c>
      <c r="Y287" t="s">
        <v>71</v>
      </c>
    </row>
    <row r="288" spans="1:25">
      <c r="A288" t="s">
        <v>1257</v>
      </c>
      <c r="B288" t="s">
        <v>1258</v>
      </c>
      <c r="C288" t="s">
        <v>27</v>
      </c>
      <c r="D288">
        <v>14</v>
      </c>
      <c r="E288" t="s">
        <v>57</v>
      </c>
      <c r="F288" t="s">
        <v>29</v>
      </c>
      <c r="G288" t="s">
        <v>45</v>
      </c>
      <c r="H288" t="s">
        <v>464</v>
      </c>
      <c r="I288" t="s">
        <v>401</v>
      </c>
      <c r="J288">
        <v>3</v>
      </c>
      <c r="K288" t="s">
        <v>464</v>
      </c>
      <c r="L288" t="s">
        <v>1259</v>
      </c>
      <c r="M288">
        <v>9</v>
      </c>
      <c r="N288" t="s">
        <v>34</v>
      </c>
      <c r="O288" t="s">
        <v>35</v>
      </c>
      <c r="Q288" t="s">
        <v>36</v>
      </c>
      <c r="R288">
        <v>15</v>
      </c>
      <c r="S288" t="s">
        <v>49</v>
      </c>
      <c r="T288" t="s">
        <v>69</v>
      </c>
      <c r="U288">
        <v>1</v>
      </c>
      <c r="V288" t="s">
        <v>39</v>
      </c>
      <c r="W288" t="s">
        <v>103</v>
      </c>
      <c r="X288" t="s">
        <v>52</v>
      </c>
      <c r="Y288" t="s">
        <v>71</v>
      </c>
    </row>
    <row r="289" spans="1:25">
      <c r="A289" t="s">
        <v>1260</v>
      </c>
      <c r="B289" t="s">
        <v>1261</v>
      </c>
      <c r="C289" t="s">
        <v>27</v>
      </c>
      <c r="D289">
        <v>3</v>
      </c>
      <c r="E289" t="s">
        <v>28</v>
      </c>
      <c r="F289" t="s">
        <v>29</v>
      </c>
      <c r="G289" t="s">
        <v>58</v>
      </c>
      <c r="H289" t="s">
        <v>979</v>
      </c>
      <c r="I289" t="s">
        <v>1262</v>
      </c>
      <c r="J289">
        <v>5</v>
      </c>
      <c r="K289" t="s">
        <v>251</v>
      </c>
      <c r="L289" t="s">
        <v>1263</v>
      </c>
      <c r="M289">
        <v>11</v>
      </c>
      <c r="N289" t="s">
        <v>34</v>
      </c>
      <c r="O289" t="s">
        <v>35</v>
      </c>
      <c r="Q289" t="s">
        <v>36</v>
      </c>
      <c r="R289">
        <v>35</v>
      </c>
      <c r="S289" t="s">
        <v>37</v>
      </c>
      <c r="T289" t="s">
        <v>38</v>
      </c>
      <c r="U289">
        <v>3</v>
      </c>
      <c r="V289" t="s">
        <v>70</v>
      </c>
      <c r="W289" t="s">
        <v>103</v>
      </c>
      <c r="X289" t="s">
        <v>52</v>
      </c>
      <c r="Y289" t="s">
        <v>71</v>
      </c>
    </row>
    <row r="290" spans="1:25">
      <c r="A290" t="s">
        <v>1264</v>
      </c>
      <c r="B290" t="s">
        <v>1265</v>
      </c>
      <c r="C290" t="s">
        <v>27</v>
      </c>
      <c r="D290">
        <v>12</v>
      </c>
      <c r="E290" t="s">
        <v>173</v>
      </c>
      <c r="F290" t="s">
        <v>29</v>
      </c>
      <c r="G290" t="s">
        <v>83</v>
      </c>
      <c r="H290" t="s">
        <v>1266</v>
      </c>
      <c r="I290" t="s">
        <v>354</v>
      </c>
      <c r="J290">
        <v>4</v>
      </c>
      <c r="K290" t="s">
        <v>1266</v>
      </c>
      <c r="L290" t="s">
        <v>1267</v>
      </c>
      <c r="M290">
        <v>3</v>
      </c>
      <c r="N290" t="s">
        <v>68</v>
      </c>
      <c r="O290" t="s">
        <v>35</v>
      </c>
      <c r="Q290" t="s">
        <v>36</v>
      </c>
      <c r="R290">
        <v>25</v>
      </c>
      <c r="S290" t="s">
        <v>77</v>
      </c>
      <c r="T290" t="s">
        <v>69</v>
      </c>
      <c r="U290">
        <v>3</v>
      </c>
      <c r="V290" t="s">
        <v>70</v>
      </c>
      <c r="W290" t="s">
        <v>103</v>
      </c>
      <c r="X290" t="s">
        <v>52</v>
      </c>
      <c r="Y290" t="s">
        <v>42</v>
      </c>
    </row>
    <row r="291" spans="1:25">
      <c r="A291" t="s">
        <v>1268</v>
      </c>
      <c r="B291" t="s">
        <v>1269</v>
      </c>
      <c r="C291" t="s">
        <v>204</v>
      </c>
      <c r="D291">
        <v>27</v>
      </c>
      <c r="E291" t="s">
        <v>81</v>
      </c>
      <c r="F291" t="s">
        <v>82</v>
      </c>
      <c r="G291" t="s">
        <v>150</v>
      </c>
      <c r="H291" t="s">
        <v>267</v>
      </c>
      <c r="I291" t="s">
        <v>1270</v>
      </c>
      <c r="J291">
        <v>8</v>
      </c>
      <c r="K291" t="s">
        <v>267</v>
      </c>
      <c r="L291" t="s">
        <v>1271</v>
      </c>
      <c r="M291">
        <v>7</v>
      </c>
      <c r="N291" t="s">
        <v>68</v>
      </c>
      <c r="O291" t="s">
        <v>35</v>
      </c>
      <c r="Q291" t="s">
        <v>36</v>
      </c>
      <c r="R291">
        <v>20</v>
      </c>
      <c r="S291" t="s">
        <v>37</v>
      </c>
      <c r="T291" t="s">
        <v>88</v>
      </c>
      <c r="U291">
        <v>2</v>
      </c>
      <c r="V291" t="s">
        <v>39</v>
      </c>
      <c r="W291" t="s">
        <v>51</v>
      </c>
      <c r="X291" t="s">
        <v>41</v>
      </c>
      <c r="Y291" t="s">
        <v>42</v>
      </c>
    </row>
    <row r="292" spans="1:25">
      <c r="A292" t="s">
        <v>1272</v>
      </c>
      <c r="B292" t="s">
        <v>1273</v>
      </c>
      <c r="C292" t="s">
        <v>56</v>
      </c>
      <c r="D292">
        <v>86</v>
      </c>
      <c r="E292" t="s">
        <v>92</v>
      </c>
      <c r="F292" t="s">
        <v>29</v>
      </c>
      <c r="G292" t="s">
        <v>58</v>
      </c>
      <c r="H292" t="s">
        <v>784</v>
      </c>
      <c r="I292" t="s">
        <v>1274</v>
      </c>
      <c r="J292">
        <v>24</v>
      </c>
      <c r="K292" t="s">
        <v>329</v>
      </c>
      <c r="L292" t="s">
        <v>763</v>
      </c>
      <c r="M292">
        <v>23</v>
      </c>
      <c r="N292" t="s">
        <v>68</v>
      </c>
      <c r="O292" t="s">
        <v>35</v>
      </c>
      <c r="Q292" t="s">
        <v>36</v>
      </c>
      <c r="R292">
        <v>50</v>
      </c>
      <c r="S292" t="s">
        <v>49</v>
      </c>
      <c r="T292" t="s">
        <v>88</v>
      </c>
      <c r="U292">
        <v>3</v>
      </c>
      <c r="V292" t="s">
        <v>89</v>
      </c>
      <c r="W292" t="s">
        <v>40</v>
      </c>
      <c r="X292" t="s">
        <v>41</v>
      </c>
      <c r="Y292" t="s">
        <v>71</v>
      </c>
    </row>
    <row r="293" spans="1:25">
      <c r="A293" t="s">
        <v>1275</v>
      </c>
      <c r="B293" t="s">
        <v>1276</v>
      </c>
      <c r="C293" t="s">
        <v>80</v>
      </c>
      <c r="D293">
        <v>33</v>
      </c>
      <c r="E293" t="s">
        <v>57</v>
      </c>
      <c r="F293" t="s">
        <v>29</v>
      </c>
      <c r="G293" t="s">
        <v>58</v>
      </c>
      <c r="H293" t="s">
        <v>807</v>
      </c>
      <c r="I293" t="s">
        <v>1277</v>
      </c>
      <c r="J293">
        <v>3</v>
      </c>
      <c r="K293" t="s">
        <v>807</v>
      </c>
      <c r="L293" t="s">
        <v>307</v>
      </c>
      <c r="M293">
        <v>6</v>
      </c>
      <c r="N293" t="s">
        <v>34</v>
      </c>
      <c r="O293" t="s">
        <v>35</v>
      </c>
      <c r="Q293" t="s">
        <v>36</v>
      </c>
      <c r="R293">
        <v>15</v>
      </c>
      <c r="S293" t="s">
        <v>37</v>
      </c>
      <c r="T293" t="s">
        <v>69</v>
      </c>
      <c r="U293">
        <v>5</v>
      </c>
      <c r="V293" t="s">
        <v>89</v>
      </c>
      <c r="W293" t="s">
        <v>51</v>
      </c>
      <c r="X293" t="s">
        <v>41</v>
      </c>
      <c r="Y293" t="s">
        <v>71</v>
      </c>
    </row>
    <row r="294" spans="1:25">
      <c r="A294" t="s">
        <v>1278</v>
      </c>
      <c r="B294" t="s">
        <v>1279</v>
      </c>
      <c r="C294" t="s">
        <v>204</v>
      </c>
      <c r="D294">
        <v>65</v>
      </c>
      <c r="E294" t="s">
        <v>92</v>
      </c>
      <c r="F294" t="s">
        <v>29</v>
      </c>
      <c r="G294" t="s">
        <v>93</v>
      </c>
      <c r="H294" t="s">
        <v>379</v>
      </c>
      <c r="I294" t="s">
        <v>1280</v>
      </c>
      <c r="J294">
        <v>24</v>
      </c>
      <c r="K294" t="s">
        <v>845</v>
      </c>
      <c r="L294" t="s">
        <v>1280</v>
      </c>
      <c r="M294">
        <v>24</v>
      </c>
      <c r="N294" t="s">
        <v>68</v>
      </c>
      <c r="O294" t="s">
        <v>35</v>
      </c>
      <c r="Q294" t="s">
        <v>36</v>
      </c>
      <c r="R294">
        <v>50</v>
      </c>
      <c r="S294" t="s">
        <v>77</v>
      </c>
      <c r="T294" t="s">
        <v>96</v>
      </c>
      <c r="U294">
        <v>2</v>
      </c>
      <c r="V294" t="s">
        <v>62</v>
      </c>
      <c r="W294" t="s">
        <v>103</v>
      </c>
      <c r="X294" t="s">
        <v>109</v>
      </c>
      <c r="Y294" t="s">
        <v>71</v>
      </c>
    </row>
    <row r="295" spans="1:25">
      <c r="A295" t="s">
        <v>1281</v>
      </c>
      <c r="B295" t="s">
        <v>1282</v>
      </c>
      <c r="C295" t="s">
        <v>27</v>
      </c>
      <c r="D295">
        <v>36</v>
      </c>
      <c r="E295" t="s">
        <v>92</v>
      </c>
      <c r="F295" t="s">
        <v>29</v>
      </c>
      <c r="G295" t="s">
        <v>58</v>
      </c>
      <c r="H295" t="s">
        <v>1283</v>
      </c>
      <c r="I295" t="s">
        <v>1225</v>
      </c>
      <c r="J295">
        <v>24</v>
      </c>
      <c r="K295" t="s">
        <v>979</v>
      </c>
      <c r="L295" t="s">
        <v>1284</v>
      </c>
      <c r="M295">
        <v>32</v>
      </c>
      <c r="N295" t="s">
        <v>34</v>
      </c>
      <c r="O295" t="s">
        <v>270</v>
      </c>
      <c r="P295" t="s">
        <v>620</v>
      </c>
      <c r="Q295" t="s">
        <v>36</v>
      </c>
      <c r="R295">
        <v>50</v>
      </c>
      <c r="S295" t="s">
        <v>37</v>
      </c>
      <c r="T295" t="s">
        <v>96</v>
      </c>
      <c r="U295">
        <v>4</v>
      </c>
      <c r="V295" t="s">
        <v>70</v>
      </c>
      <c r="W295" t="s">
        <v>165</v>
      </c>
      <c r="X295" t="s">
        <v>52</v>
      </c>
      <c r="Y295" t="s">
        <v>53</v>
      </c>
    </row>
    <row r="296" spans="1:25">
      <c r="A296" t="s">
        <v>1285</v>
      </c>
      <c r="B296" t="s">
        <v>1286</v>
      </c>
      <c r="C296" t="s">
        <v>204</v>
      </c>
      <c r="D296">
        <v>33</v>
      </c>
      <c r="E296" t="s">
        <v>92</v>
      </c>
      <c r="F296" t="s">
        <v>29</v>
      </c>
      <c r="G296" t="s">
        <v>93</v>
      </c>
      <c r="H296" t="s">
        <v>919</v>
      </c>
      <c r="I296" t="s">
        <v>1287</v>
      </c>
      <c r="J296">
        <v>24</v>
      </c>
      <c r="K296" t="s">
        <v>74</v>
      </c>
      <c r="L296" t="s">
        <v>418</v>
      </c>
      <c r="M296">
        <v>30</v>
      </c>
      <c r="N296" t="s">
        <v>34</v>
      </c>
      <c r="O296" t="s">
        <v>35</v>
      </c>
      <c r="Q296" t="s">
        <v>36</v>
      </c>
      <c r="R296">
        <v>50</v>
      </c>
      <c r="S296" t="s">
        <v>37</v>
      </c>
      <c r="T296" t="s">
        <v>164</v>
      </c>
      <c r="U296">
        <v>1</v>
      </c>
      <c r="V296" t="s">
        <v>62</v>
      </c>
      <c r="W296" t="s">
        <v>103</v>
      </c>
      <c r="X296" t="s">
        <v>109</v>
      </c>
      <c r="Y296" t="s">
        <v>71</v>
      </c>
    </row>
    <row r="297" spans="1:25">
      <c r="A297" t="s">
        <v>1288</v>
      </c>
      <c r="B297" t="s">
        <v>1289</v>
      </c>
      <c r="C297" t="s">
        <v>204</v>
      </c>
      <c r="D297">
        <v>68</v>
      </c>
      <c r="E297" t="s">
        <v>28</v>
      </c>
      <c r="F297" t="s">
        <v>29</v>
      </c>
      <c r="G297" t="s">
        <v>58</v>
      </c>
      <c r="H297" t="s">
        <v>1113</v>
      </c>
      <c r="I297" t="s">
        <v>448</v>
      </c>
      <c r="J297">
        <v>5</v>
      </c>
      <c r="K297" t="s">
        <v>1113</v>
      </c>
      <c r="L297" t="s">
        <v>1290</v>
      </c>
      <c r="M297">
        <v>8</v>
      </c>
      <c r="N297" t="s">
        <v>34</v>
      </c>
      <c r="O297" t="s">
        <v>35</v>
      </c>
      <c r="Q297" t="s">
        <v>36</v>
      </c>
      <c r="R297">
        <v>35</v>
      </c>
      <c r="S297" t="s">
        <v>49</v>
      </c>
      <c r="T297" t="s">
        <v>50</v>
      </c>
      <c r="U297">
        <v>2</v>
      </c>
      <c r="V297" t="s">
        <v>62</v>
      </c>
      <c r="W297" t="s">
        <v>103</v>
      </c>
      <c r="X297" t="s">
        <v>109</v>
      </c>
      <c r="Y297" t="s">
        <v>53</v>
      </c>
    </row>
    <row r="298" spans="1:25">
      <c r="A298" t="s">
        <v>1291</v>
      </c>
      <c r="B298" t="s">
        <v>1292</v>
      </c>
      <c r="C298" t="s">
        <v>27</v>
      </c>
      <c r="D298">
        <v>51</v>
      </c>
      <c r="E298" t="s">
        <v>149</v>
      </c>
      <c r="F298" t="s">
        <v>29</v>
      </c>
      <c r="G298" t="s">
        <v>30</v>
      </c>
      <c r="H298" t="s">
        <v>1293</v>
      </c>
      <c r="I298" t="s">
        <v>465</v>
      </c>
      <c r="J298">
        <v>6</v>
      </c>
      <c r="K298" t="s">
        <v>1293</v>
      </c>
      <c r="L298" t="s">
        <v>548</v>
      </c>
      <c r="M298">
        <v>12</v>
      </c>
      <c r="N298" t="s">
        <v>34</v>
      </c>
      <c r="O298" t="s">
        <v>35</v>
      </c>
      <c r="Q298" t="s">
        <v>132</v>
      </c>
      <c r="R298">
        <v>40</v>
      </c>
      <c r="S298" t="s">
        <v>37</v>
      </c>
      <c r="T298" t="s">
        <v>50</v>
      </c>
      <c r="U298">
        <v>2</v>
      </c>
      <c r="V298" t="s">
        <v>62</v>
      </c>
      <c r="W298" t="s">
        <v>103</v>
      </c>
      <c r="X298" t="s">
        <v>41</v>
      </c>
      <c r="Y298" t="s">
        <v>53</v>
      </c>
    </row>
    <row r="299" spans="1:25">
      <c r="A299" t="s">
        <v>1294</v>
      </c>
      <c r="B299" t="s">
        <v>1295</v>
      </c>
      <c r="C299" t="s">
        <v>204</v>
      </c>
      <c r="D299">
        <v>77</v>
      </c>
      <c r="E299" t="s">
        <v>81</v>
      </c>
      <c r="F299" t="s">
        <v>82</v>
      </c>
      <c r="G299" t="s">
        <v>83</v>
      </c>
      <c r="H299" t="s">
        <v>213</v>
      </c>
      <c r="I299" t="s">
        <v>1296</v>
      </c>
      <c r="J299">
        <v>8</v>
      </c>
      <c r="K299" t="s">
        <v>213</v>
      </c>
      <c r="L299" t="s">
        <v>597</v>
      </c>
      <c r="M299">
        <v>9</v>
      </c>
      <c r="N299" t="s">
        <v>34</v>
      </c>
      <c r="O299" t="s">
        <v>35</v>
      </c>
      <c r="Q299" t="s">
        <v>36</v>
      </c>
      <c r="R299">
        <v>20</v>
      </c>
      <c r="S299" t="s">
        <v>37</v>
      </c>
      <c r="T299" t="s">
        <v>50</v>
      </c>
      <c r="U299">
        <v>3</v>
      </c>
      <c r="V299" t="s">
        <v>39</v>
      </c>
      <c r="W299" t="s">
        <v>51</v>
      </c>
      <c r="X299" t="s">
        <v>52</v>
      </c>
      <c r="Y299" t="s">
        <v>53</v>
      </c>
    </row>
    <row r="300" spans="1:25">
      <c r="A300" t="s">
        <v>1297</v>
      </c>
      <c r="B300" t="s">
        <v>1298</v>
      </c>
      <c r="C300" t="s">
        <v>204</v>
      </c>
      <c r="D300">
        <v>150</v>
      </c>
      <c r="E300" t="s">
        <v>57</v>
      </c>
      <c r="F300" t="s">
        <v>29</v>
      </c>
      <c r="G300" t="s">
        <v>58</v>
      </c>
      <c r="H300" t="s">
        <v>641</v>
      </c>
      <c r="I300" t="s">
        <v>1299</v>
      </c>
      <c r="J300">
        <v>3</v>
      </c>
      <c r="K300" t="s">
        <v>641</v>
      </c>
      <c r="L300" t="s">
        <v>809</v>
      </c>
      <c r="M300">
        <v>6</v>
      </c>
      <c r="N300" t="s">
        <v>34</v>
      </c>
      <c r="O300" t="s">
        <v>35</v>
      </c>
      <c r="Q300" t="s">
        <v>36</v>
      </c>
      <c r="R300">
        <v>15</v>
      </c>
      <c r="S300" t="s">
        <v>77</v>
      </c>
      <c r="T300" t="s">
        <v>38</v>
      </c>
      <c r="U300">
        <v>4</v>
      </c>
      <c r="V300" t="s">
        <v>70</v>
      </c>
      <c r="W300" t="s">
        <v>103</v>
      </c>
      <c r="X300" t="s">
        <v>109</v>
      </c>
      <c r="Y300" t="s">
        <v>53</v>
      </c>
    </row>
    <row r="301" spans="1:25">
      <c r="A301" t="s">
        <v>1300</v>
      </c>
      <c r="B301" t="s">
        <v>1301</v>
      </c>
      <c r="C301" t="s">
        <v>56</v>
      </c>
      <c r="D301">
        <v>89</v>
      </c>
      <c r="E301" t="s">
        <v>28</v>
      </c>
      <c r="F301" t="s">
        <v>29</v>
      </c>
      <c r="G301" t="s">
        <v>93</v>
      </c>
      <c r="H301" t="s">
        <v>680</v>
      </c>
      <c r="I301" t="s">
        <v>578</v>
      </c>
      <c r="J301">
        <v>5</v>
      </c>
      <c r="K301" t="s">
        <v>680</v>
      </c>
      <c r="L301" t="s">
        <v>1302</v>
      </c>
      <c r="M301">
        <v>5</v>
      </c>
      <c r="N301" t="s">
        <v>68</v>
      </c>
      <c r="O301" t="s">
        <v>35</v>
      </c>
      <c r="Q301" t="s">
        <v>36</v>
      </c>
      <c r="R301">
        <v>35</v>
      </c>
      <c r="S301" t="s">
        <v>37</v>
      </c>
      <c r="T301" t="s">
        <v>96</v>
      </c>
      <c r="U301">
        <v>3</v>
      </c>
      <c r="V301" t="s">
        <v>70</v>
      </c>
      <c r="W301" t="s">
        <v>165</v>
      </c>
      <c r="X301" t="s">
        <v>52</v>
      </c>
      <c r="Y301" t="s">
        <v>71</v>
      </c>
    </row>
    <row r="302" spans="1:25">
      <c r="A302" t="s">
        <v>1303</v>
      </c>
      <c r="B302" t="s">
        <v>1304</v>
      </c>
      <c r="C302" t="s">
        <v>56</v>
      </c>
      <c r="D302">
        <v>44</v>
      </c>
      <c r="E302" t="s">
        <v>149</v>
      </c>
      <c r="F302" t="s">
        <v>29</v>
      </c>
      <c r="G302" t="s">
        <v>30</v>
      </c>
      <c r="H302" t="s">
        <v>405</v>
      </c>
      <c r="I302" t="s">
        <v>975</v>
      </c>
      <c r="J302">
        <v>6</v>
      </c>
      <c r="K302" t="s">
        <v>405</v>
      </c>
      <c r="L302" t="s">
        <v>223</v>
      </c>
      <c r="M302">
        <v>8</v>
      </c>
      <c r="N302" t="s">
        <v>34</v>
      </c>
      <c r="O302" t="s">
        <v>35</v>
      </c>
      <c r="Q302" t="s">
        <v>36</v>
      </c>
      <c r="R302">
        <v>40</v>
      </c>
      <c r="S302" t="s">
        <v>49</v>
      </c>
      <c r="T302" t="s">
        <v>38</v>
      </c>
      <c r="U302">
        <v>5</v>
      </c>
      <c r="V302" t="s">
        <v>70</v>
      </c>
      <c r="W302" t="s">
        <v>51</v>
      </c>
      <c r="X302" t="s">
        <v>41</v>
      </c>
      <c r="Y302" t="s">
        <v>42</v>
      </c>
    </row>
    <row r="303" spans="1:25">
      <c r="A303" t="s">
        <v>1305</v>
      </c>
      <c r="B303" t="s">
        <v>1306</v>
      </c>
      <c r="C303" t="s">
        <v>204</v>
      </c>
      <c r="D303">
        <v>78</v>
      </c>
      <c r="E303" t="s">
        <v>173</v>
      </c>
      <c r="F303" t="s">
        <v>29</v>
      </c>
      <c r="G303" t="s">
        <v>93</v>
      </c>
      <c r="H303" t="s">
        <v>602</v>
      </c>
      <c r="I303" t="s">
        <v>669</v>
      </c>
      <c r="J303">
        <v>4</v>
      </c>
      <c r="K303" t="s">
        <v>602</v>
      </c>
      <c r="L303" t="s">
        <v>1307</v>
      </c>
      <c r="M303">
        <v>11</v>
      </c>
      <c r="N303" t="s">
        <v>34</v>
      </c>
      <c r="O303" t="s">
        <v>35</v>
      </c>
      <c r="Q303" t="s">
        <v>36</v>
      </c>
      <c r="R303">
        <v>25</v>
      </c>
      <c r="S303" t="s">
        <v>37</v>
      </c>
      <c r="T303" t="s">
        <v>96</v>
      </c>
      <c r="U303">
        <v>2</v>
      </c>
      <c r="V303" t="s">
        <v>62</v>
      </c>
      <c r="W303" t="s">
        <v>103</v>
      </c>
      <c r="X303" t="s">
        <v>41</v>
      </c>
      <c r="Y303" t="s">
        <v>42</v>
      </c>
    </row>
    <row r="304" spans="1:25">
      <c r="A304" t="s">
        <v>1308</v>
      </c>
      <c r="B304" t="s">
        <v>1309</v>
      </c>
      <c r="C304" t="s">
        <v>204</v>
      </c>
      <c r="D304">
        <v>12</v>
      </c>
      <c r="E304" t="s">
        <v>28</v>
      </c>
      <c r="F304" t="s">
        <v>29</v>
      </c>
      <c r="G304" t="s">
        <v>30</v>
      </c>
      <c r="H304" t="s">
        <v>222</v>
      </c>
      <c r="I304" t="s">
        <v>491</v>
      </c>
      <c r="J304">
        <v>5</v>
      </c>
      <c r="K304" t="s">
        <v>222</v>
      </c>
      <c r="L304" t="s">
        <v>833</v>
      </c>
      <c r="M304">
        <v>4</v>
      </c>
      <c r="N304" t="s">
        <v>68</v>
      </c>
      <c r="O304" t="s">
        <v>35</v>
      </c>
      <c r="Q304" t="s">
        <v>36</v>
      </c>
      <c r="R304">
        <v>35</v>
      </c>
      <c r="S304" t="s">
        <v>77</v>
      </c>
      <c r="T304" t="s">
        <v>69</v>
      </c>
      <c r="U304">
        <v>2</v>
      </c>
      <c r="V304" t="s">
        <v>62</v>
      </c>
      <c r="W304" t="s">
        <v>103</v>
      </c>
      <c r="X304" t="s">
        <v>109</v>
      </c>
      <c r="Y304" t="s">
        <v>71</v>
      </c>
    </row>
    <row r="305" spans="1:25">
      <c r="A305" t="s">
        <v>1310</v>
      </c>
      <c r="B305" t="s">
        <v>1311</v>
      </c>
      <c r="C305" t="s">
        <v>204</v>
      </c>
      <c r="D305">
        <v>72</v>
      </c>
      <c r="E305" t="s">
        <v>92</v>
      </c>
      <c r="F305" t="s">
        <v>29</v>
      </c>
      <c r="G305" t="s">
        <v>30</v>
      </c>
      <c r="H305" t="s">
        <v>807</v>
      </c>
      <c r="I305" t="s">
        <v>219</v>
      </c>
      <c r="J305">
        <v>24</v>
      </c>
      <c r="K305" t="s">
        <v>951</v>
      </c>
      <c r="L305" t="s">
        <v>1312</v>
      </c>
      <c r="M305">
        <v>29</v>
      </c>
      <c r="N305" t="s">
        <v>34</v>
      </c>
      <c r="O305" t="s">
        <v>35</v>
      </c>
      <c r="Q305" t="s">
        <v>36</v>
      </c>
      <c r="R305">
        <v>50</v>
      </c>
      <c r="S305" t="s">
        <v>49</v>
      </c>
      <c r="T305" t="s">
        <v>164</v>
      </c>
      <c r="U305">
        <v>2</v>
      </c>
      <c r="V305" t="s">
        <v>62</v>
      </c>
      <c r="W305" t="s">
        <v>51</v>
      </c>
      <c r="X305" t="s">
        <v>109</v>
      </c>
      <c r="Y305" t="s">
        <v>53</v>
      </c>
    </row>
    <row r="306" spans="1:25">
      <c r="A306" t="s">
        <v>1313</v>
      </c>
      <c r="B306" t="s">
        <v>1314</v>
      </c>
      <c r="C306" t="s">
        <v>56</v>
      </c>
      <c r="D306">
        <v>40</v>
      </c>
      <c r="E306" t="s">
        <v>81</v>
      </c>
      <c r="F306" t="s">
        <v>82</v>
      </c>
      <c r="G306" t="s">
        <v>83</v>
      </c>
      <c r="H306" t="s">
        <v>1177</v>
      </c>
      <c r="I306" t="s">
        <v>1315</v>
      </c>
      <c r="J306">
        <v>8</v>
      </c>
      <c r="K306" t="s">
        <v>1087</v>
      </c>
      <c r="L306" t="s">
        <v>1316</v>
      </c>
      <c r="M306">
        <v>15</v>
      </c>
      <c r="N306" t="s">
        <v>34</v>
      </c>
      <c r="O306" t="s">
        <v>35</v>
      </c>
      <c r="Q306" t="s">
        <v>36</v>
      </c>
      <c r="R306">
        <v>20</v>
      </c>
      <c r="S306" t="s">
        <v>37</v>
      </c>
      <c r="T306" t="s">
        <v>96</v>
      </c>
      <c r="U306">
        <v>1</v>
      </c>
      <c r="V306" t="s">
        <v>39</v>
      </c>
      <c r="W306" t="s">
        <v>103</v>
      </c>
      <c r="X306" t="s">
        <v>109</v>
      </c>
      <c r="Y306" t="s">
        <v>71</v>
      </c>
    </row>
    <row r="307" spans="1:25">
      <c r="A307" t="s">
        <v>1317</v>
      </c>
      <c r="B307" t="s">
        <v>1318</v>
      </c>
      <c r="C307" t="s">
        <v>56</v>
      </c>
      <c r="D307">
        <v>34</v>
      </c>
      <c r="E307" t="s">
        <v>173</v>
      </c>
      <c r="F307" t="s">
        <v>29</v>
      </c>
      <c r="G307" t="s">
        <v>30</v>
      </c>
      <c r="H307" t="s">
        <v>365</v>
      </c>
      <c r="I307" t="s">
        <v>1319</v>
      </c>
      <c r="J307">
        <v>4</v>
      </c>
      <c r="K307" t="s">
        <v>365</v>
      </c>
      <c r="L307" t="s">
        <v>1320</v>
      </c>
      <c r="M307">
        <v>7</v>
      </c>
      <c r="N307" t="s">
        <v>34</v>
      </c>
      <c r="O307" t="s">
        <v>35</v>
      </c>
      <c r="Q307" t="s">
        <v>36</v>
      </c>
      <c r="R307">
        <v>25</v>
      </c>
      <c r="S307" t="s">
        <v>37</v>
      </c>
      <c r="T307" t="s">
        <v>50</v>
      </c>
      <c r="U307">
        <v>4</v>
      </c>
      <c r="V307" t="s">
        <v>89</v>
      </c>
      <c r="W307" t="s">
        <v>103</v>
      </c>
      <c r="X307" t="s">
        <v>52</v>
      </c>
      <c r="Y307" t="s">
        <v>42</v>
      </c>
    </row>
    <row r="308" spans="1:25">
      <c r="A308" t="s">
        <v>1321</v>
      </c>
      <c r="B308" t="s">
        <v>1322</v>
      </c>
      <c r="C308" t="s">
        <v>56</v>
      </c>
      <c r="D308">
        <v>15</v>
      </c>
      <c r="E308" t="s">
        <v>149</v>
      </c>
      <c r="F308" t="s">
        <v>29</v>
      </c>
      <c r="G308" t="s">
        <v>83</v>
      </c>
      <c r="H308" t="s">
        <v>258</v>
      </c>
      <c r="I308" t="s">
        <v>1323</v>
      </c>
      <c r="J308">
        <v>6</v>
      </c>
      <c r="K308" t="s">
        <v>258</v>
      </c>
      <c r="L308" t="s">
        <v>1324</v>
      </c>
      <c r="M308">
        <v>5</v>
      </c>
      <c r="N308" t="s">
        <v>68</v>
      </c>
      <c r="O308" t="s">
        <v>35</v>
      </c>
      <c r="Q308" t="s">
        <v>36</v>
      </c>
      <c r="R308">
        <v>40</v>
      </c>
      <c r="S308" t="s">
        <v>77</v>
      </c>
      <c r="T308" t="s">
        <v>38</v>
      </c>
      <c r="U308">
        <v>3</v>
      </c>
      <c r="V308" t="s">
        <v>70</v>
      </c>
      <c r="W308" t="s">
        <v>40</v>
      </c>
      <c r="X308" t="s">
        <v>109</v>
      </c>
      <c r="Y308" t="s">
        <v>71</v>
      </c>
    </row>
    <row r="309" spans="1:25">
      <c r="A309" t="s">
        <v>1325</v>
      </c>
      <c r="B309" t="s">
        <v>1326</v>
      </c>
      <c r="C309" t="s">
        <v>27</v>
      </c>
      <c r="D309">
        <v>10</v>
      </c>
      <c r="E309" t="s">
        <v>28</v>
      </c>
      <c r="F309" t="s">
        <v>29</v>
      </c>
      <c r="G309" t="s">
        <v>83</v>
      </c>
      <c r="H309" t="s">
        <v>560</v>
      </c>
      <c r="I309" t="s">
        <v>364</v>
      </c>
      <c r="J309">
        <v>5</v>
      </c>
      <c r="K309" t="s">
        <v>560</v>
      </c>
      <c r="L309" t="s">
        <v>1327</v>
      </c>
      <c r="M309">
        <v>12</v>
      </c>
      <c r="N309" t="s">
        <v>34</v>
      </c>
      <c r="O309" t="s">
        <v>35</v>
      </c>
      <c r="Q309" t="s">
        <v>36</v>
      </c>
      <c r="R309">
        <v>35</v>
      </c>
      <c r="S309" t="s">
        <v>49</v>
      </c>
      <c r="T309" t="s">
        <v>38</v>
      </c>
      <c r="U309">
        <v>3</v>
      </c>
      <c r="V309" t="s">
        <v>89</v>
      </c>
      <c r="W309" t="s">
        <v>51</v>
      </c>
      <c r="X309" t="s">
        <v>109</v>
      </c>
      <c r="Y309" t="s">
        <v>42</v>
      </c>
    </row>
    <row r="310" spans="1:25">
      <c r="A310" t="s">
        <v>1328</v>
      </c>
      <c r="B310" t="s">
        <v>1329</v>
      </c>
      <c r="C310" t="s">
        <v>204</v>
      </c>
      <c r="D310">
        <v>11</v>
      </c>
      <c r="E310" t="s">
        <v>173</v>
      </c>
      <c r="F310" t="s">
        <v>29</v>
      </c>
      <c r="G310" t="s">
        <v>83</v>
      </c>
      <c r="H310" t="s">
        <v>413</v>
      </c>
      <c r="I310" t="s">
        <v>610</v>
      </c>
      <c r="J310">
        <v>4</v>
      </c>
      <c r="K310" t="s">
        <v>413</v>
      </c>
      <c r="L310" t="s">
        <v>1330</v>
      </c>
      <c r="M310">
        <v>8</v>
      </c>
      <c r="N310" t="s">
        <v>34</v>
      </c>
      <c r="O310" t="s">
        <v>35</v>
      </c>
      <c r="Q310" t="s">
        <v>36</v>
      </c>
      <c r="R310">
        <v>25</v>
      </c>
      <c r="S310" t="s">
        <v>77</v>
      </c>
      <c r="T310" t="s">
        <v>164</v>
      </c>
      <c r="U310">
        <v>2</v>
      </c>
      <c r="V310" t="s">
        <v>39</v>
      </c>
      <c r="W310" t="s">
        <v>103</v>
      </c>
      <c r="X310" t="s">
        <v>41</v>
      </c>
      <c r="Y310" t="s">
        <v>53</v>
      </c>
    </row>
    <row r="311" spans="1:25">
      <c r="A311" t="s">
        <v>1331</v>
      </c>
      <c r="B311" t="s">
        <v>1332</v>
      </c>
      <c r="C311" t="s">
        <v>56</v>
      </c>
      <c r="D311">
        <v>50</v>
      </c>
      <c r="E311" t="s">
        <v>92</v>
      </c>
      <c r="F311" t="s">
        <v>29</v>
      </c>
      <c r="G311" t="s">
        <v>150</v>
      </c>
      <c r="H311" t="s">
        <v>1074</v>
      </c>
      <c r="I311" t="s">
        <v>920</v>
      </c>
      <c r="J311">
        <v>24</v>
      </c>
      <c r="K311" t="s">
        <v>668</v>
      </c>
      <c r="L311" t="s">
        <v>1259</v>
      </c>
      <c r="M311">
        <v>32</v>
      </c>
      <c r="N311" t="s">
        <v>34</v>
      </c>
      <c r="O311" t="s">
        <v>35</v>
      </c>
      <c r="Q311" t="s">
        <v>36</v>
      </c>
      <c r="R311">
        <v>50</v>
      </c>
      <c r="S311" t="s">
        <v>77</v>
      </c>
      <c r="T311" t="s">
        <v>88</v>
      </c>
      <c r="U311">
        <v>4</v>
      </c>
      <c r="V311" t="s">
        <v>62</v>
      </c>
      <c r="W311" t="s">
        <v>40</v>
      </c>
      <c r="X311" t="s">
        <v>52</v>
      </c>
      <c r="Y311" t="s">
        <v>71</v>
      </c>
    </row>
    <row r="312" spans="1:25">
      <c r="A312" t="s">
        <v>1333</v>
      </c>
      <c r="B312" t="s">
        <v>1334</v>
      </c>
      <c r="C312" t="s">
        <v>204</v>
      </c>
      <c r="D312">
        <v>10</v>
      </c>
      <c r="E312" t="s">
        <v>92</v>
      </c>
      <c r="F312" t="s">
        <v>29</v>
      </c>
      <c r="G312" t="s">
        <v>93</v>
      </c>
      <c r="H312" t="s">
        <v>1235</v>
      </c>
      <c r="I312" t="s">
        <v>1040</v>
      </c>
      <c r="J312">
        <v>24</v>
      </c>
      <c r="K312" t="s">
        <v>274</v>
      </c>
      <c r="L312" t="s">
        <v>1335</v>
      </c>
      <c r="M312">
        <v>31</v>
      </c>
      <c r="N312" t="s">
        <v>34</v>
      </c>
      <c r="O312" t="s">
        <v>35</v>
      </c>
      <c r="Q312" t="s">
        <v>36</v>
      </c>
      <c r="R312">
        <v>50</v>
      </c>
      <c r="S312" t="s">
        <v>49</v>
      </c>
      <c r="T312" t="s">
        <v>38</v>
      </c>
      <c r="U312">
        <v>4</v>
      </c>
      <c r="V312" t="s">
        <v>39</v>
      </c>
      <c r="W312" t="s">
        <v>40</v>
      </c>
      <c r="X312" t="s">
        <v>52</v>
      </c>
      <c r="Y312" t="s">
        <v>42</v>
      </c>
    </row>
    <row r="313" spans="1:25">
      <c r="A313" t="s">
        <v>1336</v>
      </c>
      <c r="B313" t="s">
        <v>1337</v>
      </c>
      <c r="C313" t="s">
        <v>204</v>
      </c>
      <c r="D313">
        <v>60</v>
      </c>
      <c r="E313" t="s">
        <v>92</v>
      </c>
      <c r="F313" t="s">
        <v>29</v>
      </c>
      <c r="G313" t="s">
        <v>30</v>
      </c>
      <c r="H313" t="s">
        <v>325</v>
      </c>
      <c r="I313" t="s">
        <v>1338</v>
      </c>
      <c r="J313">
        <v>24</v>
      </c>
      <c r="K313" t="s">
        <v>1339</v>
      </c>
      <c r="L313" t="s">
        <v>1245</v>
      </c>
      <c r="M313">
        <v>28</v>
      </c>
      <c r="N313" t="s">
        <v>34</v>
      </c>
      <c r="O313" t="s">
        <v>270</v>
      </c>
      <c r="P313" t="s">
        <v>677</v>
      </c>
      <c r="Q313" t="s">
        <v>36</v>
      </c>
      <c r="R313">
        <v>50</v>
      </c>
      <c r="S313" t="s">
        <v>37</v>
      </c>
      <c r="T313" t="s">
        <v>96</v>
      </c>
      <c r="U313">
        <v>2</v>
      </c>
      <c r="V313" t="s">
        <v>39</v>
      </c>
      <c r="W313" t="s">
        <v>165</v>
      </c>
      <c r="X313" t="s">
        <v>109</v>
      </c>
      <c r="Y313" t="s">
        <v>71</v>
      </c>
    </row>
    <row r="314" spans="1:25">
      <c r="A314" t="s">
        <v>1340</v>
      </c>
      <c r="B314" t="s">
        <v>1341</v>
      </c>
      <c r="C314" t="s">
        <v>56</v>
      </c>
      <c r="D314">
        <v>15</v>
      </c>
      <c r="E314" t="s">
        <v>28</v>
      </c>
      <c r="F314" t="s">
        <v>29</v>
      </c>
      <c r="G314" t="s">
        <v>58</v>
      </c>
      <c r="H314" t="s">
        <v>1189</v>
      </c>
      <c r="I314" t="s">
        <v>1342</v>
      </c>
      <c r="J314">
        <v>5</v>
      </c>
      <c r="K314" t="s">
        <v>1189</v>
      </c>
      <c r="L314" t="s">
        <v>1214</v>
      </c>
      <c r="M314">
        <v>5</v>
      </c>
      <c r="N314" t="s">
        <v>68</v>
      </c>
      <c r="O314" t="s">
        <v>35</v>
      </c>
      <c r="Q314" t="s">
        <v>36</v>
      </c>
      <c r="R314">
        <v>35</v>
      </c>
      <c r="S314" t="s">
        <v>37</v>
      </c>
      <c r="T314" t="s">
        <v>96</v>
      </c>
      <c r="U314">
        <v>4</v>
      </c>
      <c r="V314" t="s">
        <v>62</v>
      </c>
      <c r="W314" t="s">
        <v>165</v>
      </c>
      <c r="X314" t="s">
        <v>41</v>
      </c>
      <c r="Y314" t="s">
        <v>71</v>
      </c>
    </row>
    <row r="315" spans="1:25">
      <c r="A315" t="s">
        <v>1343</v>
      </c>
      <c r="B315" t="s">
        <v>1344</v>
      </c>
      <c r="C315" t="s">
        <v>27</v>
      </c>
      <c r="D315">
        <v>9</v>
      </c>
      <c r="E315" t="s">
        <v>81</v>
      </c>
      <c r="F315" t="s">
        <v>82</v>
      </c>
      <c r="G315" t="s">
        <v>83</v>
      </c>
      <c r="H315" t="s">
        <v>128</v>
      </c>
      <c r="I315" t="s">
        <v>686</v>
      </c>
      <c r="J315">
        <v>8</v>
      </c>
      <c r="K315" t="s">
        <v>128</v>
      </c>
      <c r="L315" t="s">
        <v>225</v>
      </c>
      <c r="M315">
        <v>10</v>
      </c>
      <c r="N315" t="s">
        <v>34</v>
      </c>
      <c r="O315" t="s">
        <v>35</v>
      </c>
      <c r="Q315" t="s">
        <v>36</v>
      </c>
      <c r="R315">
        <v>20</v>
      </c>
      <c r="S315" t="s">
        <v>77</v>
      </c>
      <c r="T315" t="s">
        <v>96</v>
      </c>
      <c r="U315">
        <v>2</v>
      </c>
      <c r="V315" t="s">
        <v>89</v>
      </c>
      <c r="W315" t="s">
        <v>40</v>
      </c>
      <c r="X315" t="s">
        <v>109</v>
      </c>
      <c r="Y315" t="s">
        <v>42</v>
      </c>
    </row>
    <row r="316" spans="1:25">
      <c r="A316" t="s">
        <v>1345</v>
      </c>
      <c r="B316" t="s">
        <v>1346</v>
      </c>
      <c r="C316" t="s">
        <v>80</v>
      </c>
      <c r="D316">
        <v>52</v>
      </c>
      <c r="E316" t="s">
        <v>92</v>
      </c>
      <c r="F316" t="s">
        <v>29</v>
      </c>
      <c r="G316" t="s">
        <v>83</v>
      </c>
      <c r="H316" t="s">
        <v>287</v>
      </c>
      <c r="I316" t="s">
        <v>1347</v>
      </c>
      <c r="J316">
        <v>24</v>
      </c>
      <c r="K316" t="s">
        <v>1248</v>
      </c>
      <c r="L316" t="s">
        <v>1348</v>
      </c>
      <c r="M316">
        <v>27</v>
      </c>
      <c r="N316" t="s">
        <v>34</v>
      </c>
      <c r="O316" t="s">
        <v>35</v>
      </c>
      <c r="Q316" t="s">
        <v>36</v>
      </c>
      <c r="R316">
        <v>50</v>
      </c>
      <c r="S316" t="s">
        <v>77</v>
      </c>
      <c r="T316" t="s">
        <v>96</v>
      </c>
      <c r="U316">
        <v>4</v>
      </c>
      <c r="V316" t="s">
        <v>70</v>
      </c>
      <c r="W316" t="s">
        <v>40</v>
      </c>
      <c r="X316" t="s">
        <v>52</v>
      </c>
      <c r="Y316" t="s">
        <v>42</v>
      </c>
    </row>
    <row r="317" spans="1:25">
      <c r="A317" t="s">
        <v>1349</v>
      </c>
      <c r="B317" t="s">
        <v>1350</v>
      </c>
      <c r="C317" t="s">
        <v>204</v>
      </c>
      <c r="D317">
        <v>64</v>
      </c>
      <c r="E317" t="s">
        <v>92</v>
      </c>
      <c r="F317" t="s">
        <v>29</v>
      </c>
      <c r="G317" t="s">
        <v>168</v>
      </c>
      <c r="H317" t="s">
        <v>1213</v>
      </c>
      <c r="I317" t="s">
        <v>1351</v>
      </c>
      <c r="J317">
        <v>24</v>
      </c>
      <c r="K317" t="s">
        <v>542</v>
      </c>
      <c r="L317" t="s">
        <v>1352</v>
      </c>
      <c r="M317">
        <v>32</v>
      </c>
      <c r="N317" t="s">
        <v>34</v>
      </c>
      <c r="O317" t="s">
        <v>35</v>
      </c>
      <c r="Q317" t="s">
        <v>36</v>
      </c>
      <c r="R317">
        <v>50</v>
      </c>
      <c r="S317" t="s">
        <v>37</v>
      </c>
      <c r="T317" t="s">
        <v>38</v>
      </c>
      <c r="U317">
        <v>3</v>
      </c>
      <c r="V317" t="s">
        <v>39</v>
      </c>
      <c r="W317" t="s">
        <v>40</v>
      </c>
      <c r="X317" t="s">
        <v>52</v>
      </c>
      <c r="Y317" t="s">
        <v>53</v>
      </c>
    </row>
    <row r="318" spans="1:25">
      <c r="A318" t="s">
        <v>1353</v>
      </c>
      <c r="B318" t="s">
        <v>1354</v>
      </c>
      <c r="C318" t="s">
        <v>80</v>
      </c>
      <c r="D318">
        <v>14</v>
      </c>
      <c r="E318" t="s">
        <v>149</v>
      </c>
      <c r="F318" t="s">
        <v>29</v>
      </c>
      <c r="G318" t="s">
        <v>30</v>
      </c>
      <c r="H318" t="s">
        <v>891</v>
      </c>
      <c r="I318" t="s">
        <v>1355</v>
      </c>
      <c r="J318">
        <v>6</v>
      </c>
      <c r="K318" t="s">
        <v>891</v>
      </c>
      <c r="L318" t="s">
        <v>113</v>
      </c>
      <c r="M318">
        <v>6</v>
      </c>
      <c r="N318" t="s">
        <v>68</v>
      </c>
      <c r="O318" t="s">
        <v>35</v>
      </c>
      <c r="Q318" t="s">
        <v>36</v>
      </c>
      <c r="R318">
        <v>40</v>
      </c>
      <c r="S318" t="s">
        <v>49</v>
      </c>
      <c r="T318" t="s">
        <v>69</v>
      </c>
      <c r="U318">
        <v>1</v>
      </c>
      <c r="V318" t="s">
        <v>39</v>
      </c>
      <c r="W318" t="s">
        <v>51</v>
      </c>
      <c r="X318" t="s">
        <v>109</v>
      </c>
      <c r="Y318" t="s">
        <v>42</v>
      </c>
    </row>
    <row r="319" spans="1:25">
      <c r="A319" t="s">
        <v>1356</v>
      </c>
      <c r="B319" t="s">
        <v>1357</v>
      </c>
      <c r="C319" t="s">
        <v>80</v>
      </c>
      <c r="D319">
        <v>23</v>
      </c>
      <c r="E319" t="s">
        <v>57</v>
      </c>
      <c r="F319" t="s">
        <v>29</v>
      </c>
      <c r="G319" t="s">
        <v>58</v>
      </c>
      <c r="H319" t="s">
        <v>355</v>
      </c>
      <c r="I319" t="s">
        <v>1358</v>
      </c>
      <c r="J319">
        <v>3</v>
      </c>
      <c r="K319" t="s">
        <v>355</v>
      </c>
      <c r="L319" t="s">
        <v>1359</v>
      </c>
      <c r="M319">
        <v>7</v>
      </c>
      <c r="N319" t="s">
        <v>34</v>
      </c>
      <c r="O319" t="s">
        <v>35</v>
      </c>
      <c r="Q319" t="s">
        <v>36</v>
      </c>
      <c r="R319">
        <v>15</v>
      </c>
      <c r="S319" t="s">
        <v>37</v>
      </c>
      <c r="T319" t="s">
        <v>50</v>
      </c>
      <c r="U319">
        <v>3</v>
      </c>
      <c r="V319" t="s">
        <v>62</v>
      </c>
      <c r="W319" t="s">
        <v>51</v>
      </c>
      <c r="X319" t="s">
        <v>109</v>
      </c>
      <c r="Y319" t="s">
        <v>71</v>
      </c>
    </row>
    <row r="320" spans="1:25">
      <c r="A320" t="s">
        <v>1360</v>
      </c>
      <c r="B320" t="s">
        <v>1361</v>
      </c>
      <c r="C320" t="s">
        <v>27</v>
      </c>
      <c r="D320">
        <v>42</v>
      </c>
      <c r="E320" t="s">
        <v>81</v>
      </c>
      <c r="F320" t="s">
        <v>82</v>
      </c>
      <c r="G320" t="s">
        <v>83</v>
      </c>
      <c r="H320" t="s">
        <v>919</v>
      </c>
      <c r="I320" t="s">
        <v>1362</v>
      </c>
      <c r="J320">
        <v>8</v>
      </c>
      <c r="K320" t="s">
        <v>919</v>
      </c>
      <c r="L320" t="s">
        <v>1363</v>
      </c>
      <c r="M320">
        <v>9</v>
      </c>
      <c r="N320" t="s">
        <v>34</v>
      </c>
      <c r="O320" t="s">
        <v>35</v>
      </c>
      <c r="Q320" t="s">
        <v>36</v>
      </c>
      <c r="R320">
        <v>20</v>
      </c>
      <c r="S320" t="s">
        <v>49</v>
      </c>
      <c r="T320" t="s">
        <v>88</v>
      </c>
      <c r="U320">
        <v>2</v>
      </c>
      <c r="V320" t="s">
        <v>70</v>
      </c>
      <c r="W320" t="s">
        <v>40</v>
      </c>
      <c r="X320" t="s">
        <v>52</v>
      </c>
      <c r="Y320" t="s">
        <v>42</v>
      </c>
    </row>
    <row r="321" spans="1:25">
      <c r="A321" t="s">
        <v>1364</v>
      </c>
      <c r="B321" t="s">
        <v>1365</v>
      </c>
      <c r="C321" t="s">
        <v>56</v>
      </c>
      <c r="D321">
        <v>41</v>
      </c>
      <c r="E321" t="s">
        <v>57</v>
      </c>
      <c r="F321" t="s">
        <v>29</v>
      </c>
      <c r="G321" t="s">
        <v>45</v>
      </c>
      <c r="H321" t="s">
        <v>287</v>
      </c>
      <c r="I321" t="s">
        <v>389</v>
      </c>
      <c r="J321">
        <v>3</v>
      </c>
      <c r="K321" t="s">
        <v>287</v>
      </c>
      <c r="L321" t="s">
        <v>390</v>
      </c>
      <c r="M321">
        <v>8</v>
      </c>
      <c r="N321" t="s">
        <v>34</v>
      </c>
      <c r="O321" t="s">
        <v>35</v>
      </c>
      <c r="Q321" t="s">
        <v>36</v>
      </c>
      <c r="R321">
        <v>15</v>
      </c>
      <c r="S321" t="s">
        <v>37</v>
      </c>
      <c r="T321" t="s">
        <v>69</v>
      </c>
      <c r="U321">
        <v>5</v>
      </c>
      <c r="V321" t="s">
        <v>62</v>
      </c>
      <c r="W321" t="s">
        <v>103</v>
      </c>
      <c r="X321" t="s">
        <v>41</v>
      </c>
      <c r="Y321" t="s">
        <v>71</v>
      </c>
    </row>
    <row r="322" spans="1:25">
      <c r="A322" t="s">
        <v>1366</v>
      </c>
      <c r="B322" t="s">
        <v>1367</v>
      </c>
      <c r="C322" t="s">
        <v>80</v>
      </c>
      <c r="D322">
        <v>40</v>
      </c>
      <c r="E322" t="s">
        <v>81</v>
      </c>
      <c r="F322" t="s">
        <v>82</v>
      </c>
      <c r="G322" t="s">
        <v>58</v>
      </c>
      <c r="H322" t="s">
        <v>384</v>
      </c>
      <c r="I322" t="s">
        <v>1368</v>
      </c>
      <c r="J322">
        <v>8</v>
      </c>
      <c r="K322" t="s">
        <v>384</v>
      </c>
      <c r="L322" t="s">
        <v>1369</v>
      </c>
      <c r="M322">
        <v>13</v>
      </c>
      <c r="N322" t="s">
        <v>34</v>
      </c>
      <c r="O322" t="s">
        <v>35</v>
      </c>
      <c r="Q322" t="s">
        <v>36</v>
      </c>
      <c r="R322">
        <v>20</v>
      </c>
      <c r="S322" t="s">
        <v>37</v>
      </c>
      <c r="T322" t="s">
        <v>88</v>
      </c>
      <c r="U322">
        <v>4</v>
      </c>
      <c r="V322" t="s">
        <v>39</v>
      </c>
      <c r="W322" t="s">
        <v>165</v>
      </c>
      <c r="X322" t="s">
        <v>41</v>
      </c>
      <c r="Y322" t="s">
        <v>42</v>
      </c>
    </row>
    <row r="323" spans="1:25">
      <c r="A323" t="s">
        <v>1370</v>
      </c>
      <c r="B323" t="s">
        <v>1371</v>
      </c>
      <c r="C323" t="s">
        <v>80</v>
      </c>
      <c r="D323">
        <v>77</v>
      </c>
      <c r="E323" t="s">
        <v>81</v>
      </c>
      <c r="F323" t="s">
        <v>82</v>
      </c>
      <c r="G323" t="s">
        <v>83</v>
      </c>
      <c r="H323" t="s">
        <v>1113</v>
      </c>
      <c r="I323" t="s">
        <v>486</v>
      </c>
      <c r="J323">
        <v>8</v>
      </c>
      <c r="K323" t="s">
        <v>1180</v>
      </c>
      <c r="L323" t="s">
        <v>1372</v>
      </c>
      <c r="M323">
        <v>12</v>
      </c>
      <c r="N323" t="s">
        <v>34</v>
      </c>
      <c r="O323" t="s">
        <v>35</v>
      </c>
      <c r="Q323" t="s">
        <v>132</v>
      </c>
      <c r="R323">
        <v>20</v>
      </c>
      <c r="S323" t="s">
        <v>77</v>
      </c>
      <c r="T323" t="s">
        <v>69</v>
      </c>
      <c r="U323">
        <v>5</v>
      </c>
      <c r="V323" t="s">
        <v>62</v>
      </c>
      <c r="W323" t="s">
        <v>40</v>
      </c>
      <c r="X323" t="s">
        <v>109</v>
      </c>
      <c r="Y323" t="s">
        <v>71</v>
      </c>
    </row>
    <row r="324" spans="1:25">
      <c r="A324" t="s">
        <v>1373</v>
      </c>
      <c r="B324" t="s">
        <v>1374</v>
      </c>
      <c r="C324" t="s">
        <v>80</v>
      </c>
      <c r="D324">
        <v>46</v>
      </c>
      <c r="E324" t="s">
        <v>28</v>
      </c>
      <c r="F324" t="s">
        <v>29</v>
      </c>
      <c r="G324" t="s">
        <v>58</v>
      </c>
      <c r="H324" t="s">
        <v>337</v>
      </c>
      <c r="I324" t="s">
        <v>320</v>
      </c>
      <c r="J324">
        <v>5</v>
      </c>
      <c r="K324" t="s">
        <v>337</v>
      </c>
      <c r="L324" t="s">
        <v>1375</v>
      </c>
      <c r="M324">
        <v>12</v>
      </c>
      <c r="N324" t="s">
        <v>34</v>
      </c>
      <c r="O324" t="s">
        <v>35</v>
      </c>
      <c r="Q324" t="s">
        <v>132</v>
      </c>
      <c r="R324">
        <v>35</v>
      </c>
      <c r="S324" t="s">
        <v>77</v>
      </c>
      <c r="T324" t="s">
        <v>69</v>
      </c>
      <c r="U324">
        <v>4</v>
      </c>
      <c r="V324" t="s">
        <v>89</v>
      </c>
      <c r="W324" t="s">
        <v>165</v>
      </c>
      <c r="X324" t="s">
        <v>109</v>
      </c>
      <c r="Y324" t="s">
        <v>71</v>
      </c>
    </row>
    <row r="325" spans="1:25">
      <c r="A325" t="s">
        <v>1376</v>
      </c>
      <c r="B325" t="s">
        <v>1377</v>
      </c>
      <c r="C325" t="s">
        <v>80</v>
      </c>
      <c r="D325">
        <v>73</v>
      </c>
      <c r="E325" t="s">
        <v>149</v>
      </c>
      <c r="F325" t="s">
        <v>29</v>
      </c>
      <c r="G325" t="s">
        <v>30</v>
      </c>
      <c r="H325" t="s">
        <v>902</v>
      </c>
      <c r="I325" t="s">
        <v>1378</v>
      </c>
      <c r="J325">
        <v>6</v>
      </c>
      <c r="K325" t="s">
        <v>902</v>
      </c>
      <c r="L325" t="s">
        <v>1379</v>
      </c>
      <c r="M325">
        <v>6</v>
      </c>
      <c r="N325" t="s">
        <v>68</v>
      </c>
      <c r="O325" t="s">
        <v>35</v>
      </c>
      <c r="Q325" t="s">
        <v>36</v>
      </c>
      <c r="R325">
        <v>40</v>
      </c>
      <c r="S325" t="s">
        <v>77</v>
      </c>
      <c r="T325" t="s">
        <v>88</v>
      </c>
      <c r="U325">
        <v>3</v>
      </c>
      <c r="V325" t="s">
        <v>39</v>
      </c>
      <c r="W325" t="s">
        <v>40</v>
      </c>
      <c r="X325" t="s">
        <v>52</v>
      </c>
      <c r="Y325" t="s">
        <v>42</v>
      </c>
    </row>
    <row r="326" spans="1:25">
      <c r="A326" t="s">
        <v>1380</v>
      </c>
      <c r="B326" t="s">
        <v>1381</v>
      </c>
      <c r="C326" t="s">
        <v>56</v>
      </c>
      <c r="D326">
        <v>63</v>
      </c>
      <c r="E326" t="s">
        <v>28</v>
      </c>
      <c r="F326" t="s">
        <v>29</v>
      </c>
      <c r="G326" t="s">
        <v>30</v>
      </c>
      <c r="H326" t="s">
        <v>363</v>
      </c>
      <c r="I326" t="s">
        <v>1382</v>
      </c>
      <c r="J326">
        <v>5</v>
      </c>
      <c r="K326" t="s">
        <v>363</v>
      </c>
      <c r="L326" t="s">
        <v>1287</v>
      </c>
      <c r="M326">
        <v>4</v>
      </c>
      <c r="N326" t="s">
        <v>68</v>
      </c>
      <c r="O326" t="s">
        <v>35</v>
      </c>
      <c r="Q326" t="s">
        <v>36</v>
      </c>
      <c r="R326">
        <v>35</v>
      </c>
      <c r="S326" t="s">
        <v>77</v>
      </c>
      <c r="T326" t="s">
        <v>38</v>
      </c>
      <c r="U326">
        <v>5</v>
      </c>
      <c r="V326" t="s">
        <v>70</v>
      </c>
      <c r="W326" t="s">
        <v>51</v>
      </c>
      <c r="X326" t="s">
        <v>41</v>
      </c>
      <c r="Y326" t="s">
        <v>42</v>
      </c>
    </row>
    <row r="327" spans="1:25">
      <c r="A327" t="s">
        <v>1383</v>
      </c>
      <c r="B327" t="s">
        <v>1384</v>
      </c>
      <c r="C327" t="s">
        <v>27</v>
      </c>
      <c r="D327">
        <v>83</v>
      </c>
      <c r="E327" t="s">
        <v>28</v>
      </c>
      <c r="F327" t="s">
        <v>29</v>
      </c>
      <c r="G327" t="s">
        <v>150</v>
      </c>
      <c r="H327" t="s">
        <v>222</v>
      </c>
      <c r="I327" t="s">
        <v>1089</v>
      </c>
      <c r="J327">
        <v>5</v>
      </c>
      <c r="K327" t="s">
        <v>224</v>
      </c>
      <c r="L327" t="s">
        <v>1385</v>
      </c>
      <c r="M327">
        <v>8</v>
      </c>
      <c r="N327" t="s">
        <v>34</v>
      </c>
      <c r="O327" t="s">
        <v>35</v>
      </c>
      <c r="Q327" t="s">
        <v>36</v>
      </c>
      <c r="R327">
        <v>35</v>
      </c>
      <c r="S327" t="s">
        <v>77</v>
      </c>
      <c r="T327" t="s">
        <v>69</v>
      </c>
      <c r="U327">
        <v>4</v>
      </c>
      <c r="V327" t="s">
        <v>89</v>
      </c>
      <c r="W327" t="s">
        <v>165</v>
      </c>
      <c r="X327" t="s">
        <v>109</v>
      </c>
      <c r="Y327" t="s">
        <v>53</v>
      </c>
    </row>
    <row r="328" spans="1:25">
      <c r="A328" t="s">
        <v>1386</v>
      </c>
      <c r="B328" t="s">
        <v>1387</v>
      </c>
      <c r="C328" t="s">
        <v>27</v>
      </c>
      <c r="D328">
        <v>47</v>
      </c>
      <c r="E328" t="s">
        <v>57</v>
      </c>
      <c r="F328" t="s">
        <v>29</v>
      </c>
      <c r="G328" t="s">
        <v>58</v>
      </c>
      <c r="H328" t="s">
        <v>101</v>
      </c>
      <c r="I328" t="s">
        <v>176</v>
      </c>
      <c r="J328">
        <v>3</v>
      </c>
      <c r="K328" t="s">
        <v>101</v>
      </c>
      <c r="L328" t="s">
        <v>1388</v>
      </c>
      <c r="M328">
        <v>5</v>
      </c>
      <c r="N328" t="s">
        <v>34</v>
      </c>
      <c r="O328" t="s">
        <v>35</v>
      </c>
      <c r="Q328" t="s">
        <v>36</v>
      </c>
      <c r="R328">
        <v>15</v>
      </c>
      <c r="S328" t="s">
        <v>77</v>
      </c>
      <c r="T328" t="s">
        <v>88</v>
      </c>
      <c r="U328">
        <v>3</v>
      </c>
      <c r="V328" t="s">
        <v>39</v>
      </c>
      <c r="W328" t="s">
        <v>103</v>
      </c>
      <c r="X328" t="s">
        <v>41</v>
      </c>
      <c r="Y328" t="s">
        <v>53</v>
      </c>
    </row>
    <row r="329" spans="1:25">
      <c r="A329" t="s">
        <v>1389</v>
      </c>
      <c r="B329" t="s">
        <v>1390</v>
      </c>
      <c r="C329" t="s">
        <v>27</v>
      </c>
      <c r="D329">
        <v>82</v>
      </c>
      <c r="E329" t="s">
        <v>149</v>
      </c>
      <c r="F329" t="s">
        <v>29</v>
      </c>
      <c r="G329" t="s">
        <v>30</v>
      </c>
      <c r="H329" t="s">
        <v>384</v>
      </c>
      <c r="I329" t="s">
        <v>140</v>
      </c>
      <c r="J329">
        <v>6</v>
      </c>
      <c r="K329" t="s">
        <v>267</v>
      </c>
      <c r="L329" t="s">
        <v>1391</v>
      </c>
      <c r="M329">
        <v>10</v>
      </c>
      <c r="N329" t="s">
        <v>34</v>
      </c>
      <c r="O329" t="s">
        <v>35</v>
      </c>
      <c r="Q329" t="s">
        <v>36</v>
      </c>
      <c r="R329">
        <v>40</v>
      </c>
      <c r="S329" t="s">
        <v>37</v>
      </c>
      <c r="T329" t="s">
        <v>164</v>
      </c>
      <c r="U329">
        <v>4</v>
      </c>
      <c r="V329" t="s">
        <v>89</v>
      </c>
      <c r="W329" t="s">
        <v>40</v>
      </c>
      <c r="X329" t="s">
        <v>109</v>
      </c>
      <c r="Y329" t="s">
        <v>42</v>
      </c>
    </row>
    <row r="330" spans="1:25">
      <c r="A330" t="s">
        <v>1392</v>
      </c>
      <c r="B330" t="s">
        <v>1393</v>
      </c>
      <c r="C330" t="s">
        <v>56</v>
      </c>
      <c r="D330">
        <v>73</v>
      </c>
      <c r="E330" t="s">
        <v>57</v>
      </c>
      <c r="F330" t="s">
        <v>29</v>
      </c>
      <c r="G330" t="s">
        <v>58</v>
      </c>
      <c r="H330" t="s">
        <v>641</v>
      </c>
      <c r="I330" t="s">
        <v>1157</v>
      </c>
      <c r="J330">
        <v>3</v>
      </c>
      <c r="K330" t="s">
        <v>641</v>
      </c>
      <c r="L330" t="s">
        <v>1083</v>
      </c>
      <c r="M330">
        <v>6</v>
      </c>
      <c r="N330" t="s">
        <v>34</v>
      </c>
      <c r="O330" t="s">
        <v>35</v>
      </c>
      <c r="Q330" t="s">
        <v>36</v>
      </c>
      <c r="R330">
        <v>15</v>
      </c>
      <c r="S330" t="s">
        <v>37</v>
      </c>
      <c r="T330" t="s">
        <v>50</v>
      </c>
      <c r="U330">
        <v>4</v>
      </c>
      <c r="V330" t="s">
        <v>62</v>
      </c>
      <c r="W330" t="s">
        <v>165</v>
      </c>
      <c r="X330" t="s">
        <v>41</v>
      </c>
      <c r="Y330" t="s">
        <v>53</v>
      </c>
    </row>
    <row r="331" spans="1:25">
      <c r="A331" t="s">
        <v>1394</v>
      </c>
      <c r="B331" t="s">
        <v>1395</v>
      </c>
      <c r="C331" t="s">
        <v>27</v>
      </c>
      <c r="D331">
        <v>83</v>
      </c>
      <c r="E331" t="s">
        <v>173</v>
      </c>
      <c r="F331" t="s">
        <v>29</v>
      </c>
      <c r="G331" t="s">
        <v>30</v>
      </c>
      <c r="H331" t="s">
        <v>236</v>
      </c>
      <c r="I331" t="s">
        <v>349</v>
      </c>
      <c r="J331">
        <v>4</v>
      </c>
      <c r="K331" t="s">
        <v>236</v>
      </c>
      <c r="L331" t="s">
        <v>1396</v>
      </c>
      <c r="M331">
        <v>9</v>
      </c>
      <c r="N331" t="s">
        <v>34</v>
      </c>
      <c r="O331" t="s">
        <v>35</v>
      </c>
      <c r="Q331" t="s">
        <v>36</v>
      </c>
      <c r="R331">
        <v>25</v>
      </c>
      <c r="S331" t="s">
        <v>37</v>
      </c>
      <c r="T331" t="s">
        <v>38</v>
      </c>
      <c r="U331">
        <v>3</v>
      </c>
      <c r="V331" t="s">
        <v>62</v>
      </c>
      <c r="W331" t="s">
        <v>103</v>
      </c>
      <c r="X331" t="s">
        <v>41</v>
      </c>
      <c r="Y331" t="s">
        <v>42</v>
      </c>
    </row>
    <row r="332" spans="1:25">
      <c r="A332" t="s">
        <v>1397</v>
      </c>
      <c r="B332" t="s">
        <v>1398</v>
      </c>
      <c r="C332" t="s">
        <v>204</v>
      </c>
      <c r="D332">
        <v>49</v>
      </c>
      <c r="E332" t="s">
        <v>173</v>
      </c>
      <c r="F332" t="s">
        <v>29</v>
      </c>
      <c r="G332" t="s">
        <v>168</v>
      </c>
      <c r="H332" t="s">
        <v>353</v>
      </c>
      <c r="I332" t="s">
        <v>1047</v>
      </c>
      <c r="J332">
        <v>4</v>
      </c>
      <c r="K332" t="s">
        <v>353</v>
      </c>
      <c r="L332" t="s">
        <v>675</v>
      </c>
      <c r="M332">
        <v>3</v>
      </c>
      <c r="N332" t="s">
        <v>68</v>
      </c>
      <c r="O332" t="s">
        <v>35</v>
      </c>
      <c r="Q332" t="s">
        <v>36</v>
      </c>
      <c r="R332">
        <v>25</v>
      </c>
      <c r="S332" t="s">
        <v>37</v>
      </c>
      <c r="T332" t="s">
        <v>88</v>
      </c>
      <c r="U332">
        <v>1</v>
      </c>
      <c r="V332" t="s">
        <v>70</v>
      </c>
      <c r="W332" t="s">
        <v>165</v>
      </c>
      <c r="X332" t="s">
        <v>109</v>
      </c>
      <c r="Y332" t="s">
        <v>71</v>
      </c>
    </row>
    <row r="333" spans="1:25">
      <c r="A333" t="s">
        <v>1399</v>
      </c>
      <c r="B333" t="s">
        <v>1400</v>
      </c>
      <c r="C333" t="s">
        <v>27</v>
      </c>
      <c r="D333">
        <v>38</v>
      </c>
      <c r="E333" t="s">
        <v>92</v>
      </c>
      <c r="F333" t="s">
        <v>29</v>
      </c>
      <c r="G333" t="s">
        <v>93</v>
      </c>
      <c r="H333" t="s">
        <v>845</v>
      </c>
      <c r="I333" t="s">
        <v>1401</v>
      </c>
      <c r="J333">
        <v>24</v>
      </c>
      <c r="K333" t="s">
        <v>877</v>
      </c>
      <c r="L333" t="s">
        <v>1402</v>
      </c>
      <c r="M333">
        <v>25</v>
      </c>
      <c r="N333" t="s">
        <v>34</v>
      </c>
      <c r="O333" t="s">
        <v>35</v>
      </c>
      <c r="Q333" t="s">
        <v>36</v>
      </c>
      <c r="R333">
        <v>50</v>
      </c>
      <c r="S333" t="s">
        <v>49</v>
      </c>
      <c r="T333" t="s">
        <v>50</v>
      </c>
      <c r="U333">
        <v>3</v>
      </c>
      <c r="V333" t="s">
        <v>62</v>
      </c>
      <c r="W333" t="s">
        <v>103</v>
      </c>
      <c r="X333" t="s">
        <v>52</v>
      </c>
      <c r="Y333" t="s">
        <v>53</v>
      </c>
    </row>
    <row r="334" spans="1:25">
      <c r="A334" t="s">
        <v>1403</v>
      </c>
      <c r="B334" t="s">
        <v>1404</v>
      </c>
      <c r="C334" t="s">
        <v>27</v>
      </c>
      <c r="D334">
        <v>88</v>
      </c>
      <c r="E334" t="s">
        <v>81</v>
      </c>
      <c r="F334" t="s">
        <v>82</v>
      </c>
      <c r="G334" t="s">
        <v>168</v>
      </c>
      <c r="H334" t="s">
        <v>641</v>
      </c>
      <c r="I334" t="s">
        <v>651</v>
      </c>
      <c r="J334">
        <v>8</v>
      </c>
      <c r="K334" t="s">
        <v>464</v>
      </c>
      <c r="L334" t="s">
        <v>1405</v>
      </c>
      <c r="M334">
        <v>12</v>
      </c>
      <c r="N334" t="s">
        <v>34</v>
      </c>
      <c r="O334" t="s">
        <v>35</v>
      </c>
      <c r="Q334" t="s">
        <v>36</v>
      </c>
      <c r="R334">
        <v>20</v>
      </c>
      <c r="S334" t="s">
        <v>77</v>
      </c>
      <c r="T334" t="s">
        <v>69</v>
      </c>
      <c r="U334">
        <v>1</v>
      </c>
      <c r="V334" t="s">
        <v>39</v>
      </c>
      <c r="W334" t="s">
        <v>165</v>
      </c>
      <c r="X334" t="s">
        <v>41</v>
      </c>
      <c r="Y334" t="s">
        <v>42</v>
      </c>
    </row>
    <row r="335" spans="1:25">
      <c r="A335" t="s">
        <v>1406</v>
      </c>
      <c r="B335" t="s">
        <v>1407</v>
      </c>
      <c r="C335" t="s">
        <v>80</v>
      </c>
      <c r="D335">
        <v>87</v>
      </c>
      <c r="E335" t="s">
        <v>81</v>
      </c>
      <c r="F335" t="s">
        <v>82</v>
      </c>
      <c r="G335" t="s">
        <v>45</v>
      </c>
      <c r="H335" t="s">
        <v>267</v>
      </c>
      <c r="I335" t="s">
        <v>1408</v>
      </c>
      <c r="J335">
        <v>8</v>
      </c>
      <c r="K335" t="s">
        <v>267</v>
      </c>
      <c r="L335" t="s">
        <v>1409</v>
      </c>
      <c r="M335">
        <v>13</v>
      </c>
      <c r="N335" t="s">
        <v>34</v>
      </c>
      <c r="O335" t="s">
        <v>270</v>
      </c>
      <c r="P335" t="s">
        <v>391</v>
      </c>
      <c r="Q335" t="s">
        <v>36</v>
      </c>
      <c r="R335">
        <v>20</v>
      </c>
      <c r="S335" t="s">
        <v>77</v>
      </c>
      <c r="T335" t="s">
        <v>69</v>
      </c>
      <c r="U335">
        <v>3</v>
      </c>
      <c r="V335" t="s">
        <v>39</v>
      </c>
      <c r="W335" t="s">
        <v>40</v>
      </c>
      <c r="X335" t="s">
        <v>52</v>
      </c>
      <c r="Y335" t="s">
        <v>71</v>
      </c>
    </row>
    <row r="336" spans="1:25">
      <c r="A336" t="s">
        <v>1410</v>
      </c>
      <c r="B336" t="s">
        <v>1411</v>
      </c>
      <c r="C336" t="s">
        <v>27</v>
      </c>
      <c r="D336">
        <v>15</v>
      </c>
      <c r="E336" t="s">
        <v>28</v>
      </c>
      <c r="F336" t="s">
        <v>29</v>
      </c>
      <c r="G336" t="s">
        <v>30</v>
      </c>
      <c r="H336" t="s">
        <v>1412</v>
      </c>
      <c r="I336" t="s">
        <v>1413</v>
      </c>
      <c r="J336">
        <v>5</v>
      </c>
      <c r="K336" t="s">
        <v>1412</v>
      </c>
      <c r="L336" t="s">
        <v>1414</v>
      </c>
      <c r="M336">
        <v>11</v>
      </c>
      <c r="N336" t="s">
        <v>34</v>
      </c>
      <c r="O336" t="s">
        <v>35</v>
      </c>
      <c r="Q336" t="s">
        <v>36</v>
      </c>
      <c r="R336">
        <v>35</v>
      </c>
      <c r="S336" t="s">
        <v>77</v>
      </c>
      <c r="T336" t="s">
        <v>96</v>
      </c>
      <c r="U336">
        <v>5</v>
      </c>
      <c r="V336" t="s">
        <v>70</v>
      </c>
      <c r="W336" t="s">
        <v>165</v>
      </c>
      <c r="X336" t="s">
        <v>109</v>
      </c>
      <c r="Y336" t="s">
        <v>53</v>
      </c>
    </row>
    <row r="337" spans="1:25">
      <c r="A337" t="s">
        <v>1415</v>
      </c>
      <c r="B337" t="s">
        <v>1416</v>
      </c>
      <c r="C337" t="s">
        <v>56</v>
      </c>
      <c r="D337">
        <v>25</v>
      </c>
      <c r="E337" t="s">
        <v>173</v>
      </c>
      <c r="F337" t="s">
        <v>29</v>
      </c>
      <c r="G337" t="s">
        <v>168</v>
      </c>
      <c r="H337" t="s">
        <v>556</v>
      </c>
      <c r="I337" t="s">
        <v>1417</v>
      </c>
      <c r="J337">
        <v>4</v>
      </c>
      <c r="K337" t="s">
        <v>1189</v>
      </c>
      <c r="L337" t="s">
        <v>1418</v>
      </c>
      <c r="M337">
        <v>10</v>
      </c>
      <c r="N337" t="s">
        <v>34</v>
      </c>
      <c r="O337" t="s">
        <v>35</v>
      </c>
      <c r="Q337" t="s">
        <v>36</v>
      </c>
      <c r="R337">
        <v>25</v>
      </c>
      <c r="S337" t="s">
        <v>77</v>
      </c>
      <c r="T337" t="s">
        <v>88</v>
      </c>
      <c r="U337">
        <v>2</v>
      </c>
      <c r="V337" t="s">
        <v>89</v>
      </c>
      <c r="W337" t="s">
        <v>103</v>
      </c>
      <c r="X337" t="s">
        <v>52</v>
      </c>
      <c r="Y337" t="s">
        <v>42</v>
      </c>
    </row>
    <row r="338" spans="1:25">
      <c r="A338" t="s">
        <v>1419</v>
      </c>
      <c r="B338" t="s">
        <v>1420</v>
      </c>
      <c r="C338" t="s">
        <v>80</v>
      </c>
      <c r="D338">
        <v>22</v>
      </c>
      <c r="E338" t="s">
        <v>81</v>
      </c>
      <c r="F338" t="s">
        <v>82</v>
      </c>
      <c r="G338" t="s">
        <v>83</v>
      </c>
      <c r="H338" t="s">
        <v>325</v>
      </c>
      <c r="I338" t="s">
        <v>703</v>
      </c>
      <c r="J338">
        <v>8</v>
      </c>
      <c r="K338" t="s">
        <v>1339</v>
      </c>
      <c r="L338" t="s">
        <v>1421</v>
      </c>
      <c r="M338">
        <v>15</v>
      </c>
      <c r="N338" t="s">
        <v>34</v>
      </c>
      <c r="O338" t="s">
        <v>35</v>
      </c>
      <c r="Q338" t="s">
        <v>36</v>
      </c>
      <c r="R338">
        <v>20</v>
      </c>
      <c r="S338" t="s">
        <v>37</v>
      </c>
      <c r="T338" t="s">
        <v>164</v>
      </c>
      <c r="U338">
        <v>4</v>
      </c>
      <c r="V338" t="s">
        <v>62</v>
      </c>
      <c r="W338" t="s">
        <v>40</v>
      </c>
      <c r="X338" t="s">
        <v>52</v>
      </c>
      <c r="Y338" t="s">
        <v>42</v>
      </c>
    </row>
    <row r="339" spans="1:25">
      <c r="A339" t="s">
        <v>1422</v>
      </c>
      <c r="B339" t="s">
        <v>1423</v>
      </c>
      <c r="C339" t="s">
        <v>204</v>
      </c>
      <c r="D339">
        <v>47</v>
      </c>
      <c r="E339" t="s">
        <v>81</v>
      </c>
      <c r="F339" t="s">
        <v>82</v>
      </c>
      <c r="G339" t="s">
        <v>83</v>
      </c>
      <c r="H339" t="s">
        <v>222</v>
      </c>
      <c r="I339" t="s">
        <v>887</v>
      </c>
      <c r="J339">
        <v>8</v>
      </c>
      <c r="K339" t="s">
        <v>224</v>
      </c>
      <c r="L339" t="s">
        <v>1424</v>
      </c>
      <c r="M339">
        <v>13</v>
      </c>
      <c r="N339" t="s">
        <v>34</v>
      </c>
      <c r="O339" t="s">
        <v>35</v>
      </c>
      <c r="Q339" t="s">
        <v>36</v>
      </c>
      <c r="R339">
        <v>20</v>
      </c>
      <c r="S339" t="s">
        <v>49</v>
      </c>
      <c r="T339" t="s">
        <v>50</v>
      </c>
      <c r="U339">
        <v>4</v>
      </c>
      <c r="V339" t="s">
        <v>89</v>
      </c>
      <c r="W339" t="s">
        <v>40</v>
      </c>
      <c r="X339" t="s">
        <v>41</v>
      </c>
      <c r="Y339" t="s">
        <v>53</v>
      </c>
    </row>
    <row r="340" spans="1:25">
      <c r="A340" t="s">
        <v>1425</v>
      </c>
      <c r="B340" t="s">
        <v>1426</v>
      </c>
      <c r="C340" t="s">
        <v>204</v>
      </c>
      <c r="D340">
        <v>11</v>
      </c>
      <c r="E340" t="s">
        <v>81</v>
      </c>
      <c r="F340" t="s">
        <v>82</v>
      </c>
      <c r="G340" t="s">
        <v>83</v>
      </c>
      <c r="H340" t="s">
        <v>99</v>
      </c>
      <c r="I340" t="s">
        <v>1427</v>
      </c>
      <c r="J340">
        <v>8</v>
      </c>
      <c r="K340" t="s">
        <v>99</v>
      </c>
      <c r="L340" t="s">
        <v>1428</v>
      </c>
      <c r="M340">
        <v>14</v>
      </c>
      <c r="N340" t="s">
        <v>34</v>
      </c>
      <c r="O340" t="s">
        <v>35</v>
      </c>
      <c r="Q340" t="s">
        <v>36</v>
      </c>
      <c r="R340">
        <v>20</v>
      </c>
      <c r="S340" t="s">
        <v>49</v>
      </c>
      <c r="T340" t="s">
        <v>88</v>
      </c>
      <c r="U340">
        <v>1</v>
      </c>
      <c r="V340" t="s">
        <v>62</v>
      </c>
      <c r="W340" t="s">
        <v>165</v>
      </c>
      <c r="X340" t="s">
        <v>109</v>
      </c>
      <c r="Y340" t="s">
        <v>53</v>
      </c>
    </row>
    <row r="341" spans="1:25">
      <c r="A341" t="s">
        <v>1429</v>
      </c>
      <c r="B341" t="s">
        <v>1430</v>
      </c>
      <c r="C341" t="s">
        <v>204</v>
      </c>
      <c r="D341">
        <v>66</v>
      </c>
      <c r="E341" t="s">
        <v>149</v>
      </c>
      <c r="F341" t="s">
        <v>29</v>
      </c>
      <c r="G341" t="s">
        <v>30</v>
      </c>
      <c r="H341" t="s">
        <v>1248</v>
      </c>
      <c r="I341" t="s">
        <v>958</v>
      </c>
      <c r="J341">
        <v>6</v>
      </c>
      <c r="K341" t="s">
        <v>342</v>
      </c>
      <c r="L341" t="s">
        <v>1431</v>
      </c>
      <c r="M341">
        <v>9</v>
      </c>
      <c r="N341" t="s">
        <v>34</v>
      </c>
      <c r="O341" t="s">
        <v>35</v>
      </c>
      <c r="Q341" t="s">
        <v>36</v>
      </c>
      <c r="R341">
        <v>40</v>
      </c>
      <c r="S341" t="s">
        <v>37</v>
      </c>
      <c r="T341" t="s">
        <v>96</v>
      </c>
      <c r="U341">
        <v>3</v>
      </c>
      <c r="V341" t="s">
        <v>89</v>
      </c>
      <c r="W341" t="s">
        <v>165</v>
      </c>
      <c r="X341" t="s">
        <v>41</v>
      </c>
      <c r="Y341" t="s">
        <v>53</v>
      </c>
    </row>
    <row r="342" spans="1:25">
      <c r="A342" t="s">
        <v>1432</v>
      </c>
      <c r="B342" t="s">
        <v>1433</v>
      </c>
      <c r="C342" t="s">
        <v>56</v>
      </c>
      <c r="D342">
        <v>87</v>
      </c>
      <c r="E342" t="s">
        <v>173</v>
      </c>
      <c r="F342" t="s">
        <v>29</v>
      </c>
      <c r="G342" t="s">
        <v>168</v>
      </c>
      <c r="H342" t="s">
        <v>213</v>
      </c>
      <c r="I342" t="s">
        <v>1434</v>
      </c>
      <c r="J342">
        <v>4</v>
      </c>
      <c r="K342" t="s">
        <v>213</v>
      </c>
      <c r="L342" t="s">
        <v>565</v>
      </c>
      <c r="M342">
        <v>8</v>
      </c>
      <c r="N342" t="s">
        <v>34</v>
      </c>
      <c r="O342" t="s">
        <v>35</v>
      </c>
      <c r="Q342" t="s">
        <v>36</v>
      </c>
      <c r="R342">
        <v>25</v>
      </c>
      <c r="S342" t="s">
        <v>49</v>
      </c>
      <c r="T342" t="s">
        <v>88</v>
      </c>
      <c r="U342">
        <v>2</v>
      </c>
      <c r="V342" t="s">
        <v>39</v>
      </c>
      <c r="W342" t="s">
        <v>165</v>
      </c>
      <c r="X342" t="s">
        <v>52</v>
      </c>
      <c r="Y342" t="s">
        <v>71</v>
      </c>
    </row>
    <row r="343" spans="1:25">
      <c r="A343" t="s">
        <v>1435</v>
      </c>
      <c r="B343" t="s">
        <v>1436</v>
      </c>
      <c r="C343" t="s">
        <v>204</v>
      </c>
      <c r="D343">
        <v>56</v>
      </c>
      <c r="E343" t="s">
        <v>92</v>
      </c>
      <c r="F343" t="s">
        <v>29</v>
      </c>
      <c r="G343" t="s">
        <v>93</v>
      </c>
      <c r="H343" t="s">
        <v>300</v>
      </c>
      <c r="I343" t="s">
        <v>447</v>
      </c>
      <c r="J343">
        <v>24</v>
      </c>
      <c r="K343" t="s">
        <v>323</v>
      </c>
      <c r="L343" t="s">
        <v>1437</v>
      </c>
      <c r="M343">
        <v>29</v>
      </c>
      <c r="N343" t="s">
        <v>34</v>
      </c>
      <c r="O343" t="s">
        <v>270</v>
      </c>
      <c r="P343" t="s">
        <v>271</v>
      </c>
      <c r="Q343" t="s">
        <v>36</v>
      </c>
      <c r="R343">
        <v>50</v>
      </c>
      <c r="S343" t="s">
        <v>77</v>
      </c>
      <c r="T343" t="s">
        <v>164</v>
      </c>
      <c r="U343">
        <v>2</v>
      </c>
      <c r="V343" t="s">
        <v>39</v>
      </c>
      <c r="W343" t="s">
        <v>103</v>
      </c>
      <c r="X343" t="s">
        <v>109</v>
      </c>
      <c r="Y343" t="s">
        <v>42</v>
      </c>
    </row>
    <row r="344" spans="1:25">
      <c r="A344" t="s">
        <v>1438</v>
      </c>
      <c r="B344" t="s">
        <v>1439</v>
      </c>
      <c r="C344" t="s">
        <v>56</v>
      </c>
      <c r="D344">
        <v>3</v>
      </c>
      <c r="E344" t="s">
        <v>28</v>
      </c>
      <c r="F344" t="s">
        <v>29</v>
      </c>
      <c r="G344" t="s">
        <v>58</v>
      </c>
      <c r="H344" t="s">
        <v>1440</v>
      </c>
      <c r="I344" t="s">
        <v>664</v>
      </c>
      <c r="J344">
        <v>5</v>
      </c>
      <c r="K344" t="s">
        <v>1440</v>
      </c>
      <c r="L344" t="s">
        <v>137</v>
      </c>
      <c r="M344">
        <v>11</v>
      </c>
      <c r="N344" t="s">
        <v>34</v>
      </c>
      <c r="O344" t="s">
        <v>35</v>
      </c>
      <c r="Q344" t="s">
        <v>36</v>
      </c>
      <c r="R344">
        <v>35</v>
      </c>
      <c r="S344" t="s">
        <v>37</v>
      </c>
      <c r="T344" t="s">
        <v>69</v>
      </c>
      <c r="U344">
        <v>3</v>
      </c>
      <c r="V344" t="s">
        <v>89</v>
      </c>
      <c r="W344" t="s">
        <v>40</v>
      </c>
      <c r="X344" t="s">
        <v>52</v>
      </c>
      <c r="Y344" t="s">
        <v>53</v>
      </c>
    </row>
    <row r="345" spans="1:25">
      <c r="A345" t="s">
        <v>1441</v>
      </c>
      <c r="B345" t="s">
        <v>1442</v>
      </c>
      <c r="C345" t="s">
        <v>56</v>
      </c>
      <c r="D345">
        <v>17</v>
      </c>
      <c r="E345" t="s">
        <v>28</v>
      </c>
      <c r="F345" t="s">
        <v>29</v>
      </c>
      <c r="G345" t="s">
        <v>30</v>
      </c>
      <c r="H345" t="s">
        <v>205</v>
      </c>
      <c r="I345" t="s">
        <v>176</v>
      </c>
      <c r="J345">
        <v>5</v>
      </c>
      <c r="K345" t="s">
        <v>207</v>
      </c>
      <c r="L345" t="s">
        <v>1443</v>
      </c>
      <c r="M345">
        <v>10</v>
      </c>
      <c r="N345" t="s">
        <v>34</v>
      </c>
      <c r="O345" t="s">
        <v>35</v>
      </c>
      <c r="Q345" t="s">
        <v>36</v>
      </c>
      <c r="R345">
        <v>35</v>
      </c>
      <c r="S345" t="s">
        <v>77</v>
      </c>
      <c r="T345" t="s">
        <v>38</v>
      </c>
      <c r="U345">
        <v>2</v>
      </c>
      <c r="V345" t="s">
        <v>39</v>
      </c>
      <c r="W345" t="s">
        <v>51</v>
      </c>
      <c r="X345" t="s">
        <v>109</v>
      </c>
      <c r="Y345" t="s">
        <v>53</v>
      </c>
    </row>
    <row r="346" spans="1:25">
      <c r="A346" t="s">
        <v>1444</v>
      </c>
      <c r="B346" t="s">
        <v>1445</v>
      </c>
      <c r="C346" t="s">
        <v>56</v>
      </c>
      <c r="D346">
        <v>5</v>
      </c>
      <c r="E346" t="s">
        <v>81</v>
      </c>
      <c r="F346" t="s">
        <v>82</v>
      </c>
      <c r="G346" t="s">
        <v>168</v>
      </c>
      <c r="H346" t="s">
        <v>400</v>
      </c>
      <c r="I346" t="s">
        <v>808</v>
      </c>
      <c r="J346">
        <v>8</v>
      </c>
      <c r="K346" t="s">
        <v>652</v>
      </c>
      <c r="L346" t="s">
        <v>1443</v>
      </c>
      <c r="M346">
        <v>14</v>
      </c>
      <c r="N346" t="s">
        <v>34</v>
      </c>
      <c r="O346" t="s">
        <v>35</v>
      </c>
      <c r="Q346" t="s">
        <v>36</v>
      </c>
      <c r="R346">
        <v>20</v>
      </c>
      <c r="S346" t="s">
        <v>77</v>
      </c>
      <c r="T346" t="s">
        <v>50</v>
      </c>
      <c r="U346">
        <v>5</v>
      </c>
      <c r="V346" t="s">
        <v>39</v>
      </c>
      <c r="W346" t="s">
        <v>51</v>
      </c>
      <c r="X346" t="s">
        <v>52</v>
      </c>
      <c r="Y346" t="s">
        <v>42</v>
      </c>
    </row>
    <row r="347" spans="1:25">
      <c r="A347" t="s">
        <v>1446</v>
      </c>
      <c r="B347" t="s">
        <v>1447</v>
      </c>
      <c r="C347" t="s">
        <v>204</v>
      </c>
      <c r="D347">
        <v>56</v>
      </c>
      <c r="E347" t="s">
        <v>149</v>
      </c>
      <c r="F347" t="s">
        <v>29</v>
      </c>
      <c r="G347" t="s">
        <v>30</v>
      </c>
      <c r="H347" t="s">
        <v>464</v>
      </c>
      <c r="I347" t="s">
        <v>1150</v>
      </c>
      <c r="J347">
        <v>6</v>
      </c>
      <c r="K347" t="s">
        <v>1240</v>
      </c>
      <c r="L347" t="s">
        <v>1448</v>
      </c>
      <c r="M347">
        <v>14</v>
      </c>
      <c r="N347" t="s">
        <v>34</v>
      </c>
      <c r="O347" t="s">
        <v>35</v>
      </c>
      <c r="Q347" t="s">
        <v>36</v>
      </c>
      <c r="R347">
        <v>40</v>
      </c>
      <c r="S347" t="s">
        <v>49</v>
      </c>
      <c r="T347" t="s">
        <v>88</v>
      </c>
      <c r="U347">
        <v>3</v>
      </c>
      <c r="V347" t="s">
        <v>70</v>
      </c>
      <c r="W347" t="s">
        <v>103</v>
      </c>
      <c r="X347" t="s">
        <v>41</v>
      </c>
      <c r="Y347" t="s">
        <v>53</v>
      </c>
    </row>
    <row r="348" spans="1:25">
      <c r="A348" t="s">
        <v>1449</v>
      </c>
      <c r="B348" t="s">
        <v>1450</v>
      </c>
      <c r="C348" t="s">
        <v>56</v>
      </c>
      <c r="D348">
        <v>52</v>
      </c>
      <c r="E348" t="s">
        <v>28</v>
      </c>
      <c r="F348" t="s">
        <v>29</v>
      </c>
      <c r="G348" t="s">
        <v>168</v>
      </c>
      <c r="H348" t="s">
        <v>213</v>
      </c>
      <c r="I348" t="s">
        <v>935</v>
      </c>
      <c r="J348">
        <v>5</v>
      </c>
      <c r="K348" t="s">
        <v>213</v>
      </c>
      <c r="L348" t="s">
        <v>163</v>
      </c>
      <c r="M348">
        <v>5</v>
      </c>
      <c r="N348" t="s">
        <v>68</v>
      </c>
      <c r="O348" t="s">
        <v>35</v>
      </c>
      <c r="Q348" t="s">
        <v>36</v>
      </c>
      <c r="R348">
        <v>35</v>
      </c>
      <c r="S348" t="s">
        <v>77</v>
      </c>
      <c r="T348" t="s">
        <v>69</v>
      </c>
      <c r="U348">
        <v>1</v>
      </c>
      <c r="V348" t="s">
        <v>62</v>
      </c>
      <c r="W348" t="s">
        <v>165</v>
      </c>
      <c r="X348" t="s">
        <v>109</v>
      </c>
      <c r="Y348" t="s">
        <v>42</v>
      </c>
    </row>
    <row r="349" spans="1:25">
      <c r="A349" t="s">
        <v>1451</v>
      </c>
      <c r="B349" t="s">
        <v>1452</v>
      </c>
      <c r="C349" t="s">
        <v>80</v>
      </c>
      <c r="D349">
        <v>89</v>
      </c>
      <c r="E349" t="s">
        <v>57</v>
      </c>
      <c r="F349" t="s">
        <v>29</v>
      </c>
      <c r="G349" t="s">
        <v>58</v>
      </c>
      <c r="H349" t="s">
        <v>1266</v>
      </c>
      <c r="I349" t="s">
        <v>334</v>
      </c>
      <c r="J349">
        <v>3</v>
      </c>
      <c r="K349" t="s">
        <v>1266</v>
      </c>
      <c r="L349" t="s">
        <v>1453</v>
      </c>
      <c r="M349">
        <v>11</v>
      </c>
      <c r="N349" t="s">
        <v>34</v>
      </c>
      <c r="O349" t="s">
        <v>35</v>
      </c>
      <c r="Q349" t="s">
        <v>36</v>
      </c>
      <c r="R349">
        <v>15</v>
      </c>
      <c r="S349" t="s">
        <v>77</v>
      </c>
      <c r="T349" t="s">
        <v>164</v>
      </c>
      <c r="U349">
        <v>3</v>
      </c>
      <c r="V349" t="s">
        <v>89</v>
      </c>
      <c r="W349" t="s">
        <v>40</v>
      </c>
      <c r="X349" t="s">
        <v>41</v>
      </c>
      <c r="Y349" t="s">
        <v>71</v>
      </c>
    </row>
    <row r="350" spans="1:25">
      <c r="A350" t="s">
        <v>1454</v>
      </c>
      <c r="B350" t="s">
        <v>1455</v>
      </c>
      <c r="C350" t="s">
        <v>80</v>
      </c>
      <c r="D350">
        <v>5</v>
      </c>
      <c r="E350" t="s">
        <v>92</v>
      </c>
      <c r="F350" t="s">
        <v>29</v>
      </c>
      <c r="G350" t="s">
        <v>30</v>
      </c>
      <c r="H350" t="s">
        <v>1266</v>
      </c>
      <c r="I350" t="s">
        <v>1456</v>
      </c>
      <c r="J350">
        <v>24</v>
      </c>
      <c r="K350" t="s">
        <v>1177</v>
      </c>
      <c r="L350" t="s">
        <v>998</v>
      </c>
      <c r="M350">
        <v>30</v>
      </c>
      <c r="N350" t="s">
        <v>34</v>
      </c>
      <c r="O350" t="s">
        <v>35</v>
      </c>
      <c r="Q350" t="s">
        <v>36</v>
      </c>
      <c r="R350">
        <v>-20</v>
      </c>
      <c r="S350" t="s">
        <v>49</v>
      </c>
      <c r="T350" t="s">
        <v>96</v>
      </c>
      <c r="U350">
        <v>1</v>
      </c>
      <c r="V350" t="s">
        <v>39</v>
      </c>
      <c r="W350" t="s">
        <v>103</v>
      </c>
      <c r="X350" t="s">
        <v>109</v>
      </c>
      <c r="Y350" t="s">
        <v>53</v>
      </c>
    </row>
    <row r="351" spans="1:25">
      <c r="A351" t="s">
        <v>1457</v>
      </c>
      <c r="B351" t="s">
        <v>1458</v>
      </c>
      <c r="C351" t="s">
        <v>204</v>
      </c>
      <c r="D351">
        <v>81</v>
      </c>
      <c r="E351" t="s">
        <v>57</v>
      </c>
      <c r="F351" t="s">
        <v>29</v>
      </c>
      <c r="G351" t="s">
        <v>93</v>
      </c>
      <c r="H351" t="s">
        <v>405</v>
      </c>
      <c r="I351" t="s">
        <v>1459</v>
      </c>
      <c r="J351">
        <v>3</v>
      </c>
      <c r="K351" t="s">
        <v>405</v>
      </c>
      <c r="L351" t="s">
        <v>1460</v>
      </c>
      <c r="M351">
        <v>2</v>
      </c>
      <c r="N351" t="s">
        <v>68</v>
      </c>
      <c r="O351" t="s">
        <v>35</v>
      </c>
      <c r="Q351" t="s">
        <v>36</v>
      </c>
      <c r="R351">
        <v>15</v>
      </c>
      <c r="S351" t="s">
        <v>37</v>
      </c>
      <c r="T351" t="s">
        <v>38</v>
      </c>
      <c r="U351">
        <v>5</v>
      </c>
      <c r="V351" t="s">
        <v>89</v>
      </c>
      <c r="W351" t="s">
        <v>51</v>
      </c>
      <c r="X351" t="s">
        <v>109</v>
      </c>
      <c r="Y351" t="s">
        <v>53</v>
      </c>
    </row>
    <row r="352" spans="1:25">
      <c r="A352" t="s">
        <v>1461</v>
      </c>
      <c r="B352" t="s">
        <v>1462</v>
      </c>
      <c r="C352" t="s">
        <v>204</v>
      </c>
      <c r="D352">
        <v>51</v>
      </c>
      <c r="E352" t="s">
        <v>57</v>
      </c>
      <c r="F352" t="s">
        <v>29</v>
      </c>
      <c r="G352" t="s">
        <v>58</v>
      </c>
      <c r="H352" t="s">
        <v>184</v>
      </c>
      <c r="I352" t="s">
        <v>1463</v>
      </c>
      <c r="J352">
        <v>3</v>
      </c>
      <c r="K352" t="s">
        <v>184</v>
      </c>
      <c r="L352" t="s">
        <v>1464</v>
      </c>
      <c r="M352">
        <v>7</v>
      </c>
      <c r="N352" t="s">
        <v>34</v>
      </c>
      <c r="O352" t="s">
        <v>35</v>
      </c>
      <c r="Q352" t="s">
        <v>36</v>
      </c>
      <c r="R352">
        <v>15</v>
      </c>
      <c r="S352" t="s">
        <v>37</v>
      </c>
      <c r="T352" t="s">
        <v>96</v>
      </c>
      <c r="U352">
        <v>5</v>
      </c>
      <c r="V352" t="s">
        <v>70</v>
      </c>
      <c r="W352" t="s">
        <v>103</v>
      </c>
      <c r="X352" t="s">
        <v>52</v>
      </c>
      <c r="Y352" t="s">
        <v>71</v>
      </c>
    </row>
    <row r="353" spans="1:25">
      <c r="A353" t="s">
        <v>1465</v>
      </c>
      <c r="B353" t="s">
        <v>1466</v>
      </c>
      <c r="C353" t="s">
        <v>56</v>
      </c>
      <c r="D353">
        <v>69</v>
      </c>
      <c r="E353" t="s">
        <v>149</v>
      </c>
      <c r="F353" t="s">
        <v>29</v>
      </c>
      <c r="G353" t="s">
        <v>168</v>
      </c>
      <c r="H353" t="s">
        <v>1189</v>
      </c>
      <c r="I353" t="s">
        <v>1467</v>
      </c>
      <c r="J353">
        <v>6</v>
      </c>
      <c r="K353" t="s">
        <v>1189</v>
      </c>
      <c r="L353" t="s">
        <v>936</v>
      </c>
      <c r="M353">
        <v>11</v>
      </c>
      <c r="N353" t="s">
        <v>34</v>
      </c>
      <c r="O353" t="s">
        <v>35</v>
      </c>
      <c r="Q353" t="s">
        <v>36</v>
      </c>
      <c r="R353">
        <v>40</v>
      </c>
      <c r="S353" t="s">
        <v>77</v>
      </c>
      <c r="T353" t="s">
        <v>38</v>
      </c>
      <c r="U353">
        <v>4</v>
      </c>
      <c r="V353" t="s">
        <v>39</v>
      </c>
      <c r="W353" t="s">
        <v>103</v>
      </c>
      <c r="X353" t="s">
        <v>41</v>
      </c>
      <c r="Y353" t="s">
        <v>42</v>
      </c>
    </row>
    <row r="354" spans="1:25">
      <c r="A354" t="s">
        <v>1468</v>
      </c>
      <c r="B354" t="s">
        <v>1469</v>
      </c>
      <c r="C354" t="s">
        <v>204</v>
      </c>
      <c r="D354">
        <v>10</v>
      </c>
      <c r="E354" t="s">
        <v>81</v>
      </c>
      <c r="F354" t="s">
        <v>82</v>
      </c>
      <c r="G354" t="s">
        <v>93</v>
      </c>
      <c r="H354" t="s">
        <v>245</v>
      </c>
      <c r="I354" t="s">
        <v>874</v>
      </c>
      <c r="J354">
        <v>8</v>
      </c>
      <c r="K354" t="s">
        <v>245</v>
      </c>
      <c r="L354" t="s">
        <v>1470</v>
      </c>
      <c r="M354">
        <v>9</v>
      </c>
      <c r="N354" t="s">
        <v>34</v>
      </c>
      <c r="O354" t="s">
        <v>35</v>
      </c>
      <c r="Q354" t="s">
        <v>36</v>
      </c>
      <c r="R354">
        <v>20</v>
      </c>
      <c r="S354" t="s">
        <v>49</v>
      </c>
      <c r="T354" t="s">
        <v>69</v>
      </c>
      <c r="U354">
        <v>3</v>
      </c>
      <c r="V354" t="s">
        <v>70</v>
      </c>
      <c r="W354" t="s">
        <v>40</v>
      </c>
      <c r="X354" t="s">
        <v>52</v>
      </c>
      <c r="Y354" t="s">
        <v>42</v>
      </c>
    </row>
    <row r="355" spans="1:25">
      <c r="A355" t="s">
        <v>1471</v>
      </c>
      <c r="B355" t="s">
        <v>1472</v>
      </c>
      <c r="C355" t="s">
        <v>204</v>
      </c>
      <c r="D355">
        <v>55</v>
      </c>
      <c r="E355" t="s">
        <v>81</v>
      </c>
      <c r="F355" t="s">
        <v>82</v>
      </c>
      <c r="G355" t="s">
        <v>83</v>
      </c>
      <c r="H355" t="s">
        <v>707</v>
      </c>
      <c r="I355" t="s">
        <v>651</v>
      </c>
      <c r="J355">
        <v>8</v>
      </c>
      <c r="K355" t="s">
        <v>707</v>
      </c>
      <c r="L355" t="s">
        <v>693</v>
      </c>
      <c r="M355">
        <v>7</v>
      </c>
      <c r="N355" t="s">
        <v>68</v>
      </c>
      <c r="O355" t="s">
        <v>35</v>
      </c>
      <c r="Q355" t="s">
        <v>36</v>
      </c>
      <c r="R355">
        <v>20</v>
      </c>
      <c r="S355" t="s">
        <v>49</v>
      </c>
      <c r="T355" t="s">
        <v>50</v>
      </c>
      <c r="U355">
        <v>5</v>
      </c>
      <c r="V355" t="s">
        <v>39</v>
      </c>
      <c r="W355" t="s">
        <v>51</v>
      </c>
      <c r="X355" t="s">
        <v>41</v>
      </c>
      <c r="Y355" t="s">
        <v>71</v>
      </c>
    </row>
    <row r="356" spans="1:25">
      <c r="A356" t="s">
        <v>1473</v>
      </c>
      <c r="B356" t="s">
        <v>1474</v>
      </c>
      <c r="C356" t="s">
        <v>56</v>
      </c>
      <c r="D356">
        <v>7</v>
      </c>
      <c r="E356" t="s">
        <v>28</v>
      </c>
      <c r="F356" t="s">
        <v>29</v>
      </c>
      <c r="G356" t="s">
        <v>30</v>
      </c>
      <c r="H356" t="s">
        <v>1092</v>
      </c>
      <c r="I356" t="s">
        <v>136</v>
      </c>
      <c r="J356">
        <v>5</v>
      </c>
      <c r="K356" t="s">
        <v>1092</v>
      </c>
      <c r="L356" t="s">
        <v>1475</v>
      </c>
      <c r="M356">
        <v>8</v>
      </c>
      <c r="N356" t="s">
        <v>34</v>
      </c>
      <c r="O356" t="s">
        <v>35</v>
      </c>
      <c r="Q356" t="s">
        <v>36</v>
      </c>
      <c r="R356">
        <v>35</v>
      </c>
      <c r="S356" t="s">
        <v>77</v>
      </c>
      <c r="T356" t="s">
        <v>38</v>
      </c>
      <c r="U356">
        <v>4</v>
      </c>
      <c r="V356" t="s">
        <v>70</v>
      </c>
      <c r="W356" t="s">
        <v>103</v>
      </c>
      <c r="X356" t="s">
        <v>52</v>
      </c>
      <c r="Y356" t="s">
        <v>53</v>
      </c>
    </row>
    <row r="357" spans="1:25">
      <c r="A357" t="s">
        <v>1476</v>
      </c>
      <c r="B357" t="s">
        <v>1477</v>
      </c>
      <c r="C357" t="s">
        <v>80</v>
      </c>
      <c r="D357">
        <v>67</v>
      </c>
      <c r="E357" t="s">
        <v>149</v>
      </c>
      <c r="F357" t="s">
        <v>29</v>
      </c>
      <c r="G357" t="s">
        <v>30</v>
      </c>
      <c r="H357" t="s">
        <v>556</v>
      </c>
      <c r="I357" t="s">
        <v>1478</v>
      </c>
      <c r="J357">
        <v>6</v>
      </c>
      <c r="K357" t="s">
        <v>1189</v>
      </c>
      <c r="L357" t="s">
        <v>1391</v>
      </c>
      <c r="M357">
        <v>11</v>
      </c>
      <c r="N357" t="s">
        <v>34</v>
      </c>
      <c r="O357" t="s">
        <v>35</v>
      </c>
      <c r="Q357" t="s">
        <v>36</v>
      </c>
      <c r="R357">
        <v>40</v>
      </c>
      <c r="S357" t="s">
        <v>37</v>
      </c>
      <c r="T357" t="s">
        <v>88</v>
      </c>
      <c r="U357">
        <v>3</v>
      </c>
      <c r="V357" t="s">
        <v>39</v>
      </c>
      <c r="W357" t="s">
        <v>165</v>
      </c>
      <c r="X357" t="s">
        <v>41</v>
      </c>
      <c r="Y357" t="s">
        <v>42</v>
      </c>
    </row>
    <row r="358" spans="1:25">
      <c r="A358" t="s">
        <v>1479</v>
      </c>
      <c r="B358" t="s">
        <v>1480</v>
      </c>
      <c r="C358" t="s">
        <v>27</v>
      </c>
      <c r="D358">
        <v>21</v>
      </c>
      <c r="E358" t="s">
        <v>57</v>
      </c>
      <c r="F358" t="s">
        <v>29</v>
      </c>
      <c r="G358" t="s">
        <v>58</v>
      </c>
      <c r="H358" t="s">
        <v>1092</v>
      </c>
      <c r="I358" t="s">
        <v>686</v>
      </c>
      <c r="J358">
        <v>3</v>
      </c>
      <c r="K358" t="s">
        <v>1092</v>
      </c>
      <c r="L358" t="s">
        <v>1481</v>
      </c>
      <c r="M358">
        <v>5</v>
      </c>
      <c r="N358" t="s">
        <v>34</v>
      </c>
      <c r="O358" t="s">
        <v>35</v>
      </c>
      <c r="Q358" t="s">
        <v>132</v>
      </c>
      <c r="R358">
        <v>15</v>
      </c>
      <c r="S358" t="s">
        <v>77</v>
      </c>
      <c r="T358" t="s">
        <v>50</v>
      </c>
      <c r="U358">
        <v>2</v>
      </c>
      <c r="V358" t="s">
        <v>39</v>
      </c>
      <c r="W358" t="s">
        <v>40</v>
      </c>
      <c r="X358" t="s">
        <v>41</v>
      </c>
      <c r="Y358" t="s">
        <v>42</v>
      </c>
    </row>
    <row r="359" spans="1:25">
      <c r="A359" t="s">
        <v>1482</v>
      </c>
      <c r="B359" t="s">
        <v>1483</v>
      </c>
      <c r="C359" t="s">
        <v>204</v>
      </c>
      <c r="D359">
        <v>57</v>
      </c>
      <c r="E359" t="s">
        <v>28</v>
      </c>
      <c r="F359" t="s">
        <v>29</v>
      </c>
      <c r="G359" t="s">
        <v>30</v>
      </c>
      <c r="H359" t="s">
        <v>1283</v>
      </c>
      <c r="I359" t="s">
        <v>1166</v>
      </c>
      <c r="J359">
        <v>5</v>
      </c>
      <c r="K359" t="s">
        <v>1283</v>
      </c>
      <c r="L359" t="s">
        <v>1484</v>
      </c>
      <c r="M359">
        <v>6</v>
      </c>
      <c r="N359" t="s">
        <v>34</v>
      </c>
      <c r="O359" t="s">
        <v>35</v>
      </c>
      <c r="Q359" t="s">
        <v>36</v>
      </c>
      <c r="R359">
        <v>35</v>
      </c>
      <c r="S359" t="s">
        <v>77</v>
      </c>
      <c r="T359" t="s">
        <v>50</v>
      </c>
      <c r="U359">
        <v>4</v>
      </c>
      <c r="V359" t="s">
        <v>70</v>
      </c>
      <c r="W359" t="s">
        <v>103</v>
      </c>
      <c r="X359" t="s">
        <v>41</v>
      </c>
      <c r="Y359" t="s">
        <v>71</v>
      </c>
    </row>
    <row r="360" spans="1:25">
      <c r="A360" t="s">
        <v>1485</v>
      </c>
      <c r="B360" t="s">
        <v>1486</v>
      </c>
      <c r="C360" t="s">
        <v>80</v>
      </c>
      <c r="D360">
        <v>34</v>
      </c>
      <c r="E360" t="s">
        <v>173</v>
      </c>
      <c r="F360" t="s">
        <v>29</v>
      </c>
      <c r="G360" t="s">
        <v>168</v>
      </c>
      <c r="H360" t="s">
        <v>1412</v>
      </c>
      <c r="I360" t="s">
        <v>1487</v>
      </c>
      <c r="J360">
        <v>4</v>
      </c>
      <c r="K360" t="s">
        <v>1412</v>
      </c>
      <c r="L360" t="s">
        <v>1488</v>
      </c>
      <c r="M360">
        <v>6</v>
      </c>
      <c r="N360" t="s">
        <v>34</v>
      </c>
      <c r="O360" t="s">
        <v>35</v>
      </c>
      <c r="Q360" t="s">
        <v>36</v>
      </c>
      <c r="R360">
        <v>25</v>
      </c>
      <c r="S360" t="s">
        <v>37</v>
      </c>
      <c r="T360" t="s">
        <v>88</v>
      </c>
      <c r="U360">
        <v>1</v>
      </c>
      <c r="V360" t="s">
        <v>70</v>
      </c>
      <c r="W360" t="s">
        <v>40</v>
      </c>
      <c r="X360" t="s">
        <v>109</v>
      </c>
      <c r="Y360" t="s">
        <v>42</v>
      </c>
    </row>
    <row r="361" spans="1:25">
      <c r="A361" t="s">
        <v>1489</v>
      </c>
      <c r="B361" t="s">
        <v>1490</v>
      </c>
      <c r="C361" t="s">
        <v>27</v>
      </c>
      <c r="D361">
        <v>5</v>
      </c>
      <c r="E361" t="s">
        <v>28</v>
      </c>
      <c r="F361" t="s">
        <v>29</v>
      </c>
      <c r="G361" t="s">
        <v>30</v>
      </c>
      <c r="H361" t="s">
        <v>123</v>
      </c>
      <c r="I361" t="s">
        <v>555</v>
      </c>
      <c r="J361">
        <v>5</v>
      </c>
      <c r="K361" t="s">
        <v>123</v>
      </c>
      <c r="L361" t="s">
        <v>1491</v>
      </c>
      <c r="M361">
        <v>4</v>
      </c>
      <c r="N361" t="s">
        <v>68</v>
      </c>
      <c r="O361" t="s">
        <v>35</v>
      </c>
      <c r="Q361" t="s">
        <v>36</v>
      </c>
      <c r="R361">
        <v>35</v>
      </c>
      <c r="S361" t="s">
        <v>77</v>
      </c>
      <c r="T361" t="s">
        <v>96</v>
      </c>
      <c r="U361">
        <v>2</v>
      </c>
      <c r="V361" t="s">
        <v>89</v>
      </c>
      <c r="W361" t="s">
        <v>40</v>
      </c>
      <c r="X361" t="s">
        <v>41</v>
      </c>
      <c r="Y361" t="s">
        <v>71</v>
      </c>
    </row>
    <row r="362" spans="1:25">
      <c r="A362" t="s">
        <v>1492</v>
      </c>
      <c r="B362" t="s">
        <v>1493</v>
      </c>
      <c r="C362" t="s">
        <v>27</v>
      </c>
      <c r="D362">
        <v>42</v>
      </c>
      <c r="E362" t="s">
        <v>92</v>
      </c>
      <c r="F362" t="s">
        <v>29</v>
      </c>
      <c r="G362" t="s">
        <v>93</v>
      </c>
      <c r="H362" t="s">
        <v>652</v>
      </c>
      <c r="I362" t="s">
        <v>180</v>
      </c>
      <c r="J362">
        <v>24</v>
      </c>
      <c r="K362" t="s">
        <v>1494</v>
      </c>
      <c r="L362" t="s">
        <v>1495</v>
      </c>
      <c r="M362">
        <v>29</v>
      </c>
      <c r="N362" t="s">
        <v>34</v>
      </c>
      <c r="O362" t="s">
        <v>35</v>
      </c>
      <c r="Q362" t="s">
        <v>36</v>
      </c>
      <c r="R362">
        <v>50</v>
      </c>
      <c r="S362" t="s">
        <v>37</v>
      </c>
      <c r="T362" t="s">
        <v>164</v>
      </c>
      <c r="U362">
        <v>3</v>
      </c>
      <c r="V362" t="s">
        <v>39</v>
      </c>
      <c r="W362" t="s">
        <v>165</v>
      </c>
      <c r="X362" t="s">
        <v>41</v>
      </c>
      <c r="Y362" t="s">
        <v>53</v>
      </c>
    </row>
    <row r="363" spans="1:25">
      <c r="A363" t="s">
        <v>1496</v>
      </c>
      <c r="B363" t="s">
        <v>1497</v>
      </c>
      <c r="C363" t="s">
        <v>27</v>
      </c>
      <c r="D363">
        <v>77</v>
      </c>
      <c r="E363" t="s">
        <v>57</v>
      </c>
      <c r="F363" t="s">
        <v>29</v>
      </c>
      <c r="G363" t="s">
        <v>58</v>
      </c>
      <c r="H363" t="s">
        <v>1170</v>
      </c>
      <c r="I363" t="s">
        <v>642</v>
      </c>
      <c r="J363">
        <v>3</v>
      </c>
      <c r="K363" t="s">
        <v>1170</v>
      </c>
      <c r="L363" t="s">
        <v>142</v>
      </c>
      <c r="M363">
        <v>8</v>
      </c>
      <c r="N363" t="s">
        <v>34</v>
      </c>
      <c r="O363" t="s">
        <v>35</v>
      </c>
      <c r="Q363" t="s">
        <v>36</v>
      </c>
      <c r="R363">
        <v>15</v>
      </c>
      <c r="S363" t="s">
        <v>37</v>
      </c>
      <c r="T363" t="s">
        <v>88</v>
      </c>
      <c r="U363">
        <v>1</v>
      </c>
      <c r="V363" t="s">
        <v>39</v>
      </c>
      <c r="W363" t="s">
        <v>103</v>
      </c>
      <c r="X363" t="s">
        <v>52</v>
      </c>
      <c r="Y363" t="s">
        <v>42</v>
      </c>
    </row>
    <row r="364" spans="1:25">
      <c r="A364" t="s">
        <v>1498</v>
      </c>
      <c r="B364" t="s">
        <v>1499</v>
      </c>
      <c r="C364" t="s">
        <v>204</v>
      </c>
      <c r="D364">
        <v>31</v>
      </c>
      <c r="E364" t="s">
        <v>57</v>
      </c>
      <c r="F364" t="s">
        <v>29</v>
      </c>
      <c r="G364" t="s">
        <v>58</v>
      </c>
      <c r="H364" t="s">
        <v>194</v>
      </c>
      <c r="I364" t="s">
        <v>302</v>
      </c>
      <c r="J364">
        <v>3</v>
      </c>
      <c r="K364" t="s">
        <v>194</v>
      </c>
      <c r="L364" t="s">
        <v>1500</v>
      </c>
      <c r="M364">
        <v>7</v>
      </c>
      <c r="N364" t="s">
        <v>34</v>
      </c>
      <c r="O364" t="s">
        <v>35</v>
      </c>
      <c r="Q364" t="s">
        <v>36</v>
      </c>
      <c r="R364">
        <v>15</v>
      </c>
      <c r="S364" t="s">
        <v>49</v>
      </c>
      <c r="T364" t="s">
        <v>88</v>
      </c>
      <c r="U364">
        <v>5</v>
      </c>
      <c r="V364" t="s">
        <v>62</v>
      </c>
      <c r="W364" t="s">
        <v>40</v>
      </c>
      <c r="X364" t="s">
        <v>109</v>
      </c>
      <c r="Y364" t="s">
        <v>71</v>
      </c>
    </row>
    <row r="365" spans="1:25">
      <c r="A365" t="s">
        <v>1501</v>
      </c>
      <c r="B365" t="s">
        <v>1502</v>
      </c>
      <c r="C365" t="s">
        <v>204</v>
      </c>
      <c r="D365">
        <v>46</v>
      </c>
      <c r="E365" t="s">
        <v>173</v>
      </c>
      <c r="F365" t="s">
        <v>29</v>
      </c>
      <c r="G365" t="s">
        <v>168</v>
      </c>
      <c r="H365" t="s">
        <v>1503</v>
      </c>
      <c r="I365" t="s">
        <v>501</v>
      </c>
      <c r="J365">
        <v>4</v>
      </c>
      <c r="K365" t="s">
        <v>1503</v>
      </c>
      <c r="L365" t="s">
        <v>1504</v>
      </c>
      <c r="M365">
        <v>11</v>
      </c>
      <c r="N365" t="s">
        <v>34</v>
      </c>
      <c r="O365" t="s">
        <v>35</v>
      </c>
      <c r="Q365" t="s">
        <v>36</v>
      </c>
      <c r="R365">
        <v>25</v>
      </c>
      <c r="S365" t="s">
        <v>37</v>
      </c>
      <c r="T365" t="s">
        <v>50</v>
      </c>
      <c r="U365">
        <v>2</v>
      </c>
      <c r="V365" t="s">
        <v>62</v>
      </c>
      <c r="W365" t="s">
        <v>51</v>
      </c>
      <c r="X365" t="s">
        <v>41</v>
      </c>
      <c r="Y365" t="s">
        <v>71</v>
      </c>
    </row>
    <row r="366" spans="1:25">
      <c r="A366" t="s">
        <v>1505</v>
      </c>
      <c r="B366" t="s">
        <v>1506</v>
      </c>
      <c r="C366" t="s">
        <v>80</v>
      </c>
      <c r="D366">
        <v>26</v>
      </c>
      <c r="E366" t="s">
        <v>57</v>
      </c>
      <c r="F366" t="s">
        <v>29</v>
      </c>
      <c r="G366" t="s">
        <v>58</v>
      </c>
      <c r="H366" t="s">
        <v>1097</v>
      </c>
      <c r="I366" t="s">
        <v>989</v>
      </c>
      <c r="J366">
        <v>3</v>
      </c>
      <c r="K366" t="s">
        <v>1097</v>
      </c>
      <c r="L366" t="s">
        <v>474</v>
      </c>
      <c r="M366">
        <v>8</v>
      </c>
      <c r="N366" t="s">
        <v>34</v>
      </c>
      <c r="O366" t="s">
        <v>35</v>
      </c>
      <c r="Q366" t="s">
        <v>36</v>
      </c>
      <c r="R366">
        <v>15</v>
      </c>
      <c r="S366" t="s">
        <v>49</v>
      </c>
      <c r="T366" t="s">
        <v>96</v>
      </c>
      <c r="U366">
        <v>5</v>
      </c>
      <c r="V366" t="s">
        <v>62</v>
      </c>
      <c r="W366" t="s">
        <v>51</v>
      </c>
      <c r="X366" t="s">
        <v>109</v>
      </c>
      <c r="Y366" t="s">
        <v>53</v>
      </c>
    </row>
    <row r="367" spans="1:25">
      <c r="A367" t="s">
        <v>1507</v>
      </c>
      <c r="B367" t="s">
        <v>1508</v>
      </c>
      <c r="C367" t="s">
        <v>80</v>
      </c>
      <c r="D367">
        <v>71</v>
      </c>
      <c r="E367" t="s">
        <v>28</v>
      </c>
      <c r="F367" t="s">
        <v>29</v>
      </c>
      <c r="G367" t="s">
        <v>58</v>
      </c>
      <c r="H367" t="s">
        <v>442</v>
      </c>
      <c r="I367" t="s">
        <v>1509</v>
      </c>
      <c r="J367">
        <v>5</v>
      </c>
      <c r="K367" t="s">
        <v>174</v>
      </c>
      <c r="L367" t="s">
        <v>1510</v>
      </c>
      <c r="M367">
        <v>12</v>
      </c>
      <c r="N367" t="s">
        <v>34</v>
      </c>
      <c r="O367" t="s">
        <v>35</v>
      </c>
      <c r="Q367" t="s">
        <v>36</v>
      </c>
      <c r="R367">
        <v>35</v>
      </c>
      <c r="S367" t="s">
        <v>37</v>
      </c>
      <c r="T367" t="s">
        <v>69</v>
      </c>
      <c r="U367">
        <v>4</v>
      </c>
      <c r="V367" t="s">
        <v>39</v>
      </c>
      <c r="W367" t="s">
        <v>51</v>
      </c>
      <c r="X367" t="s">
        <v>52</v>
      </c>
      <c r="Y367" t="s">
        <v>42</v>
      </c>
    </row>
    <row r="368" spans="1:25">
      <c r="A368" t="s">
        <v>1511</v>
      </c>
      <c r="B368" t="s">
        <v>1512</v>
      </c>
      <c r="C368" t="s">
        <v>27</v>
      </c>
      <c r="D368">
        <v>83</v>
      </c>
      <c r="E368" t="s">
        <v>81</v>
      </c>
      <c r="F368" t="s">
        <v>82</v>
      </c>
      <c r="G368" t="s">
        <v>45</v>
      </c>
      <c r="H368" t="s">
        <v>707</v>
      </c>
      <c r="I368" t="s">
        <v>920</v>
      </c>
      <c r="J368">
        <v>8</v>
      </c>
      <c r="K368" t="s">
        <v>707</v>
      </c>
      <c r="L368" t="s">
        <v>1513</v>
      </c>
      <c r="M368">
        <v>9</v>
      </c>
      <c r="N368" t="s">
        <v>34</v>
      </c>
      <c r="O368" t="s">
        <v>35</v>
      </c>
      <c r="Q368" t="s">
        <v>36</v>
      </c>
      <c r="R368">
        <v>20</v>
      </c>
      <c r="S368" t="s">
        <v>77</v>
      </c>
      <c r="T368" t="s">
        <v>50</v>
      </c>
      <c r="U368">
        <v>2</v>
      </c>
      <c r="V368" t="s">
        <v>62</v>
      </c>
      <c r="W368" t="s">
        <v>40</v>
      </c>
      <c r="X368" t="s">
        <v>52</v>
      </c>
      <c r="Y368" t="s">
        <v>53</v>
      </c>
    </row>
    <row r="369" spans="1:25">
      <c r="A369" t="s">
        <v>1514</v>
      </c>
      <c r="B369" t="s">
        <v>1515</v>
      </c>
      <c r="C369" t="s">
        <v>27</v>
      </c>
      <c r="D369">
        <v>72</v>
      </c>
      <c r="E369" t="s">
        <v>92</v>
      </c>
      <c r="F369" t="s">
        <v>29</v>
      </c>
      <c r="G369" t="s">
        <v>93</v>
      </c>
      <c r="H369" t="s">
        <v>1516</v>
      </c>
      <c r="I369" t="s">
        <v>1378</v>
      </c>
      <c r="J369">
        <v>24</v>
      </c>
      <c r="K369" t="s">
        <v>577</v>
      </c>
      <c r="L369" t="s">
        <v>1517</v>
      </c>
      <c r="M369">
        <v>25</v>
      </c>
      <c r="N369" t="s">
        <v>34</v>
      </c>
      <c r="O369" t="s">
        <v>35</v>
      </c>
      <c r="Q369" t="s">
        <v>36</v>
      </c>
      <c r="R369">
        <v>50</v>
      </c>
      <c r="S369" t="s">
        <v>37</v>
      </c>
      <c r="T369" t="s">
        <v>164</v>
      </c>
      <c r="U369">
        <v>2</v>
      </c>
      <c r="V369" t="s">
        <v>39</v>
      </c>
      <c r="W369" t="s">
        <v>40</v>
      </c>
      <c r="X369" t="s">
        <v>109</v>
      </c>
      <c r="Y369" t="s">
        <v>71</v>
      </c>
    </row>
    <row r="370" spans="1:25">
      <c r="A370" t="s">
        <v>1518</v>
      </c>
      <c r="B370" t="s">
        <v>1519</v>
      </c>
      <c r="C370" t="s">
        <v>80</v>
      </c>
      <c r="D370">
        <v>1</v>
      </c>
      <c r="E370" t="s">
        <v>57</v>
      </c>
      <c r="F370" t="s">
        <v>29</v>
      </c>
      <c r="G370" t="s">
        <v>58</v>
      </c>
      <c r="H370" t="s">
        <v>979</v>
      </c>
      <c r="I370" t="s">
        <v>1083</v>
      </c>
      <c r="J370">
        <v>3</v>
      </c>
      <c r="K370" t="s">
        <v>979</v>
      </c>
      <c r="L370" t="s">
        <v>1520</v>
      </c>
      <c r="M370">
        <v>10</v>
      </c>
      <c r="N370" t="s">
        <v>34</v>
      </c>
      <c r="O370" t="s">
        <v>35</v>
      </c>
      <c r="Q370" t="s">
        <v>36</v>
      </c>
      <c r="R370">
        <v>15</v>
      </c>
      <c r="S370" t="s">
        <v>49</v>
      </c>
      <c r="T370" t="s">
        <v>38</v>
      </c>
      <c r="U370">
        <v>2</v>
      </c>
      <c r="V370" t="s">
        <v>70</v>
      </c>
      <c r="W370" t="s">
        <v>103</v>
      </c>
      <c r="X370" t="s">
        <v>52</v>
      </c>
      <c r="Y370" t="s">
        <v>42</v>
      </c>
    </row>
    <row r="371" spans="1:25">
      <c r="A371" t="s">
        <v>1521</v>
      </c>
      <c r="B371" t="s">
        <v>1522</v>
      </c>
      <c r="C371" t="s">
        <v>27</v>
      </c>
      <c r="D371">
        <v>49</v>
      </c>
      <c r="E371" t="s">
        <v>57</v>
      </c>
      <c r="F371" t="s">
        <v>29</v>
      </c>
      <c r="G371" t="s">
        <v>58</v>
      </c>
      <c r="H371" t="s">
        <v>1412</v>
      </c>
      <c r="I371" t="s">
        <v>1523</v>
      </c>
      <c r="J371">
        <v>3</v>
      </c>
      <c r="K371" t="s">
        <v>1412</v>
      </c>
      <c r="L371" t="s">
        <v>212</v>
      </c>
      <c r="M371">
        <v>5</v>
      </c>
      <c r="N371" t="s">
        <v>34</v>
      </c>
      <c r="O371" t="s">
        <v>270</v>
      </c>
      <c r="P371" t="s">
        <v>620</v>
      </c>
      <c r="Q371" t="s">
        <v>36</v>
      </c>
      <c r="R371">
        <v>15</v>
      </c>
      <c r="S371" t="s">
        <v>49</v>
      </c>
      <c r="T371" t="s">
        <v>38</v>
      </c>
      <c r="U371">
        <v>1</v>
      </c>
      <c r="V371" t="s">
        <v>62</v>
      </c>
      <c r="W371" t="s">
        <v>40</v>
      </c>
      <c r="X371" t="s">
        <v>52</v>
      </c>
      <c r="Y371" t="s">
        <v>42</v>
      </c>
    </row>
    <row r="372" spans="1:25">
      <c r="A372" t="s">
        <v>1524</v>
      </c>
      <c r="B372" t="s">
        <v>1525</v>
      </c>
      <c r="C372" t="s">
        <v>80</v>
      </c>
      <c r="D372">
        <v>54</v>
      </c>
      <c r="E372" t="s">
        <v>149</v>
      </c>
      <c r="F372" t="s">
        <v>29</v>
      </c>
      <c r="G372" t="s">
        <v>83</v>
      </c>
      <c r="H372" t="s">
        <v>112</v>
      </c>
      <c r="I372" t="s">
        <v>1464</v>
      </c>
      <c r="J372">
        <v>6</v>
      </c>
      <c r="K372" t="s">
        <v>112</v>
      </c>
      <c r="L372" t="s">
        <v>583</v>
      </c>
      <c r="M372">
        <v>5</v>
      </c>
      <c r="N372" t="s">
        <v>68</v>
      </c>
      <c r="O372" t="s">
        <v>35</v>
      </c>
      <c r="Q372" t="s">
        <v>36</v>
      </c>
      <c r="R372">
        <v>40</v>
      </c>
      <c r="S372" t="s">
        <v>49</v>
      </c>
      <c r="T372" t="s">
        <v>88</v>
      </c>
      <c r="U372">
        <v>5</v>
      </c>
      <c r="V372" t="s">
        <v>39</v>
      </c>
      <c r="W372" t="s">
        <v>103</v>
      </c>
      <c r="X372" t="s">
        <v>109</v>
      </c>
      <c r="Y372" t="s">
        <v>42</v>
      </c>
    </row>
    <row r="373" spans="1:25">
      <c r="A373" t="s">
        <v>1526</v>
      </c>
      <c r="B373" t="s">
        <v>1527</v>
      </c>
      <c r="C373" t="s">
        <v>27</v>
      </c>
      <c r="D373">
        <v>68</v>
      </c>
      <c r="E373" t="s">
        <v>92</v>
      </c>
      <c r="F373" t="s">
        <v>29</v>
      </c>
      <c r="G373" t="s">
        <v>168</v>
      </c>
      <c r="H373" t="s">
        <v>232</v>
      </c>
      <c r="I373" t="s">
        <v>1528</v>
      </c>
      <c r="J373">
        <v>24</v>
      </c>
      <c r="K373" t="s">
        <v>353</v>
      </c>
      <c r="L373" t="s">
        <v>1528</v>
      </c>
      <c r="M373">
        <v>24</v>
      </c>
      <c r="N373" t="s">
        <v>68</v>
      </c>
      <c r="O373" t="s">
        <v>35</v>
      </c>
      <c r="Q373" t="s">
        <v>36</v>
      </c>
      <c r="R373">
        <v>50</v>
      </c>
      <c r="S373" t="s">
        <v>37</v>
      </c>
      <c r="T373" t="s">
        <v>96</v>
      </c>
      <c r="U373">
        <v>1</v>
      </c>
      <c r="V373" t="s">
        <v>39</v>
      </c>
      <c r="W373" t="s">
        <v>103</v>
      </c>
      <c r="X373" t="s">
        <v>109</v>
      </c>
      <c r="Y373" t="s">
        <v>53</v>
      </c>
    </row>
    <row r="374" spans="1:25">
      <c r="A374" t="s">
        <v>1529</v>
      </c>
      <c r="B374" t="s">
        <v>1530</v>
      </c>
      <c r="C374" t="s">
        <v>27</v>
      </c>
      <c r="D374">
        <v>3</v>
      </c>
      <c r="E374" t="s">
        <v>81</v>
      </c>
      <c r="F374" t="s">
        <v>82</v>
      </c>
      <c r="G374" t="s">
        <v>150</v>
      </c>
      <c r="H374" t="s">
        <v>1177</v>
      </c>
      <c r="I374" t="s">
        <v>522</v>
      </c>
      <c r="J374">
        <v>8</v>
      </c>
      <c r="K374" t="s">
        <v>1087</v>
      </c>
      <c r="L374" t="s">
        <v>1531</v>
      </c>
      <c r="M374">
        <v>16</v>
      </c>
      <c r="N374" t="s">
        <v>34</v>
      </c>
      <c r="O374" t="s">
        <v>35</v>
      </c>
      <c r="Q374" t="s">
        <v>36</v>
      </c>
      <c r="R374">
        <v>20</v>
      </c>
      <c r="S374" t="s">
        <v>77</v>
      </c>
      <c r="T374" t="s">
        <v>38</v>
      </c>
      <c r="U374">
        <v>4</v>
      </c>
      <c r="V374" t="s">
        <v>62</v>
      </c>
      <c r="W374" t="s">
        <v>103</v>
      </c>
      <c r="X374" t="s">
        <v>109</v>
      </c>
      <c r="Y374" t="s">
        <v>42</v>
      </c>
    </row>
    <row r="375" spans="1:25">
      <c r="A375" t="s">
        <v>1532</v>
      </c>
      <c r="B375" t="s">
        <v>1533</v>
      </c>
      <c r="C375" t="s">
        <v>27</v>
      </c>
      <c r="D375">
        <v>33</v>
      </c>
      <c r="E375" t="s">
        <v>149</v>
      </c>
      <c r="F375" t="s">
        <v>29</v>
      </c>
      <c r="G375" t="s">
        <v>30</v>
      </c>
      <c r="H375" t="s">
        <v>1181</v>
      </c>
      <c r="I375" t="s">
        <v>218</v>
      </c>
      <c r="J375">
        <v>6</v>
      </c>
      <c r="K375" t="s">
        <v>1181</v>
      </c>
      <c r="L375" t="s">
        <v>293</v>
      </c>
      <c r="M375">
        <v>13</v>
      </c>
      <c r="N375" t="s">
        <v>34</v>
      </c>
      <c r="O375" t="s">
        <v>35</v>
      </c>
      <c r="Q375" t="s">
        <v>36</v>
      </c>
      <c r="R375">
        <v>40</v>
      </c>
      <c r="S375" t="s">
        <v>77</v>
      </c>
      <c r="T375" t="s">
        <v>50</v>
      </c>
      <c r="U375">
        <v>5</v>
      </c>
      <c r="V375" t="s">
        <v>62</v>
      </c>
      <c r="W375" t="s">
        <v>51</v>
      </c>
      <c r="X375" t="s">
        <v>109</v>
      </c>
      <c r="Y375" t="s">
        <v>42</v>
      </c>
    </row>
    <row r="376" spans="1:25">
      <c r="A376" t="s">
        <v>1534</v>
      </c>
      <c r="B376" t="s">
        <v>1535</v>
      </c>
      <c r="C376" t="s">
        <v>204</v>
      </c>
      <c r="D376">
        <v>6</v>
      </c>
      <c r="E376" t="s">
        <v>57</v>
      </c>
      <c r="F376" t="s">
        <v>29</v>
      </c>
      <c r="G376" t="s">
        <v>150</v>
      </c>
      <c r="H376" t="s">
        <v>475</v>
      </c>
      <c r="I376" t="s">
        <v>1536</v>
      </c>
      <c r="J376">
        <v>3</v>
      </c>
      <c r="K376" t="s">
        <v>475</v>
      </c>
      <c r="L376" t="s">
        <v>928</v>
      </c>
      <c r="M376">
        <v>9</v>
      </c>
      <c r="N376" t="s">
        <v>34</v>
      </c>
      <c r="O376" t="s">
        <v>35</v>
      </c>
      <c r="Q376" t="s">
        <v>36</v>
      </c>
      <c r="R376">
        <v>15</v>
      </c>
      <c r="S376" t="s">
        <v>77</v>
      </c>
      <c r="T376" t="s">
        <v>69</v>
      </c>
      <c r="U376">
        <v>3</v>
      </c>
      <c r="V376" t="s">
        <v>89</v>
      </c>
      <c r="W376" t="s">
        <v>165</v>
      </c>
      <c r="X376" t="s">
        <v>52</v>
      </c>
      <c r="Y376" t="s">
        <v>53</v>
      </c>
    </row>
    <row r="377" spans="1:25">
      <c r="A377" t="s">
        <v>1537</v>
      </c>
      <c r="B377" t="s">
        <v>1538</v>
      </c>
      <c r="C377" t="s">
        <v>204</v>
      </c>
      <c r="D377">
        <v>51</v>
      </c>
      <c r="E377" t="s">
        <v>28</v>
      </c>
      <c r="F377" t="s">
        <v>29</v>
      </c>
      <c r="G377" t="s">
        <v>30</v>
      </c>
      <c r="H377" t="s">
        <v>329</v>
      </c>
      <c r="I377" t="s">
        <v>888</v>
      </c>
      <c r="J377">
        <v>5</v>
      </c>
      <c r="K377" t="s">
        <v>329</v>
      </c>
      <c r="L377" t="s">
        <v>1539</v>
      </c>
      <c r="M377">
        <v>10</v>
      </c>
      <c r="N377" t="s">
        <v>34</v>
      </c>
      <c r="O377" t="s">
        <v>35</v>
      </c>
      <c r="Q377" t="s">
        <v>36</v>
      </c>
      <c r="R377">
        <v>35</v>
      </c>
      <c r="S377" t="s">
        <v>37</v>
      </c>
      <c r="T377" t="s">
        <v>88</v>
      </c>
      <c r="U377">
        <v>2</v>
      </c>
      <c r="V377" t="s">
        <v>70</v>
      </c>
      <c r="W377" t="s">
        <v>165</v>
      </c>
      <c r="X377" t="s">
        <v>52</v>
      </c>
      <c r="Y377" t="s">
        <v>42</v>
      </c>
    </row>
    <row r="378" spans="1:25">
      <c r="A378" t="s">
        <v>1540</v>
      </c>
      <c r="B378" t="s">
        <v>1541</v>
      </c>
      <c r="C378" t="s">
        <v>80</v>
      </c>
      <c r="D378">
        <v>41</v>
      </c>
      <c r="E378" t="s">
        <v>149</v>
      </c>
      <c r="F378" t="s">
        <v>29</v>
      </c>
      <c r="G378" t="s">
        <v>45</v>
      </c>
      <c r="H378" t="s">
        <v>537</v>
      </c>
      <c r="I378" t="s">
        <v>555</v>
      </c>
      <c r="J378">
        <v>6</v>
      </c>
      <c r="K378" t="s">
        <v>537</v>
      </c>
      <c r="L378" t="s">
        <v>1542</v>
      </c>
      <c r="M378">
        <v>12</v>
      </c>
      <c r="N378" t="s">
        <v>34</v>
      </c>
      <c r="O378" t="s">
        <v>35</v>
      </c>
      <c r="Q378" t="s">
        <v>36</v>
      </c>
      <c r="R378">
        <v>40</v>
      </c>
      <c r="S378" t="s">
        <v>49</v>
      </c>
      <c r="T378" t="s">
        <v>164</v>
      </c>
      <c r="U378">
        <v>3</v>
      </c>
      <c r="V378" t="s">
        <v>39</v>
      </c>
      <c r="W378" t="s">
        <v>165</v>
      </c>
      <c r="X378" t="s">
        <v>52</v>
      </c>
      <c r="Y378" t="s">
        <v>42</v>
      </c>
    </row>
    <row r="379" spans="1:25">
      <c r="A379" t="s">
        <v>1543</v>
      </c>
      <c r="B379" t="s">
        <v>1544</v>
      </c>
      <c r="C379" t="s">
        <v>204</v>
      </c>
      <c r="D379">
        <v>27</v>
      </c>
      <c r="E379" t="s">
        <v>81</v>
      </c>
      <c r="F379" t="s">
        <v>82</v>
      </c>
      <c r="G379" t="s">
        <v>58</v>
      </c>
      <c r="H379" t="s">
        <v>615</v>
      </c>
      <c r="I379" t="s">
        <v>1545</v>
      </c>
      <c r="J379">
        <v>8</v>
      </c>
      <c r="K379" t="s">
        <v>615</v>
      </c>
      <c r="L379" t="s">
        <v>1546</v>
      </c>
      <c r="M379">
        <v>10</v>
      </c>
      <c r="N379" t="s">
        <v>34</v>
      </c>
      <c r="O379" t="s">
        <v>35</v>
      </c>
      <c r="Q379" t="s">
        <v>36</v>
      </c>
      <c r="R379">
        <v>20</v>
      </c>
      <c r="S379" t="s">
        <v>49</v>
      </c>
      <c r="T379" t="s">
        <v>69</v>
      </c>
      <c r="U379">
        <v>5</v>
      </c>
      <c r="V379" t="s">
        <v>89</v>
      </c>
      <c r="W379" t="s">
        <v>165</v>
      </c>
      <c r="X379" t="s">
        <v>109</v>
      </c>
      <c r="Y379" t="s">
        <v>53</v>
      </c>
    </row>
    <row r="380" spans="1:25">
      <c r="A380" t="s">
        <v>1547</v>
      </c>
      <c r="B380" t="s">
        <v>1548</v>
      </c>
      <c r="C380" t="s">
        <v>204</v>
      </c>
      <c r="D380">
        <v>55</v>
      </c>
      <c r="E380" t="s">
        <v>28</v>
      </c>
      <c r="F380" t="s">
        <v>29</v>
      </c>
      <c r="G380" t="s">
        <v>30</v>
      </c>
      <c r="H380" t="s">
        <v>979</v>
      </c>
      <c r="I380" t="s">
        <v>1549</v>
      </c>
      <c r="J380">
        <v>5</v>
      </c>
      <c r="K380" t="s">
        <v>979</v>
      </c>
      <c r="L380" t="s">
        <v>1550</v>
      </c>
      <c r="M380">
        <v>9</v>
      </c>
      <c r="N380" t="s">
        <v>34</v>
      </c>
      <c r="O380" t="s">
        <v>35</v>
      </c>
      <c r="Q380" t="s">
        <v>36</v>
      </c>
      <c r="R380">
        <v>35</v>
      </c>
      <c r="S380" t="s">
        <v>77</v>
      </c>
      <c r="T380" t="s">
        <v>38</v>
      </c>
      <c r="U380">
        <v>4</v>
      </c>
      <c r="V380" t="s">
        <v>39</v>
      </c>
      <c r="W380" t="s">
        <v>51</v>
      </c>
      <c r="X380" t="s">
        <v>52</v>
      </c>
      <c r="Y380" t="s">
        <v>71</v>
      </c>
    </row>
    <row r="381" spans="1:25">
      <c r="A381" t="s">
        <v>1551</v>
      </c>
      <c r="B381" t="s">
        <v>1552</v>
      </c>
      <c r="C381" t="s">
        <v>204</v>
      </c>
      <c r="D381">
        <v>76</v>
      </c>
      <c r="E381" t="s">
        <v>173</v>
      </c>
      <c r="F381" t="s">
        <v>29</v>
      </c>
      <c r="G381" t="s">
        <v>168</v>
      </c>
      <c r="H381" t="s">
        <v>544</v>
      </c>
      <c r="I381" t="s">
        <v>66</v>
      </c>
      <c r="J381">
        <v>4</v>
      </c>
      <c r="K381" t="s">
        <v>544</v>
      </c>
      <c r="L381" t="s">
        <v>1001</v>
      </c>
      <c r="M381">
        <v>4</v>
      </c>
      <c r="N381" t="s">
        <v>68</v>
      </c>
      <c r="O381" t="s">
        <v>35</v>
      </c>
      <c r="Q381" t="s">
        <v>36</v>
      </c>
      <c r="R381">
        <v>25</v>
      </c>
      <c r="S381" t="s">
        <v>37</v>
      </c>
      <c r="T381" t="s">
        <v>50</v>
      </c>
      <c r="U381">
        <v>1</v>
      </c>
      <c r="V381" t="s">
        <v>89</v>
      </c>
      <c r="W381" t="s">
        <v>165</v>
      </c>
      <c r="X381" t="s">
        <v>109</v>
      </c>
      <c r="Y381" t="s">
        <v>71</v>
      </c>
    </row>
    <row r="382" spans="1:25">
      <c r="A382" t="s">
        <v>1553</v>
      </c>
      <c r="B382" t="s">
        <v>1554</v>
      </c>
      <c r="C382" t="s">
        <v>27</v>
      </c>
      <c r="D382">
        <v>90</v>
      </c>
      <c r="E382" t="s">
        <v>81</v>
      </c>
      <c r="F382" t="s">
        <v>82</v>
      </c>
      <c r="G382" t="s">
        <v>83</v>
      </c>
      <c r="H382" t="s">
        <v>1503</v>
      </c>
      <c r="I382" t="s">
        <v>911</v>
      </c>
      <c r="J382">
        <v>8</v>
      </c>
      <c r="K382" t="s">
        <v>1293</v>
      </c>
      <c r="L382" t="s">
        <v>158</v>
      </c>
      <c r="M382">
        <v>11</v>
      </c>
      <c r="N382" t="s">
        <v>34</v>
      </c>
      <c r="O382" t="s">
        <v>35</v>
      </c>
      <c r="Q382" t="s">
        <v>36</v>
      </c>
      <c r="R382">
        <v>20</v>
      </c>
      <c r="S382" t="s">
        <v>37</v>
      </c>
      <c r="T382" t="s">
        <v>38</v>
      </c>
      <c r="U382">
        <v>2</v>
      </c>
      <c r="V382" t="s">
        <v>89</v>
      </c>
      <c r="W382" t="s">
        <v>51</v>
      </c>
      <c r="X382" t="s">
        <v>52</v>
      </c>
      <c r="Y382" t="s">
        <v>53</v>
      </c>
    </row>
    <row r="383" spans="1:25">
      <c r="A383" t="s">
        <v>1555</v>
      </c>
      <c r="B383" t="s">
        <v>1556</v>
      </c>
      <c r="C383" t="s">
        <v>80</v>
      </c>
      <c r="D383">
        <v>33</v>
      </c>
      <c r="E383" t="s">
        <v>28</v>
      </c>
      <c r="F383" t="s">
        <v>29</v>
      </c>
      <c r="G383" t="s">
        <v>30</v>
      </c>
      <c r="H383" t="s">
        <v>1557</v>
      </c>
      <c r="I383" t="s">
        <v>1105</v>
      </c>
      <c r="J383">
        <v>5</v>
      </c>
      <c r="K383" t="s">
        <v>388</v>
      </c>
      <c r="L383" t="s">
        <v>1558</v>
      </c>
      <c r="M383">
        <v>13</v>
      </c>
      <c r="N383" t="s">
        <v>34</v>
      </c>
      <c r="O383" t="s">
        <v>35</v>
      </c>
      <c r="Q383" t="s">
        <v>36</v>
      </c>
      <c r="R383">
        <v>35</v>
      </c>
      <c r="S383" t="s">
        <v>77</v>
      </c>
      <c r="T383" t="s">
        <v>96</v>
      </c>
      <c r="U383">
        <v>4</v>
      </c>
      <c r="V383" t="s">
        <v>89</v>
      </c>
      <c r="W383" t="s">
        <v>103</v>
      </c>
      <c r="X383" t="s">
        <v>109</v>
      </c>
      <c r="Y383" t="s">
        <v>71</v>
      </c>
    </row>
    <row r="384" spans="1:25">
      <c r="A384" t="s">
        <v>1559</v>
      </c>
      <c r="B384" t="s">
        <v>1560</v>
      </c>
      <c r="C384" t="s">
        <v>80</v>
      </c>
      <c r="D384">
        <v>2</v>
      </c>
      <c r="E384" t="s">
        <v>149</v>
      </c>
      <c r="F384" t="s">
        <v>29</v>
      </c>
      <c r="G384" t="s">
        <v>168</v>
      </c>
      <c r="H384" t="s">
        <v>291</v>
      </c>
      <c r="I384" t="s">
        <v>1561</v>
      </c>
      <c r="J384">
        <v>6</v>
      </c>
      <c r="K384" t="s">
        <v>291</v>
      </c>
      <c r="L384" t="s">
        <v>1562</v>
      </c>
      <c r="M384">
        <v>12</v>
      </c>
      <c r="N384" t="s">
        <v>34</v>
      </c>
      <c r="O384" t="s">
        <v>35</v>
      </c>
      <c r="Q384" t="s">
        <v>36</v>
      </c>
      <c r="R384">
        <v>40</v>
      </c>
      <c r="S384" t="s">
        <v>49</v>
      </c>
      <c r="T384" t="s">
        <v>69</v>
      </c>
      <c r="U384">
        <v>4</v>
      </c>
      <c r="V384" t="s">
        <v>62</v>
      </c>
      <c r="W384" t="s">
        <v>51</v>
      </c>
      <c r="X384" t="s">
        <v>41</v>
      </c>
      <c r="Y384" t="s">
        <v>71</v>
      </c>
    </row>
    <row r="385" spans="1:25">
      <c r="A385" t="s">
        <v>1563</v>
      </c>
      <c r="B385" t="s">
        <v>1564</v>
      </c>
      <c r="C385" t="s">
        <v>204</v>
      </c>
      <c r="D385">
        <v>20</v>
      </c>
      <c r="E385" t="s">
        <v>57</v>
      </c>
      <c r="F385" t="s">
        <v>29</v>
      </c>
      <c r="G385" t="s">
        <v>58</v>
      </c>
      <c r="H385" t="s">
        <v>1565</v>
      </c>
      <c r="I385" t="s">
        <v>100</v>
      </c>
      <c r="J385">
        <v>3</v>
      </c>
      <c r="K385" t="s">
        <v>1565</v>
      </c>
      <c r="L385" t="s">
        <v>385</v>
      </c>
      <c r="M385">
        <v>8</v>
      </c>
      <c r="N385" t="s">
        <v>34</v>
      </c>
      <c r="O385" t="s">
        <v>35</v>
      </c>
      <c r="Q385" t="s">
        <v>132</v>
      </c>
      <c r="R385">
        <v>15</v>
      </c>
      <c r="S385" t="s">
        <v>77</v>
      </c>
      <c r="T385" t="s">
        <v>96</v>
      </c>
      <c r="U385">
        <v>3</v>
      </c>
      <c r="V385" t="s">
        <v>39</v>
      </c>
      <c r="W385" t="s">
        <v>40</v>
      </c>
      <c r="X385" t="s">
        <v>109</v>
      </c>
      <c r="Y385" t="s">
        <v>42</v>
      </c>
    </row>
    <row r="386" spans="1:25">
      <c r="A386" t="s">
        <v>1566</v>
      </c>
      <c r="B386" t="s">
        <v>1567</v>
      </c>
      <c r="C386" t="s">
        <v>27</v>
      </c>
      <c r="D386">
        <v>24</v>
      </c>
      <c r="E386" t="s">
        <v>81</v>
      </c>
      <c r="F386" t="s">
        <v>82</v>
      </c>
      <c r="G386" t="s">
        <v>150</v>
      </c>
      <c r="H386" t="s">
        <v>807</v>
      </c>
      <c r="I386" t="s">
        <v>1568</v>
      </c>
      <c r="J386">
        <v>8</v>
      </c>
      <c r="K386" t="s">
        <v>807</v>
      </c>
      <c r="L386" t="s">
        <v>1569</v>
      </c>
      <c r="M386">
        <v>11</v>
      </c>
      <c r="N386" t="s">
        <v>34</v>
      </c>
      <c r="O386" t="s">
        <v>35</v>
      </c>
      <c r="Q386" t="s">
        <v>36</v>
      </c>
      <c r="R386">
        <v>20</v>
      </c>
      <c r="S386" t="s">
        <v>77</v>
      </c>
      <c r="T386" t="s">
        <v>69</v>
      </c>
      <c r="U386">
        <v>3</v>
      </c>
      <c r="V386" t="s">
        <v>62</v>
      </c>
      <c r="W386" t="s">
        <v>165</v>
      </c>
      <c r="X386" t="s">
        <v>52</v>
      </c>
      <c r="Y386" t="s">
        <v>42</v>
      </c>
    </row>
    <row r="387" spans="1:25">
      <c r="A387" t="s">
        <v>1570</v>
      </c>
      <c r="B387" t="s">
        <v>1571</v>
      </c>
      <c r="C387" t="s">
        <v>80</v>
      </c>
      <c r="D387">
        <v>27</v>
      </c>
      <c r="E387" t="s">
        <v>92</v>
      </c>
      <c r="F387" t="s">
        <v>29</v>
      </c>
      <c r="G387" t="s">
        <v>30</v>
      </c>
      <c r="H387" t="s">
        <v>828</v>
      </c>
      <c r="I387" t="s">
        <v>1572</v>
      </c>
      <c r="J387">
        <v>24</v>
      </c>
      <c r="K387" t="s">
        <v>245</v>
      </c>
      <c r="L387" t="s">
        <v>1573</v>
      </c>
      <c r="M387">
        <v>26</v>
      </c>
      <c r="N387" t="s">
        <v>34</v>
      </c>
      <c r="O387" t="s">
        <v>35</v>
      </c>
      <c r="Q387" t="s">
        <v>36</v>
      </c>
      <c r="R387">
        <v>50</v>
      </c>
      <c r="S387" t="s">
        <v>49</v>
      </c>
      <c r="T387" t="s">
        <v>88</v>
      </c>
      <c r="U387">
        <v>3</v>
      </c>
      <c r="V387" t="s">
        <v>89</v>
      </c>
      <c r="W387" t="s">
        <v>103</v>
      </c>
      <c r="X387" t="s">
        <v>109</v>
      </c>
      <c r="Y387" t="s">
        <v>42</v>
      </c>
    </row>
    <row r="388" spans="1:25">
      <c r="A388" t="s">
        <v>1574</v>
      </c>
      <c r="B388" t="s">
        <v>1575</v>
      </c>
      <c r="C388" t="s">
        <v>56</v>
      </c>
      <c r="D388">
        <v>29</v>
      </c>
      <c r="E388" t="s">
        <v>173</v>
      </c>
      <c r="F388" t="s">
        <v>29</v>
      </c>
      <c r="G388" t="s">
        <v>168</v>
      </c>
      <c r="H388" t="s">
        <v>615</v>
      </c>
      <c r="I388" t="s">
        <v>1576</v>
      </c>
      <c r="J388">
        <v>4</v>
      </c>
      <c r="K388" t="s">
        <v>615</v>
      </c>
      <c r="L388" t="s">
        <v>1577</v>
      </c>
      <c r="M388">
        <v>10</v>
      </c>
      <c r="N388" t="s">
        <v>34</v>
      </c>
      <c r="O388" t="s">
        <v>35</v>
      </c>
      <c r="Q388" t="s">
        <v>36</v>
      </c>
      <c r="R388">
        <v>25</v>
      </c>
      <c r="S388" t="s">
        <v>49</v>
      </c>
      <c r="T388" t="s">
        <v>164</v>
      </c>
      <c r="U388">
        <v>1</v>
      </c>
      <c r="V388" t="s">
        <v>62</v>
      </c>
      <c r="W388" t="s">
        <v>40</v>
      </c>
      <c r="X388" t="s">
        <v>109</v>
      </c>
      <c r="Y388" t="s">
        <v>42</v>
      </c>
    </row>
    <row r="389" spans="1:25">
      <c r="A389" t="s">
        <v>1578</v>
      </c>
      <c r="B389" t="s">
        <v>1579</v>
      </c>
      <c r="C389" t="s">
        <v>80</v>
      </c>
      <c r="D389">
        <v>32</v>
      </c>
      <c r="E389" t="s">
        <v>28</v>
      </c>
      <c r="F389" t="s">
        <v>29</v>
      </c>
      <c r="G389" t="s">
        <v>30</v>
      </c>
      <c r="H389" t="s">
        <v>1580</v>
      </c>
      <c r="I389" t="s">
        <v>1581</v>
      </c>
      <c r="J389">
        <v>5</v>
      </c>
      <c r="K389" t="s">
        <v>1580</v>
      </c>
      <c r="L389" t="s">
        <v>623</v>
      </c>
      <c r="M389">
        <v>6</v>
      </c>
      <c r="N389" t="s">
        <v>34</v>
      </c>
      <c r="O389" t="s">
        <v>35</v>
      </c>
      <c r="Q389" t="s">
        <v>36</v>
      </c>
      <c r="R389">
        <v>35</v>
      </c>
      <c r="S389" t="s">
        <v>37</v>
      </c>
      <c r="T389" t="s">
        <v>50</v>
      </c>
      <c r="U389">
        <v>3</v>
      </c>
      <c r="V389" t="s">
        <v>70</v>
      </c>
      <c r="W389" t="s">
        <v>40</v>
      </c>
      <c r="X389" t="s">
        <v>109</v>
      </c>
      <c r="Y389" t="s">
        <v>53</v>
      </c>
    </row>
    <row r="390" spans="1:25">
      <c r="A390" t="s">
        <v>1582</v>
      </c>
      <c r="B390" t="s">
        <v>1583</v>
      </c>
      <c r="C390" t="s">
        <v>80</v>
      </c>
      <c r="D390">
        <v>84</v>
      </c>
      <c r="E390" t="s">
        <v>28</v>
      </c>
      <c r="F390" t="s">
        <v>29</v>
      </c>
      <c r="G390" t="s">
        <v>30</v>
      </c>
      <c r="H390" t="s">
        <v>1339</v>
      </c>
      <c r="I390" t="s">
        <v>310</v>
      </c>
      <c r="J390">
        <v>5</v>
      </c>
      <c r="K390" t="s">
        <v>1339</v>
      </c>
      <c r="L390" t="s">
        <v>1584</v>
      </c>
      <c r="M390">
        <v>6</v>
      </c>
      <c r="N390" t="s">
        <v>34</v>
      </c>
      <c r="O390" t="s">
        <v>35</v>
      </c>
      <c r="Q390" t="s">
        <v>36</v>
      </c>
      <c r="R390">
        <v>35</v>
      </c>
      <c r="S390" t="s">
        <v>77</v>
      </c>
      <c r="T390" t="s">
        <v>50</v>
      </c>
      <c r="U390">
        <v>1</v>
      </c>
      <c r="V390" t="s">
        <v>62</v>
      </c>
      <c r="W390" t="s">
        <v>40</v>
      </c>
      <c r="X390" t="s">
        <v>52</v>
      </c>
      <c r="Y390" t="s">
        <v>71</v>
      </c>
    </row>
    <row r="391" spans="1:25">
      <c r="A391" t="s">
        <v>1585</v>
      </c>
      <c r="B391" t="s">
        <v>1586</v>
      </c>
      <c r="C391" t="s">
        <v>56</v>
      </c>
      <c r="D391">
        <v>2</v>
      </c>
      <c r="E391" t="s">
        <v>92</v>
      </c>
      <c r="F391" t="s">
        <v>29</v>
      </c>
      <c r="G391" t="s">
        <v>93</v>
      </c>
      <c r="H391" t="s">
        <v>1097</v>
      </c>
      <c r="I391" t="s">
        <v>196</v>
      </c>
      <c r="J391">
        <v>24</v>
      </c>
      <c r="K391" t="s">
        <v>728</v>
      </c>
      <c r="L391" t="s">
        <v>1587</v>
      </c>
      <c r="M391">
        <v>28</v>
      </c>
      <c r="N391" t="s">
        <v>34</v>
      </c>
      <c r="O391" t="s">
        <v>35</v>
      </c>
      <c r="Q391" t="s">
        <v>36</v>
      </c>
      <c r="R391">
        <v>50</v>
      </c>
      <c r="S391" t="s">
        <v>77</v>
      </c>
      <c r="T391" t="s">
        <v>164</v>
      </c>
      <c r="U391">
        <v>2</v>
      </c>
      <c r="V391" t="s">
        <v>62</v>
      </c>
      <c r="W391" t="s">
        <v>165</v>
      </c>
      <c r="X391" t="s">
        <v>109</v>
      </c>
      <c r="Y391" t="s">
        <v>42</v>
      </c>
    </row>
    <row r="392" spans="1:25">
      <c r="A392" t="s">
        <v>1588</v>
      </c>
      <c r="B392" t="s">
        <v>1589</v>
      </c>
      <c r="C392" t="s">
        <v>27</v>
      </c>
      <c r="D392">
        <v>35</v>
      </c>
      <c r="E392" t="s">
        <v>149</v>
      </c>
      <c r="F392" t="s">
        <v>29</v>
      </c>
      <c r="G392" t="s">
        <v>150</v>
      </c>
      <c r="H392" t="s">
        <v>1092</v>
      </c>
      <c r="I392" t="s">
        <v>1382</v>
      </c>
      <c r="J392">
        <v>6</v>
      </c>
      <c r="K392" t="s">
        <v>1092</v>
      </c>
      <c r="L392" t="s">
        <v>439</v>
      </c>
      <c r="M392">
        <v>11</v>
      </c>
      <c r="N392" t="s">
        <v>34</v>
      </c>
      <c r="O392" t="s">
        <v>35</v>
      </c>
      <c r="Q392" t="s">
        <v>36</v>
      </c>
      <c r="R392">
        <v>40</v>
      </c>
      <c r="S392" t="s">
        <v>49</v>
      </c>
      <c r="T392" t="s">
        <v>50</v>
      </c>
      <c r="U392">
        <v>1</v>
      </c>
      <c r="V392" t="s">
        <v>39</v>
      </c>
      <c r="W392" t="s">
        <v>103</v>
      </c>
      <c r="X392" t="s">
        <v>52</v>
      </c>
      <c r="Y392" t="s">
        <v>53</v>
      </c>
    </row>
    <row r="393" spans="1:25">
      <c r="A393" t="s">
        <v>1590</v>
      </c>
      <c r="B393" t="s">
        <v>1591</v>
      </c>
      <c r="C393" t="s">
        <v>56</v>
      </c>
      <c r="D393">
        <v>36</v>
      </c>
      <c r="E393" t="s">
        <v>57</v>
      </c>
      <c r="F393" t="s">
        <v>29</v>
      </c>
      <c r="G393" t="s">
        <v>45</v>
      </c>
      <c r="H393" t="s">
        <v>99</v>
      </c>
      <c r="I393" t="s">
        <v>1592</v>
      </c>
      <c r="J393">
        <v>3</v>
      </c>
      <c r="K393" t="s">
        <v>99</v>
      </c>
      <c r="L393" t="s">
        <v>1546</v>
      </c>
      <c r="M393">
        <v>6</v>
      </c>
      <c r="N393" t="s">
        <v>34</v>
      </c>
      <c r="O393" t="s">
        <v>35</v>
      </c>
      <c r="Q393" t="s">
        <v>36</v>
      </c>
      <c r="R393">
        <v>15</v>
      </c>
      <c r="S393" t="s">
        <v>37</v>
      </c>
      <c r="T393" t="s">
        <v>69</v>
      </c>
      <c r="U393">
        <v>3</v>
      </c>
      <c r="V393" t="s">
        <v>89</v>
      </c>
      <c r="W393" t="s">
        <v>40</v>
      </c>
      <c r="X393" t="s">
        <v>109</v>
      </c>
      <c r="Y393" t="s">
        <v>53</v>
      </c>
    </row>
    <row r="394" spans="1:25">
      <c r="A394" t="s">
        <v>1593</v>
      </c>
      <c r="B394" t="s">
        <v>1594</v>
      </c>
      <c r="C394" t="s">
        <v>80</v>
      </c>
      <c r="D394">
        <v>73</v>
      </c>
      <c r="E394" t="s">
        <v>92</v>
      </c>
      <c r="F394" t="s">
        <v>29</v>
      </c>
      <c r="G394" t="s">
        <v>93</v>
      </c>
      <c r="H394" t="s">
        <v>900</v>
      </c>
      <c r="I394" t="s">
        <v>568</v>
      </c>
      <c r="J394">
        <v>24</v>
      </c>
      <c r="K394" t="s">
        <v>902</v>
      </c>
      <c r="L394" t="s">
        <v>737</v>
      </c>
      <c r="M394">
        <v>32</v>
      </c>
      <c r="N394" t="s">
        <v>34</v>
      </c>
      <c r="O394" t="s">
        <v>35</v>
      </c>
      <c r="Q394" t="s">
        <v>36</v>
      </c>
      <c r="R394">
        <v>50</v>
      </c>
      <c r="S394" t="s">
        <v>37</v>
      </c>
      <c r="T394" t="s">
        <v>96</v>
      </c>
      <c r="U394">
        <v>1</v>
      </c>
      <c r="V394" t="s">
        <v>62</v>
      </c>
      <c r="W394" t="s">
        <v>103</v>
      </c>
      <c r="X394" t="s">
        <v>52</v>
      </c>
      <c r="Y394" t="s">
        <v>42</v>
      </c>
    </row>
    <row r="395" spans="1:25">
      <c r="A395" t="s">
        <v>1595</v>
      </c>
      <c r="B395" t="s">
        <v>1596</v>
      </c>
      <c r="C395" t="s">
        <v>80</v>
      </c>
      <c r="D395">
        <v>33</v>
      </c>
      <c r="E395" t="s">
        <v>28</v>
      </c>
      <c r="F395" t="s">
        <v>29</v>
      </c>
      <c r="G395" t="s">
        <v>58</v>
      </c>
      <c r="H395" t="s">
        <v>1240</v>
      </c>
      <c r="I395" t="s">
        <v>1478</v>
      </c>
      <c r="J395">
        <v>5</v>
      </c>
      <c r="K395" t="s">
        <v>1240</v>
      </c>
      <c r="L395" t="s">
        <v>142</v>
      </c>
      <c r="M395">
        <v>6</v>
      </c>
      <c r="N395" t="s">
        <v>34</v>
      </c>
      <c r="O395" t="s">
        <v>35</v>
      </c>
      <c r="Q395" t="s">
        <v>36</v>
      </c>
      <c r="R395">
        <v>35</v>
      </c>
      <c r="S395" t="s">
        <v>37</v>
      </c>
      <c r="T395" t="s">
        <v>38</v>
      </c>
      <c r="U395">
        <v>1</v>
      </c>
      <c r="V395" t="s">
        <v>70</v>
      </c>
      <c r="W395" t="s">
        <v>40</v>
      </c>
      <c r="X395" t="s">
        <v>109</v>
      </c>
      <c r="Y395" t="s">
        <v>71</v>
      </c>
    </row>
    <row r="396" spans="1:25">
      <c r="A396" t="s">
        <v>1597</v>
      </c>
      <c r="B396" t="s">
        <v>1598</v>
      </c>
      <c r="C396" t="s">
        <v>27</v>
      </c>
      <c r="D396">
        <v>67</v>
      </c>
      <c r="E396" t="s">
        <v>81</v>
      </c>
      <c r="F396" t="s">
        <v>82</v>
      </c>
      <c r="G396" t="s">
        <v>93</v>
      </c>
      <c r="H396" t="s">
        <v>446</v>
      </c>
      <c r="I396" t="s">
        <v>1599</v>
      </c>
      <c r="J396">
        <v>8</v>
      </c>
      <c r="K396" t="s">
        <v>217</v>
      </c>
      <c r="L396" t="s">
        <v>1600</v>
      </c>
      <c r="M396">
        <v>11</v>
      </c>
      <c r="N396" t="s">
        <v>34</v>
      </c>
      <c r="O396" t="s">
        <v>35</v>
      </c>
      <c r="Q396" t="s">
        <v>36</v>
      </c>
      <c r="R396">
        <v>20</v>
      </c>
      <c r="S396" t="s">
        <v>49</v>
      </c>
      <c r="T396" t="s">
        <v>164</v>
      </c>
      <c r="U396">
        <v>4</v>
      </c>
      <c r="V396" t="s">
        <v>39</v>
      </c>
      <c r="W396" t="s">
        <v>103</v>
      </c>
      <c r="X396" t="s">
        <v>52</v>
      </c>
      <c r="Y396" t="s">
        <v>42</v>
      </c>
    </row>
    <row r="397" spans="1:25">
      <c r="A397" t="s">
        <v>1601</v>
      </c>
      <c r="B397" t="s">
        <v>1602</v>
      </c>
      <c r="C397" t="s">
        <v>56</v>
      </c>
      <c r="D397">
        <v>34</v>
      </c>
      <c r="E397" t="s">
        <v>92</v>
      </c>
      <c r="F397" t="s">
        <v>29</v>
      </c>
      <c r="G397" t="s">
        <v>45</v>
      </c>
      <c r="H397" t="s">
        <v>1170</v>
      </c>
      <c r="I397" t="s">
        <v>980</v>
      </c>
      <c r="J397">
        <v>24</v>
      </c>
      <c r="K397" t="s">
        <v>1053</v>
      </c>
      <c r="L397" t="s">
        <v>719</v>
      </c>
      <c r="M397">
        <v>23</v>
      </c>
      <c r="N397" t="s">
        <v>68</v>
      </c>
      <c r="O397" t="s">
        <v>35</v>
      </c>
      <c r="Q397" t="s">
        <v>36</v>
      </c>
      <c r="R397">
        <v>50</v>
      </c>
      <c r="S397" t="s">
        <v>37</v>
      </c>
      <c r="T397" t="s">
        <v>88</v>
      </c>
      <c r="U397">
        <v>5</v>
      </c>
      <c r="V397" t="s">
        <v>89</v>
      </c>
      <c r="W397" t="s">
        <v>165</v>
      </c>
      <c r="X397" t="s">
        <v>52</v>
      </c>
      <c r="Y397" t="s">
        <v>53</v>
      </c>
    </row>
    <row r="398" spans="1:25">
      <c r="A398" t="s">
        <v>1603</v>
      </c>
      <c r="B398" t="s">
        <v>1604</v>
      </c>
      <c r="C398" t="s">
        <v>80</v>
      </c>
      <c r="D398">
        <v>11</v>
      </c>
      <c r="E398" t="s">
        <v>81</v>
      </c>
      <c r="F398" t="s">
        <v>82</v>
      </c>
      <c r="G398" t="s">
        <v>150</v>
      </c>
      <c r="H398" t="s">
        <v>300</v>
      </c>
      <c r="I398" t="s">
        <v>1605</v>
      </c>
      <c r="J398">
        <v>8</v>
      </c>
      <c r="K398" t="s">
        <v>323</v>
      </c>
      <c r="L398" t="s">
        <v>1606</v>
      </c>
      <c r="M398">
        <v>9</v>
      </c>
      <c r="N398" t="s">
        <v>34</v>
      </c>
      <c r="O398" t="s">
        <v>35</v>
      </c>
      <c r="Q398" t="s">
        <v>36</v>
      </c>
      <c r="R398">
        <v>20</v>
      </c>
      <c r="S398" t="s">
        <v>49</v>
      </c>
      <c r="T398" t="s">
        <v>164</v>
      </c>
      <c r="U398">
        <v>1</v>
      </c>
      <c r="V398" t="s">
        <v>39</v>
      </c>
      <c r="W398" t="s">
        <v>103</v>
      </c>
      <c r="X398" t="s">
        <v>109</v>
      </c>
      <c r="Y398" t="s">
        <v>53</v>
      </c>
    </row>
    <row r="399" spans="1:25">
      <c r="A399" t="s">
        <v>1607</v>
      </c>
      <c r="B399" t="s">
        <v>1608</v>
      </c>
      <c r="C399" t="s">
        <v>204</v>
      </c>
      <c r="D399">
        <v>8</v>
      </c>
      <c r="E399" t="s">
        <v>28</v>
      </c>
      <c r="F399" t="s">
        <v>29</v>
      </c>
      <c r="G399" t="s">
        <v>83</v>
      </c>
      <c r="H399" t="s">
        <v>388</v>
      </c>
      <c r="I399" t="s">
        <v>1609</v>
      </c>
      <c r="J399">
        <v>5</v>
      </c>
      <c r="K399" t="s">
        <v>388</v>
      </c>
      <c r="L399" t="s">
        <v>1610</v>
      </c>
      <c r="M399">
        <v>10</v>
      </c>
      <c r="N399" t="s">
        <v>34</v>
      </c>
      <c r="O399" t="s">
        <v>35</v>
      </c>
      <c r="Q399" t="s">
        <v>36</v>
      </c>
      <c r="S399" t="s">
        <v>49</v>
      </c>
      <c r="T399" t="s">
        <v>50</v>
      </c>
      <c r="U399">
        <v>4</v>
      </c>
      <c r="V399" t="s">
        <v>62</v>
      </c>
      <c r="W399" t="s">
        <v>103</v>
      </c>
      <c r="X399" t="s">
        <v>109</v>
      </c>
      <c r="Y399" t="s">
        <v>53</v>
      </c>
    </row>
    <row r="400" spans="1:25">
      <c r="A400" t="s">
        <v>63</v>
      </c>
      <c r="B400" t="s">
        <v>1611</v>
      </c>
      <c r="C400" t="s">
        <v>56</v>
      </c>
      <c r="D400">
        <v>10</v>
      </c>
      <c r="E400" t="s">
        <v>57</v>
      </c>
      <c r="F400" t="s">
        <v>29</v>
      </c>
      <c r="G400" t="s">
        <v>150</v>
      </c>
      <c r="H400" t="s">
        <v>652</v>
      </c>
      <c r="I400" t="s">
        <v>1612</v>
      </c>
      <c r="J400">
        <v>3</v>
      </c>
      <c r="K400" t="s">
        <v>652</v>
      </c>
      <c r="L400" t="s">
        <v>311</v>
      </c>
      <c r="M400">
        <v>8</v>
      </c>
      <c r="N400" t="s">
        <v>34</v>
      </c>
      <c r="O400" t="s">
        <v>270</v>
      </c>
      <c r="P400" t="s">
        <v>620</v>
      </c>
      <c r="Q400" t="s">
        <v>36</v>
      </c>
      <c r="R400">
        <v>15</v>
      </c>
      <c r="S400" t="s">
        <v>37</v>
      </c>
      <c r="T400" t="s">
        <v>96</v>
      </c>
      <c r="U400">
        <v>1</v>
      </c>
      <c r="V400" t="s">
        <v>39</v>
      </c>
      <c r="W400" t="s">
        <v>51</v>
      </c>
      <c r="X400" t="s">
        <v>109</v>
      </c>
      <c r="Y400" t="s">
        <v>42</v>
      </c>
    </row>
    <row r="401" spans="1:25">
      <c r="A401" t="s">
        <v>1613</v>
      </c>
      <c r="B401" t="s">
        <v>1614</v>
      </c>
      <c r="C401" t="s">
        <v>204</v>
      </c>
      <c r="D401">
        <v>79</v>
      </c>
      <c r="E401" t="s">
        <v>81</v>
      </c>
      <c r="F401" t="s">
        <v>82</v>
      </c>
      <c r="G401" t="s">
        <v>83</v>
      </c>
      <c r="H401" t="s">
        <v>1019</v>
      </c>
      <c r="I401" t="s">
        <v>892</v>
      </c>
      <c r="J401">
        <v>8</v>
      </c>
      <c r="K401" t="s">
        <v>1019</v>
      </c>
      <c r="L401" t="s">
        <v>1615</v>
      </c>
      <c r="M401">
        <v>8</v>
      </c>
      <c r="N401" t="s">
        <v>68</v>
      </c>
      <c r="O401" t="s">
        <v>35</v>
      </c>
      <c r="Q401" t="s">
        <v>36</v>
      </c>
      <c r="R401">
        <v>20</v>
      </c>
      <c r="S401" t="s">
        <v>77</v>
      </c>
      <c r="T401" t="s">
        <v>164</v>
      </c>
      <c r="U401">
        <v>2</v>
      </c>
      <c r="V401" t="s">
        <v>39</v>
      </c>
      <c r="W401" t="s">
        <v>165</v>
      </c>
      <c r="X401" t="s">
        <v>109</v>
      </c>
      <c r="Y401" t="s">
        <v>71</v>
      </c>
    </row>
    <row r="402" spans="1:25">
      <c r="A402" t="s">
        <v>1616</v>
      </c>
      <c r="B402" t="s">
        <v>1617</v>
      </c>
      <c r="C402" t="s">
        <v>204</v>
      </c>
      <c r="D402">
        <v>51</v>
      </c>
      <c r="E402" t="s">
        <v>149</v>
      </c>
      <c r="F402" t="s">
        <v>29</v>
      </c>
      <c r="G402" t="s">
        <v>150</v>
      </c>
      <c r="H402" t="s">
        <v>919</v>
      </c>
      <c r="I402" t="s">
        <v>1618</v>
      </c>
      <c r="J402">
        <v>6</v>
      </c>
      <c r="K402" t="s">
        <v>919</v>
      </c>
      <c r="L402" t="s">
        <v>1619</v>
      </c>
      <c r="M402">
        <v>12</v>
      </c>
      <c r="N402" t="s">
        <v>34</v>
      </c>
      <c r="O402" t="s">
        <v>35</v>
      </c>
      <c r="Q402" t="s">
        <v>36</v>
      </c>
      <c r="R402">
        <v>40</v>
      </c>
      <c r="S402" t="s">
        <v>49</v>
      </c>
      <c r="T402" t="s">
        <v>164</v>
      </c>
      <c r="U402">
        <v>1</v>
      </c>
      <c r="V402" t="s">
        <v>89</v>
      </c>
      <c r="W402" t="s">
        <v>40</v>
      </c>
      <c r="X402" t="s">
        <v>109</v>
      </c>
      <c r="Y402" t="s">
        <v>71</v>
      </c>
    </row>
    <row r="403" spans="1:25">
      <c r="A403" t="s">
        <v>1620</v>
      </c>
      <c r="B403" t="s">
        <v>1621</v>
      </c>
      <c r="C403" t="s">
        <v>204</v>
      </c>
      <c r="D403">
        <v>4</v>
      </c>
      <c r="E403" t="s">
        <v>28</v>
      </c>
      <c r="F403" t="s">
        <v>29</v>
      </c>
      <c r="G403" t="s">
        <v>30</v>
      </c>
      <c r="H403" t="s">
        <v>86</v>
      </c>
      <c r="I403" t="s">
        <v>1622</v>
      </c>
      <c r="J403">
        <v>5</v>
      </c>
      <c r="K403" t="s">
        <v>86</v>
      </c>
      <c r="L403" t="s">
        <v>1028</v>
      </c>
      <c r="M403">
        <v>8</v>
      </c>
      <c r="N403" t="s">
        <v>34</v>
      </c>
      <c r="O403" t="s">
        <v>35</v>
      </c>
      <c r="Q403" t="s">
        <v>36</v>
      </c>
      <c r="R403">
        <v>35</v>
      </c>
      <c r="S403" t="s">
        <v>49</v>
      </c>
      <c r="T403" t="s">
        <v>88</v>
      </c>
      <c r="U403">
        <v>3</v>
      </c>
      <c r="V403" t="s">
        <v>62</v>
      </c>
      <c r="W403" t="s">
        <v>165</v>
      </c>
      <c r="X403" t="s">
        <v>109</v>
      </c>
      <c r="Y403" t="s">
        <v>71</v>
      </c>
    </row>
    <row r="404" spans="1:25">
      <c r="A404" t="s">
        <v>1623</v>
      </c>
      <c r="B404" t="s">
        <v>1624</v>
      </c>
      <c r="C404" t="s">
        <v>56</v>
      </c>
      <c r="D404">
        <v>11</v>
      </c>
      <c r="E404" t="s">
        <v>92</v>
      </c>
      <c r="F404" t="s">
        <v>29</v>
      </c>
      <c r="G404" t="s">
        <v>150</v>
      </c>
      <c r="H404" t="s">
        <v>1625</v>
      </c>
      <c r="I404" t="s">
        <v>1236</v>
      </c>
      <c r="J404">
        <v>24</v>
      </c>
      <c r="K404" t="s">
        <v>1626</v>
      </c>
      <c r="L404" t="s">
        <v>1627</v>
      </c>
      <c r="M404">
        <v>26</v>
      </c>
      <c r="N404" t="s">
        <v>34</v>
      </c>
      <c r="O404" t="s">
        <v>35</v>
      </c>
      <c r="Q404" t="s">
        <v>36</v>
      </c>
      <c r="R404">
        <v>50</v>
      </c>
      <c r="S404" t="s">
        <v>49</v>
      </c>
      <c r="T404" t="s">
        <v>38</v>
      </c>
      <c r="U404">
        <v>4</v>
      </c>
      <c r="V404" t="s">
        <v>70</v>
      </c>
      <c r="W404" t="s">
        <v>103</v>
      </c>
      <c r="X404" t="s">
        <v>109</v>
      </c>
      <c r="Y404" t="s">
        <v>42</v>
      </c>
    </row>
    <row r="405" spans="1:25">
      <c r="A405" t="s">
        <v>1628</v>
      </c>
      <c r="B405" t="s">
        <v>1629</v>
      </c>
      <c r="C405" t="s">
        <v>56</v>
      </c>
      <c r="D405">
        <v>48</v>
      </c>
      <c r="E405" t="s">
        <v>57</v>
      </c>
      <c r="F405" t="s">
        <v>29</v>
      </c>
      <c r="G405" t="s">
        <v>58</v>
      </c>
      <c r="H405" t="s">
        <v>988</v>
      </c>
      <c r="I405" t="s">
        <v>1630</v>
      </c>
      <c r="J405">
        <v>3</v>
      </c>
      <c r="K405" t="s">
        <v>1580</v>
      </c>
      <c r="L405" t="s">
        <v>1631</v>
      </c>
      <c r="M405">
        <v>11</v>
      </c>
      <c r="N405" t="s">
        <v>34</v>
      </c>
      <c r="O405" t="s">
        <v>35</v>
      </c>
      <c r="Q405" t="s">
        <v>36</v>
      </c>
      <c r="R405">
        <v>15</v>
      </c>
      <c r="S405" t="s">
        <v>77</v>
      </c>
      <c r="T405" t="s">
        <v>50</v>
      </c>
      <c r="U405">
        <v>2</v>
      </c>
      <c r="V405" t="s">
        <v>70</v>
      </c>
      <c r="W405" t="s">
        <v>103</v>
      </c>
      <c r="X405" t="s">
        <v>41</v>
      </c>
      <c r="Y405" t="s">
        <v>42</v>
      </c>
    </row>
    <row r="406" spans="1:25">
      <c r="A406" t="s">
        <v>1632</v>
      </c>
      <c r="B406" t="s">
        <v>1633</v>
      </c>
      <c r="C406" t="s">
        <v>80</v>
      </c>
      <c r="D406">
        <v>42</v>
      </c>
      <c r="E406" t="s">
        <v>92</v>
      </c>
      <c r="F406" t="s">
        <v>29</v>
      </c>
      <c r="G406" t="s">
        <v>168</v>
      </c>
      <c r="H406" t="s">
        <v>278</v>
      </c>
      <c r="I406" t="s">
        <v>1634</v>
      </c>
      <c r="J406">
        <v>24</v>
      </c>
      <c r="K406" t="s">
        <v>375</v>
      </c>
      <c r="L406" t="s">
        <v>610</v>
      </c>
      <c r="M406">
        <v>25</v>
      </c>
      <c r="N406" t="s">
        <v>34</v>
      </c>
      <c r="O406" t="s">
        <v>35</v>
      </c>
      <c r="Q406" t="s">
        <v>36</v>
      </c>
      <c r="R406">
        <v>50</v>
      </c>
      <c r="S406" t="s">
        <v>37</v>
      </c>
      <c r="T406" t="s">
        <v>88</v>
      </c>
      <c r="U406">
        <v>1</v>
      </c>
      <c r="V406" t="s">
        <v>70</v>
      </c>
      <c r="W406" t="s">
        <v>165</v>
      </c>
      <c r="X406" t="s">
        <v>52</v>
      </c>
      <c r="Y406" t="s">
        <v>53</v>
      </c>
    </row>
    <row r="407" spans="1:25">
      <c r="A407" t="s">
        <v>1635</v>
      </c>
      <c r="B407" t="s">
        <v>1636</v>
      </c>
      <c r="C407" t="s">
        <v>204</v>
      </c>
      <c r="D407">
        <v>57</v>
      </c>
      <c r="E407" t="s">
        <v>149</v>
      </c>
      <c r="F407" t="s">
        <v>29</v>
      </c>
      <c r="G407" t="s">
        <v>168</v>
      </c>
      <c r="H407" t="s">
        <v>433</v>
      </c>
      <c r="I407" t="s">
        <v>1637</v>
      </c>
      <c r="J407">
        <v>6</v>
      </c>
      <c r="K407" t="s">
        <v>1638</v>
      </c>
      <c r="L407" t="s">
        <v>366</v>
      </c>
      <c r="M407">
        <v>14</v>
      </c>
      <c r="N407" t="s">
        <v>34</v>
      </c>
      <c r="O407" t="s">
        <v>35</v>
      </c>
      <c r="Q407" t="s">
        <v>36</v>
      </c>
      <c r="R407">
        <v>40</v>
      </c>
      <c r="S407" t="s">
        <v>49</v>
      </c>
      <c r="T407" t="s">
        <v>164</v>
      </c>
      <c r="U407">
        <v>5</v>
      </c>
      <c r="V407" t="s">
        <v>89</v>
      </c>
      <c r="W407" t="s">
        <v>40</v>
      </c>
      <c r="X407" t="s">
        <v>52</v>
      </c>
      <c r="Y407" t="s">
        <v>71</v>
      </c>
    </row>
    <row r="408" spans="1:25">
      <c r="A408" t="s">
        <v>1639</v>
      </c>
      <c r="B408" t="s">
        <v>1640</v>
      </c>
      <c r="C408" t="s">
        <v>27</v>
      </c>
      <c r="D408">
        <v>1</v>
      </c>
      <c r="E408" t="s">
        <v>92</v>
      </c>
      <c r="F408" t="s">
        <v>29</v>
      </c>
      <c r="G408" t="s">
        <v>93</v>
      </c>
      <c r="H408" t="s">
        <v>807</v>
      </c>
      <c r="I408" t="s">
        <v>1641</v>
      </c>
      <c r="J408">
        <v>24</v>
      </c>
      <c r="K408" t="s">
        <v>951</v>
      </c>
      <c r="L408" t="s">
        <v>1642</v>
      </c>
      <c r="M408">
        <v>26</v>
      </c>
      <c r="N408" t="s">
        <v>34</v>
      </c>
      <c r="O408" t="s">
        <v>35</v>
      </c>
      <c r="Q408" t="s">
        <v>36</v>
      </c>
      <c r="R408">
        <v>50</v>
      </c>
      <c r="S408" t="s">
        <v>37</v>
      </c>
      <c r="T408" t="s">
        <v>88</v>
      </c>
      <c r="U408">
        <v>5</v>
      </c>
      <c r="V408" t="s">
        <v>70</v>
      </c>
      <c r="W408" t="s">
        <v>103</v>
      </c>
      <c r="X408" t="s">
        <v>41</v>
      </c>
      <c r="Y408" t="s">
        <v>42</v>
      </c>
    </row>
    <row r="409" spans="1:25">
      <c r="A409" t="s">
        <v>1643</v>
      </c>
      <c r="B409" t="s">
        <v>1644</v>
      </c>
      <c r="C409" t="s">
        <v>80</v>
      </c>
      <c r="D409">
        <v>35</v>
      </c>
      <c r="E409" t="s">
        <v>92</v>
      </c>
      <c r="F409" t="s">
        <v>29</v>
      </c>
      <c r="G409" t="s">
        <v>93</v>
      </c>
      <c r="H409" t="s">
        <v>344</v>
      </c>
      <c r="I409" t="s">
        <v>124</v>
      </c>
      <c r="J409">
        <v>24</v>
      </c>
      <c r="K409" t="s">
        <v>446</v>
      </c>
      <c r="L409" t="s">
        <v>1319</v>
      </c>
      <c r="M409">
        <v>29</v>
      </c>
      <c r="N409" t="s">
        <v>34</v>
      </c>
      <c r="O409" t="s">
        <v>35</v>
      </c>
      <c r="Q409" t="s">
        <v>36</v>
      </c>
      <c r="R409">
        <v>50</v>
      </c>
      <c r="S409" t="s">
        <v>49</v>
      </c>
      <c r="T409" t="s">
        <v>88</v>
      </c>
      <c r="U409">
        <v>2</v>
      </c>
      <c r="V409" t="s">
        <v>89</v>
      </c>
      <c r="W409" t="s">
        <v>103</v>
      </c>
      <c r="X409" t="s">
        <v>52</v>
      </c>
      <c r="Y409" t="s">
        <v>42</v>
      </c>
    </row>
    <row r="410" spans="1:25">
      <c r="A410" t="s">
        <v>1645</v>
      </c>
      <c r="B410" t="s">
        <v>1646</v>
      </c>
      <c r="C410" t="s">
        <v>56</v>
      </c>
      <c r="D410">
        <v>72</v>
      </c>
      <c r="E410" t="s">
        <v>57</v>
      </c>
      <c r="F410" t="s">
        <v>29</v>
      </c>
      <c r="G410" t="s">
        <v>168</v>
      </c>
      <c r="H410" t="s">
        <v>877</v>
      </c>
      <c r="I410" t="s">
        <v>578</v>
      </c>
      <c r="J410">
        <v>3</v>
      </c>
      <c r="K410" t="s">
        <v>877</v>
      </c>
      <c r="L410" t="s">
        <v>1647</v>
      </c>
      <c r="M410">
        <v>7</v>
      </c>
      <c r="N410" t="s">
        <v>34</v>
      </c>
      <c r="O410" t="s">
        <v>35</v>
      </c>
      <c r="Q410" t="s">
        <v>36</v>
      </c>
      <c r="R410">
        <v>15</v>
      </c>
      <c r="S410" t="s">
        <v>77</v>
      </c>
      <c r="T410" t="s">
        <v>69</v>
      </c>
      <c r="U410">
        <v>2</v>
      </c>
      <c r="V410" t="s">
        <v>89</v>
      </c>
      <c r="W410" t="s">
        <v>165</v>
      </c>
      <c r="X410" t="s">
        <v>109</v>
      </c>
      <c r="Y410" t="s">
        <v>53</v>
      </c>
    </row>
    <row r="411" spans="1:25">
      <c r="A411" t="s">
        <v>1648</v>
      </c>
      <c r="B411" t="s">
        <v>1649</v>
      </c>
      <c r="C411" t="s">
        <v>204</v>
      </c>
      <c r="D411">
        <v>4</v>
      </c>
      <c r="E411" t="s">
        <v>173</v>
      </c>
      <c r="F411" t="s">
        <v>29</v>
      </c>
      <c r="G411" t="s">
        <v>150</v>
      </c>
      <c r="H411" t="s">
        <v>1019</v>
      </c>
      <c r="I411" t="s">
        <v>460</v>
      </c>
      <c r="J411">
        <v>4</v>
      </c>
      <c r="K411" t="s">
        <v>1019</v>
      </c>
      <c r="L411" t="s">
        <v>1599</v>
      </c>
      <c r="M411">
        <v>8</v>
      </c>
      <c r="N411" t="s">
        <v>34</v>
      </c>
      <c r="O411" t="s">
        <v>270</v>
      </c>
      <c r="P411" t="s">
        <v>391</v>
      </c>
      <c r="Q411" t="s">
        <v>36</v>
      </c>
      <c r="R411">
        <v>25</v>
      </c>
      <c r="S411" t="s">
        <v>77</v>
      </c>
      <c r="T411" t="s">
        <v>96</v>
      </c>
      <c r="U411">
        <v>1</v>
      </c>
      <c r="V411" t="s">
        <v>89</v>
      </c>
      <c r="W411" t="s">
        <v>40</v>
      </c>
      <c r="X411" t="s">
        <v>41</v>
      </c>
      <c r="Y411" t="s">
        <v>53</v>
      </c>
    </row>
    <row r="412" spans="1:25">
      <c r="A412" t="s">
        <v>1650</v>
      </c>
      <c r="B412" t="s">
        <v>1651</v>
      </c>
      <c r="C412" t="s">
        <v>27</v>
      </c>
      <c r="D412">
        <v>56</v>
      </c>
      <c r="E412" t="s">
        <v>92</v>
      </c>
      <c r="F412" t="s">
        <v>29</v>
      </c>
      <c r="G412" t="s">
        <v>150</v>
      </c>
      <c r="H412" t="s">
        <v>1494</v>
      </c>
      <c r="I412" t="s">
        <v>1652</v>
      </c>
      <c r="J412">
        <v>24</v>
      </c>
      <c r="K412" t="s">
        <v>910</v>
      </c>
      <c r="L412" t="s">
        <v>152</v>
      </c>
      <c r="M412">
        <v>32</v>
      </c>
      <c r="N412" t="s">
        <v>34</v>
      </c>
      <c r="O412" t="s">
        <v>35</v>
      </c>
      <c r="Q412" t="s">
        <v>36</v>
      </c>
      <c r="R412">
        <v>50</v>
      </c>
      <c r="S412" t="s">
        <v>49</v>
      </c>
      <c r="T412" t="s">
        <v>88</v>
      </c>
      <c r="U412">
        <v>2</v>
      </c>
      <c r="V412" t="s">
        <v>39</v>
      </c>
      <c r="W412" t="s">
        <v>51</v>
      </c>
      <c r="X412" t="s">
        <v>41</v>
      </c>
      <c r="Y412" t="s">
        <v>53</v>
      </c>
    </row>
    <row r="413" spans="1:25">
      <c r="A413" t="s">
        <v>1653</v>
      </c>
      <c r="B413" t="s">
        <v>1654</v>
      </c>
      <c r="C413" t="s">
        <v>56</v>
      </c>
      <c r="D413">
        <v>78</v>
      </c>
      <c r="E413" t="s">
        <v>57</v>
      </c>
      <c r="F413" t="s">
        <v>29</v>
      </c>
      <c r="G413" t="s">
        <v>168</v>
      </c>
      <c r="H413" t="s">
        <v>344</v>
      </c>
      <c r="I413" t="s">
        <v>1655</v>
      </c>
      <c r="J413">
        <v>3</v>
      </c>
      <c r="K413" t="s">
        <v>344</v>
      </c>
      <c r="L413" t="s">
        <v>675</v>
      </c>
      <c r="M413">
        <v>6</v>
      </c>
      <c r="N413" t="s">
        <v>34</v>
      </c>
      <c r="O413" t="s">
        <v>35</v>
      </c>
      <c r="Q413" t="s">
        <v>36</v>
      </c>
      <c r="R413">
        <v>15</v>
      </c>
      <c r="S413" t="s">
        <v>37</v>
      </c>
      <c r="T413" t="s">
        <v>96</v>
      </c>
      <c r="U413">
        <v>1</v>
      </c>
      <c r="V413" t="s">
        <v>39</v>
      </c>
      <c r="W413" t="s">
        <v>51</v>
      </c>
      <c r="X413" t="s">
        <v>41</v>
      </c>
      <c r="Y413" t="s">
        <v>71</v>
      </c>
    </row>
    <row r="414" spans="1:25">
      <c r="A414" t="s">
        <v>1656</v>
      </c>
      <c r="B414" t="s">
        <v>1657</v>
      </c>
      <c r="C414" t="s">
        <v>204</v>
      </c>
      <c r="D414">
        <v>52</v>
      </c>
      <c r="E414" t="s">
        <v>149</v>
      </c>
      <c r="F414" t="s">
        <v>29</v>
      </c>
      <c r="G414" t="s">
        <v>30</v>
      </c>
      <c r="H414" t="s">
        <v>1113</v>
      </c>
      <c r="I414" t="s">
        <v>1658</v>
      </c>
      <c r="J414">
        <v>6</v>
      </c>
      <c r="K414" t="s">
        <v>1113</v>
      </c>
      <c r="L414" t="s">
        <v>1307</v>
      </c>
      <c r="M414">
        <v>8</v>
      </c>
      <c r="N414" t="s">
        <v>34</v>
      </c>
      <c r="O414" t="s">
        <v>35</v>
      </c>
      <c r="Q414" t="s">
        <v>36</v>
      </c>
      <c r="R414">
        <v>40</v>
      </c>
      <c r="S414" t="s">
        <v>77</v>
      </c>
      <c r="T414" t="s">
        <v>38</v>
      </c>
      <c r="U414">
        <v>5</v>
      </c>
      <c r="V414" t="s">
        <v>62</v>
      </c>
      <c r="W414" t="s">
        <v>51</v>
      </c>
      <c r="X414" t="s">
        <v>52</v>
      </c>
      <c r="Y414" t="s">
        <v>71</v>
      </c>
    </row>
    <row r="415" spans="1:25">
      <c r="A415" t="s">
        <v>1659</v>
      </c>
      <c r="B415" t="s">
        <v>1660</v>
      </c>
      <c r="C415" t="s">
        <v>80</v>
      </c>
      <c r="D415">
        <v>61</v>
      </c>
      <c r="E415" t="s">
        <v>92</v>
      </c>
      <c r="F415" t="s">
        <v>29</v>
      </c>
      <c r="G415" t="s">
        <v>93</v>
      </c>
      <c r="H415" t="s">
        <v>877</v>
      </c>
      <c r="I415" t="s">
        <v>1661</v>
      </c>
      <c r="J415">
        <v>24</v>
      </c>
      <c r="K415" t="s">
        <v>879</v>
      </c>
      <c r="L415" t="s">
        <v>1661</v>
      </c>
      <c r="M415">
        <v>24</v>
      </c>
      <c r="N415" t="s">
        <v>68</v>
      </c>
      <c r="O415" t="s">
        <v>35</v>
      </c>
      <c r="Q415" t="s">
        <v>36</v>
      </c>
      <c r="R415">
        <v>50</v>
      </c>
      <c r="S415" t="s">
        <v>49</v>
      </c>
      <c r="T415" t="s">
        <v>88</v>
      </c>
      <c r="U415">
        <v>4</v>
      </c>
      <c r="V415" t="s">
        <v>70</v>
      </c>
      <c r="W415" t="s">
        <v>103</v>
      </c>
      <c r="X415" t="s">
        <v>109</v>
      </c>
      <c r="Y415" t="s">
        <v>53</v>
      </c>
    </row>
    <row r="416" spans="1:25">
      <c r="A416" t="s">
        <v>1662</v>
      </c>
      <c r="B416" t="s">
        <v>1663</v>
      </c>
      <c r="C416" t="s">
        <v>27</v>
      </c>
      <c r="D416">
        <v>52</v>
      </c>
      <c r="E416" t="s">
        <v>57</v>
      </c>
      <c r="F416" t="s">
        <v>29</v>
      </c>
      <c r="G416" t="s">
        <v>168</v>
      </c>
      <c r="H416" t="s">
        <v>910</v>
      </c>
      <c r="I416" t="s">
        <v>1664</v>
      </c>
      <c r="J416">
        <v>3</v>
      </c>
      <c r="K416" t="s">
        <v>910</v>
      </c>
      <c r="L416" t="s">
        <v>1456</v>
      </c>
      <c r="M416">
        <v>2</v>
      </c>
      <c r="N416" t="s">
        <v>68</v>
      </c>
      <c r="O416" t="s">
        <v>35</v>
      </c>
      <c r="Q416" t="s">
        <v>36</v>
      </c>
      <c r="R416">
        <v>15</v>
      </c>
      <c r="S416" t="s">
        <v>49</v>
      </c>
      <c r="T416" t="s">
        <v>38</v>
      </c>
      <c r="U416">
        <v>3</v>
      </c>
      <c r="V416" t="s">
        <v>70</v>
      </c>
      <c r="W416" t="s">
        <v>51</v>
      </c>
      <c r="X416" t="s">
        <v>41</v>
      </c>
      <c r="Y416" t="s">
        <v>42</v>
      </c>
    </row>
    <row r="417" spans="1:25">
      <c r="A417" t="s">
        <v>1665</v>
      </c>
      <c r="B417" t="s">
        <v>1666</v>
      </c>
      <c r="C417" t="s">
        <v>80</v>
      </c>
      <c r="D417">
        <v>76</v>
      </c>
      <c r="E417" t="s">
        <v>28</v>
      </c>
      <c r="F417" t="s">
        <v>29</v>
      </c>
      <c r="G417" t="s">
        <v>30</v>
      </c>
      <c r="H417" t="s">
        <v>245</v>
      </c>
      <c r="I417" t="s">
        <v>1667</v>
      </c>
      <c r="J417">
        <v>5</v>
      </c>
      <c r="K417" t="s">
        <v>245</v>
      </c>
      <c r="L417" t="s">
        <v>1668</v>
      </c>
      <c r="M417">
        <v>6</v>
      </c>
      <c r="N417" t="s">
        <v>34</v>
      </c>
      <c r="O417" t="s">
        <v>35</v>
      </c>
      <c r="Q417" t="s">
        <v>36</v>
      </c>
      <c r="R417">
        <v>35</v>
      </c>
      <c r="S417" t="s">
        <v>49</v>
      </c>
      <c r="T417" t="s">
        <v>88</v>
      </c>
      <c r="U417">
        <v>3</v>
      </c>
      <c r="V417" t="s">
        <v>39</v>
      </c>
      <c r="W417" t="s">
        <v>103</v>
      </c>
      <c r="X417" t="s">
        <v>109</v>
      </c>
      <c r="Y417" t="s">
        <v>71</v>
      </c>
    </row>
    <row r="418" spans="1:25">
      <c r="A418" t="s">
        <v>1669</v>
      </c>
      <c r="B418" t="s">
        <v>1670</v>
      </c>
      <c r="C418" t="s">
        <v>204</v>
      </c>
      <c r="D418">
        <v>42</v>
      </c>
      <c r="E418" t="s">
        <v>81</v>
      </c>
      <c r="F418" t="s">
        <v>82</v>
      </c>
      <c r="G418" t="s">
        <v>83</v>
      </c>
      <c r="H418" t="s">
        <v>680</v>
      </c>
      <c r="I418" t="s">
        <v>1671</v>
      </c>
      <c r="J418">
        <v>8</v>
      </c>
      <c r="K418" t="s">
        <v>513</v>
      </c>
      <c r="L418" t="s">
        <v>1672</v>
      </c>
      <c r="M418">
        <v>15</v>
      </c>
      <c r="N418" t="s">
        <v>34</v>
      </c>
      <c r="O418" t="s">
        <v>35</v>
      </c>
      <c r="Q418" t="s">
        <v>36</v>
      </c>
      <c r="R418">
        <v>20</v>
      </c>
      <c r="S418" t="s">
        <v>77</v>
      </c>
      <c r="T418" t="s">
        <v>38</v>
      </c>
      <c r="U418">
        <v>1</v>
      </c>
      <c r="V418" t="s">
        <v>89</v>
      </c>
      <c r="W418" t="s">
        <v>103</v>
      </c>
      <c r="X418" t="s">
        <v>109</v>
      </c>
      <c r="Y418" t="s">
        <v>71</v>
      </c>
    </row>
    <row r="419" spans="1:25">
      <c r="A419" t="s">
        <v>1673</v>
      </c>
      <c r="B419" t="s">
        <v>1674</v>
      </c>
      <c r="C419" t="s">
        <v>27</v>
      </c>
      <c r="D419">
        <v>49</v>
      </c>
      <c r="E419" t="s">
        <v>81</v>
      </c>
      <c r="F419" t="s">
        <v>82</v>
      </c>
      <c r="G419" t="s">
        <v>83</v>
      </c>
      <c r="H419" t="s">
        <v>446</v>
      </c>
      <c r="I419" t="s">
        <v>1675</v>
      </c>
      <c r="J419">
        <v>8</v>
      </c>
      <c r="K419" t="s">
        <v>446</v>
      </c>
      <c r="L419" t="s">
        <v>1676</v>
      </c>
      <c r="M419">
        <v>11</v>
      </c>
      <c r="N419" t="s">
        <v>34</v>
      </c>
      <c r="O419" t="s">
        <v>35</v>
      </c>
      <c r="Q419" t="s">
        <v>36</v>
      </c>
      <c r="R419">
        <v>20</v>
      </c>
      <c r="S419" t="s">
        <v>37</v>
      </c>
      <c r="T419" t="s">
        <v>164</v>
      </c>
      <c r="U419">
        <v>4</v>
      </c>
      <c r="V419" t="s">
        <v>39</v>
      </c>
      <c r="W419" t="s">
        <v>51</v>
      </c>
      <c r="X419" t="s">
        <v>109</v>
      </c>
      <c r="Y419" t="s">
        <v>42</v>
      </c>
    </row>
    <row r="420" spans="1:25">
      <c r="A420" t="s">
        <v>1677</v>
      </c>
      <c r="B420" t="s">
        <v>1678</v>
      </c>
      <c r="C420" t="s">
        <v>80</v>
      </c>
      <c r="D420">
        <v>66</v>
      </c>
      <c r="E420" t="s">
        <v>28</v>
      </c>
      <c r="F420" t="s">
        <v>29</v>
      </c>
      <c r="G420" t="s">
        <v>30</v>
      </c>
      <c r="H420" t="s">
        <v>236</v>
      </c>
      <c r="I420" t="s">
        <v>1658</v>
      </c>
      <c r="J420">
        <v>5</v>
      </c>
      <c r="K420" t="s">
        <v>236</v>
      </c>
      <c r="L420" t="s">
        <v>1307</v>
      </c>
      <c r="M420">
        <v>8</v>
      </c>
      <c r="N420" t="s">
        <v>34</v>
      </c>
      <c r="O420" t="s">
        <v>35</v>
      </c>
      <c r="Q420" t="s">
        <v>36</v>
      </c>
      <c r="R420">
        <v>35</v>
      </c>
      <c r="S420" t="s">
        <v>77</v>
      </c>
      <c r="T420" t="s">
        <v>69</v>
      </c>
      <c r="U420">
        <v>1</v>
      </c>
      <c r="V420" t="s">
        <v>70</v>
      </c>
      <c r="W420" t="s">
        <v>51</v>
      </c>
      <c r="X420" t="s">
        <v>109</v>
      </c>
      <c r="Y420" t="s">
        <v>53</v>
      </c>
    </row>
    <row r="421" spans="1:25">
      <c r="A421" t="s">
        <v>1679</v>
      </c>
      <c r="B421" t="s">
        <v>1680</v>
      </c>
      <c r="C421" t="s">
        <v>204</v>
      </c>
      <c r="D421">
        <v>13</v>
      </c>
      <c r="E421" t="s">
        <v>28</v>
      </c>
      <c r="F421" t="s">
        <v>29</v>
      </c>
      <c r="G421" t="s">
        <v>83</v>
      </c>
      <c r="H421" t="s">
        <v>1625</v>
      </c>
      <c r="I421" t="s">
        <v>1681</v>
      </c>
      <c r="J421">
        <v>5</v>
      </c>
      <c r="K421" t="s">
        <v>1626</v>
      </c>
      <c r="L421" t="s">
        <v>326</v>
      </c>
      <c r="M421">
        <v>12</v>
      </c>
      <c r="N421" t="s">
        <v>34</v>
      </c>
      <c r="O421" t="s">
        <v>35</v>
      </c>
      <c r="Q421" t="s">
        <v>36</v>
      </c>
      <c r="R421">
        <v>35</v>
      </c>
      <c r="S421" t="s">
        <v>77</v>
      </c>
      <c r="T421" t="s">
        <v>96</v>
      </c>
      <c r="U421">
        <v>1</v>
      </c>
      <c r="V421" t="s">
        <v>39</v>
      </c>
      <c r="W421" t="s">
        <v>165</v>
      </c>
      <c r="X421" t="s">
        <v>109</v>
      </c>
      <c r="Y421" t="s">
        <v>53</v>
      </c>
    </row>
    <row r="422" spans="1:25">
      <c r="A422" t="s">
        <v>1682</v>
      </c>
      <c r="B422" t="s">
        <v>1683</v>
      </c>
      <c r="C422" t="s">
        <v>80</v>
      </c>
      <c r="D422">
        <v>12</v>
      </c>
      <c r="E422" t="s">
        <v>92</v>
      </c>
      <c r="F422" t="s">
        <v>29</v>
      </c>
      <c r="G422" t="s">
        <v>168</v>
      </c>
      <c r="H422" t="s">
        <v>319</v>
      </c>
      <c r="I422" t="s">
        <v>1684</v>
      </c>
      <c r="J422">
        <v>24</v>
      </c>
      <c r="K422" t="s">
        <v>1685</v>
      </c>
      <c r="L422" t="s">
        <v>359</v>
      </c>
      <c r="M422">
        <v>25</v>
      </c>
      <c r="N422" t="s">
        <v>34</v>
      </c>
      <c r="O422" t="s">
        <v>270</v>
      </c>
      <c r="P422" t="s">
        <v>391</v>
      </c>
      <c r="Q422" t="s">
        <v>36</v>
      </c>
      <c r="R422">
        <v>50</v>
      </c>
      <c r="S422" t="s">
        <v>49</v>
      </c>
      <c r="T422" t="s">
        <v>88</v>
      </c>
      <c r="U422">
        <v>5</v>
      </c>
      <c r="V422" t="s">
        <v>62</v>
      </c>
      <c r="W422" t="s">
        <v>40</v>
      </c>
      <c r="X422" t="s">
        <v>52</v>
      </c>
      <c r="Y422" t="s">
        <v>53</v>
      </c>
    </row>
    <row r="423" spans="1:25">
      <c r="A423" t="s">
        <v>1686</v>
      </c>
      <c r="B423" t="s">
        <v>1687</v>
      </c>
      <c r="C423" t="s">
        <v>27</v>
      </c>
      <c r="D423">
        <v>56</v>
      </c>
      <c r="E423" t="s">
        <v>92</v>
      </c>
      <c r="F423" t="s">
        <v>29</v>
      </c>
      <c r="G423" t="s">
        <v>83</v>
      </c>
      <c r="H423" t="s">
        <v>572</v>
      </c>
      <c r="I423" t="s">
        <v>1688</v>
      </c>
      <c r="J423">
        <v>24</v>
      </c>
      <c r="K423" t="s">
        <v>300</v>
      </c>
      <c r="L423" t="s">
        <v>1488</v>
      </c>
      <c r="M423">
        <v>29</v>
      </c>
      <c r="N423" t="s">
        <v>34</v>
      </c>
      <c r="O423" t="s">
        <v>270</v>
      </c>
      <c r="P423" t="s">
        <v>677</v>
      </c>
      <c r="Q423" t="s">
        <v>36</v>
      </c>
      <c r="R423">
        <v>50</v>
      </c>
      <c r="S423" t="s">
        <v>37</v>
      </c>
      <c r="T423" t="s">
        <v>38</v>
      </c>
      <c r="U423">
        <v>3</v>
      </c>
      <c r="V423" t="s">
        <v>62</v>
      </c>
      <c r="W423" t="s">
        <v>51</v>
      </c>
      <c r="X423" t="s">
        <v>109</v>
      </c>
      <c r="Y423" t="s">
        <v>53</v>
      </c>
    </row>
    <row r="424" spans="1:25">
      <c r="A424" t="s">
        <v>1689</v>
      </c>
      <c r="B424" t="s">
        <v>1690</v>
      </c>
      <c r="C424" t="s">
        <v>27</v>
      </c>
      <c r="D424">
        <v>23</v>
      </c>
      <c r="E424" t="s">
        <v>81</v>
      </c>
      <c r="F424" t="s">
        <v>82</v>
      </c>
      <c r="G424" t="s">
        <v>83</v>
      </c>
      <c r="H424" t="s">
        <v>348</v>
      </c>
      <c r="I424" t="s">
        <v>1691</v>
      </c>
      <c r="J424">
        <v>8</v>
      </c>
      <c r="K424" t="s">
        <v>348</v>
      </c>
      <c r="L424" t="s">
        <v>897</v>
      </c>
      <c r="M424">
        <v>10</v>
      </c>
      <c r="N424" t="s">
        <v>34</v>
      </c>
      <c r="O424" t="s">
        <v>270</v>
      </c>
      <c r="P424" t="s">
        <v>620</v>
      </c>
      <c r="Q424" t="s">
        <v>36</v>
      </c>
      <c r="R424">
        <v>20</v>
      </c>
      <c r="S424" t="s">
        <v>77</v>
      </c>
      <c r="T424" t="s">
        <v>88</v>
      </c>
      <c r="U424">
        <v>5</v>
      </c>
      <c r="V424" t="s">
        <v>39</v>
      </c>
      <c r="W424" t="s">
        <v>165</v>
      </c>
      <c r="X424" t="s">
        <v>52</v>
      </c>
      <c r="Y424" t="s">
        <v>42</v>
      </c>
    </row>
    <row r="425" spans="1:25">
      <c r="A425" t="s">
        <v>1692</v>
      </c>
      <c r="B425" t="s">
        <v>1693</v>
      </c>
      <c r="C425" t="s">
        <v>56</v>
      </c>
      <c r="D425">
        <v>73</v>
      </c>
      <c r="E425" t="s">
        <v>173</v>
      </c>
      <c r="F425" t="s">
        <v>29</v>
      </c>
      <c r="G425" t="s">
        <v>168</v>
      </c>
      <c r="H425" t="s">
        <v>337</v>
      </c>
      <c r="I425" t="s">
        <v>233</v>
      </c>
      <c r="J425">
        <v>4</v>
      </c>
      <c r="K425" t="s">
        <v>337</v>
      </c>
      <c r="L425" t="s">
        <v>142</v>
      </c>
      <c r="M425">
        <v>12</v>
      </c>
      <c r="N425" t="s">
        <v>34</v>
      </c>
      <c r="O425" t="s">
        <v>35</v>
      </c>
      <c r="Q425" t="s">
        <v>36</v>
      </c>
      <c r="R425">
        <v>25</v>
      </c>
      <c r="S425" t="s">
        <v>49</v>
      </c>
      <c r="T425" t="s">
        <v>88</v>
      </c>
      <c r="U425">
        <v>1</v>
      </c>
      <c r="V425" t="s">
        <v>89</v>
      </c>
      <c r="W425" t="s">
        <v>103</v>
      </c>
      <c r="X425" t="s">
        <v>52</v>
      </c>
      <c r="Y425" t="s">
        <v>42</v>
      </c>
    </row>
    <row r="426" spans="1:25">
      <c r="A426" t="s">
        <v>1694</v>
      </c>
      <c r="B426" t="s">
        <v>1695</v>
      </c>
      <c r="C426" t="s">
        <v>80</v>
      </c>
      <c r="D426">
        <v>54</v>
      </c>
      <c r="E426" t="s">
        <v>92</v>
      </c>
      <c r="F426" t="s">
        <v>29</v>
      </c>
      <c r="G426" t="s">
        <v>58</v>
      </c>
      <c r="H426" t="s">
        <v>988</v>
      </c>
      <c r="I426" t="s">
        <v>292</v>
      </c>
      <c r="J426">
        <v>24</v>
      </c>
      <c r="K426" t="s">
        <v>1580</v>
      </c>
      <c r="L426" t="s">
        <v>268</v>
      </c>
      <c r="M426">
        <v>31</v>
      </c>
      <c r="N426" t="s">
        <v>34</v>
      </c>
      <c r="O426" t="s">
        <v>270</v>
      </c>
      <c r="P426" t="s">
        <v>677</v>
      </c>
      <c r="Q426" t="s">
        <v>36</v>
      </c>
      <c r="R426">
        <v>50</v>
      </c>
      <c r="S426" t="s">
        <v>77</v>
      </c>
      <c r="T426" t="s">
        <v>164</v>
      </c>
      <c r="U426">
        <v>3</v>
      </c>
      <c r="V426" t="s">
        <v>62</v>
      </c>
      <c r="W426" t="s">
        <v>165</v>
      </c>
      <c r="X426" t="s">
        <v>109</v>
      </c>
      <c r="Y426" t="s">
        <v>53</v>
      </c>
    </row>
    <row r="427" spans="1:25">
      <c r="A427" t="s">
        <v>1696</v>
      </c>
      <c r="B427" t="s">
        <v>1697</v>
      </c>
      <c r="C427" t="s">
        <v>56</v>
      </c>
      <c r="D427">
        <v>41</v>
      </c>
      <c r="E427" t="s">
        <v>57</v>
      </c>
      <c r="F427" t="s">
        <v>29</v>
      </c>
      <c r="G427" t="s">
        <v>150</v>
      </c>
      <c r="H427" t="s">
        <v>893</v>
      </c>
      <c r="I427" t="s">
        <v>1698</v>
      </c>
      <c r="J427">
        <v>3</v>
      </c>
      <c r="K427" t="s">
        <v>893</v>
      </c>
      <c r="L427" t="s">
        <v>1338</v>
      </c>
      <c r="M427">
        <v>8</v>
      </c>
      <c r="N427" t="s">
        <v>34</v>
      </c>
      <c r="O427" t="s">
        <v>35</v>
      </c>
      <c r="Q427" t="s">
        <v>36</v>
      </c>
      <c r="R427">
        <v>15</v>
      </c>
      <c r="S427" t="s">
        <v>77</v>
      </c>
      <c r="T427" t="s">
        <v>164</v>
      </c>
      <c r="U427">
        <v>4</v>
      </c>
      <c r="V427" t="s">
        <v>70</v>
      </c>
      <c r="W427" t="s">
        <v>103</v>
      </c>
      <c r="X427" t="s">
        <v>52</v>
      </c>
      <c r="Y427" t="s">
        <v>42</v>
      </c>
    </row>
    <row r="428" spans="1:25">
      <c r="A428" t="s">
        <v>1699</v>
      </c>
      <c r="B428" t="s">
        <v>1700</v>
      </c>
      <c r="C428" t="s">
        <v>80</v>
      </c>
      <c r="D428">
        <v>26</v>
      </c>
      <c r="E428" t="s">
        <v>28</v>
      </c>
      <c r="F428" t="s">
        <v>29</v>
      </c>
      <c r="G428" t="s">
        <v>168</v>
      </c>
      <c r="H428" t="s">
        <v>184</v>
      </c>
      <c r="I428" t="s">
        <v>1701</v>
      </c>
      <c r="J428">
        <v>5</v>
      </c>
      <c r="K428" t="s">
        <v>1092</v>
      </c>
      <c r="L428" t="s">
        <v>510</v>
      </c>
      <c r="M428">
        <v>12</v>
      </c>
      <c r="N428" t="s">
        <v>34</v>
      </c>
      <c r="O428" t="s">
        <v>35</v>
      </c>
      <c r="Q428" t="s">
        <v>36</v>
      </c>
      <c r="R428">
        <v>35</v>
      </c>
      <c r="S428" t="s">
        <v>37</v>
      </c>
      <c r="T428" t="s">
        <v>96</v>
      </c>
      <c r="U428">
        <v>1</v>
      </c>
      <c r="V428" t="s">
        <v>89</v>
      </c>
      <c r="W428" t="s">
        <v>165</v>
      </c>
      <c r="X428" t="s">
        <v>52</v>
      </c>
      <c r="Y428" t="s">
        <v>53</v>
      </c>
    </row>
    <row r="429" spans="1:25">
      <c r="A429" t="s">
        <v>1702</v>
      </c>
      <c r="B429" t="s">
        <v>1703</v>
      </c>
      <c r="C429" t="s">
        <v>27</v>
      </c>
      <c r="D429">
        <v>28</v>
      </c>
      <c r="E429" t="s">
        <v>28</v>
      </c>
      <c r="F429" t="s">
        <v>29</v>
      </c>
      <c r="G429" t="s">
        <v>168</v>
      </c>
      <c r="H429" t="s">
        <v>879</v>
      </c>
      <c r="I429" t="s">
        <v>1437</v>
      </c>
      <c r="J429">
        <v>5</v>
      </c>
      <c r="K429" t="s">
        <v>879</v>
      </c>
      <c r="L429" t="s">
        <v>1290</v>
      </c>
      <c r="M429">
        <v>5</v>
      </c>
      <c r="N429" t="s">
        <v>68</v>
      </c>
      <c r="O429" t="s">
        <v>35</v>
      </c>
      <c r="Q429" t="s">
        <v>36</v>
      </c>
      <c r="R429">
        <v>35</v>
      </c>
      <c r="S429" t="s">
        <v>49</v>
      </c>
      <c r="T429" t="s">
        <v>96</v>
      </c>
      <c r="U429">
        <v>1</v>
      </c>
      <c r="V429" t="s">
        <v>39</v>
      </c>
      <c r="W429" t="s">
        <v>103</v>
      </c>
      <c r="X429" t="s">
        <v>109</v>
      </c>
      <c r="Y429" t="s">
        <v>53</v>
      </c>
    </row>
    <row r="430" spans="1:25">
      <c r="A430" t="s">
        <v>1704</v>
      </c>
      <c r="B430" t="s">
        <v>1705</v>
      </c>
      <c r="C430" t="s">
        <v>56</v>
      </c>
      <c r="D430">
        <v>39</v>
      </c>
      <c r="E430" t="s">
        <v>149</v>
      </c>
      <c r="F430" t="s">
        <v>29</v>
      </c>
      <c r="G430" t="s">
        <v>83</v>
      </c>
      <c r="H430" t="s">
        <v>421</v>
      </c>
      <c r="I430" t="s">
        <v>633</v>
      </c>
      <c r="J430">
        <v>6</v>
      </c>
      <c r="K430" t="s">
        <v>106</v>
      </c>
      <c r="L430" t="s">
        <v>634</v>
      </c>
      <c r="M430">
        <v>13</v>
      </c>
      <c r="N430" t="s">
        <v>34</v>
      </c>
      <c r="O430" t="s">
        <v>35</v>
      </c>
      <c r="Q430" t="s">
        <v>36</v>
      </c>
      <c r="R430">
        <v>40</v>
      </c>
      <c r="S430" t="s">
        <v>37</v>
      </c>
      <c r="T430" t="s">
        <v>69</v>
      </c>
      <c r="U430">
        <v>1</v>
      </c>
      <c r="V430" t="s">
        <v>39</v>
      </c>
      <c r="W430" t="s">
        <v>103</v>
      </c>
      <c r="X430" t="s">
        <v>109</v>
      </c>
      <c r="Y430" t="s">
        <v>42</v>
      </c>
    </row>
    <row r="431" spans="1:25">
      <c r="A431" t="s">
        <v>1706</v>
      </c>
      <c r="B431" t="s">
        <v>1707</v>
      </c>
      <c r="C431" t="s">
        <v>204</v>
      </c>
      <c r="D431">
        <v>75</v>
      </c>
      <c r="E431" t="s">
        <v>173</v>
      </c>
      <c r="F431" t="s">
        <v>29</v>
      </c>
      <c r="G431" t="s">
        <v>150</v>
      </c>
      <c r="H431" t="s">
        <v>492</v>
      </c>
      <c r="I431" t="s">
        <v>1271</v>
      </c>
      <c r="J431">
        <v>4</v>
      </c>
      <c r="K431" t="s">
        <v>135</v>
      </c>
      <c r="L431" t="s">
        <v>1708</v>
      </c>
      <c r="M431">
        <v>11</v>
      </c>
      <c r="N431" t="s">
        <v>34</v>
      </c>
      <c r="O431" t="s">
        <v>35</v>
      </c>
      <c r="Q431" t="s">
        <v>36</v>
      </c>
      <c r="R431">
        <v>25</v>
      </c>
      <c r="S431" t="s">
        <v>77</v>
      </c>
      <c r="T431" t="s">
        <v>88</v>
      </c>
      <c r="U431">
        <v>3</v>
      </c>
      <c r="V431" t="s">
        <v>89</v>
      </c>
      <c r="W431" t="s">
        <v>165</v>
      </c>
      <c r="X431" t="s">
        <v>109</v>
      </c>
      <c r="Y431" t="s">
        <v>71</v>
      </c>
    </row>
    <row r="432" spans="1:25">
      <c r="A432" t="s">
        <v>1709</v>
      </c>
      <c r="B432" t="s">
        <v>1710</v>
      </c>
      <c r="C432" t="s">
        <v>204</v>
      </c>
      <c r="D432">
        <v>18</v>
      </c>
      <c r="E432" t="s">
        <v>57</v>
      </c>
      <c r="F432" t="s">
        <v>29</v>
      </c>
      <c r="G432" t="s">
        <v>45</v>
      </c>
      <c r="H432" t="s">
        <v>544</v>
      </c>
      <c r="I432" t="s">
        <v>729</v>
      </c>
      <c r="J432">
        <v>3</v>
      </c>
      <c r="K432" t="s">
        <v>544</v>
      </c>
      <c r="L432" t="s">
        <v>1711</v>
      </c>
      <c r="M432">
        <v>5</v>
      </c>
      <c r="N432" t="s">
        <v>34</v>
      </c>
      <c r="O432" t="s">
        <v>35</v>
      </c>
      <c r="Q432" t="s">
        <v>36</v>
      </c>
      <c r="R432">
        <v>15</v>
      </c>
      <c r="S432" t="s">
        <v>49</v>
      </c>
      <c r="T432" t="s">
        <v>69</v>
      </c>
      <c r="U432">
        <v>4</v>
      </c>
      <c r="V432" t="s">
        <v>89</v>
      </c>
      <c r="W432" t="s">
        <v>51</v>
      </c>
      <c r="X432" t="s">
        <v>109</v>
      </c>
      <c r="Y432" t="s">
        <v>71</v>
      </c>
    </row>
    <row r="433" spans="1:25">
      <c r="A433" t="s">
        <v>1712</v>
      </c>
      <c r="B433" t="s">
        <v>1713</v>
      </c>
      <c r="C433" t="s">
        <v>204</v>
      </c>
      <c r="D433">
        <v>18</v>
      </c>
      <c r="E433" t="s">
        <v>149</v>
      </c>
      <c r="F433" t="s">
        <v>29</v>
      </c>
      <c r="G433" t="s">
        <v>30</v>
      </c>
      <c r="H433" t="s">
        <v>1177</v>
      </c>
      <c r="I433" t="s">
        <v>1549</v>
      </c>
      <c r="J433">
        <v>6</v>
      </c>
      <c r="K433" t="s">
        <v>1177</v>
      </c>
      <c r="L433" t="s">
        <v>894</v>
      </c>
      <c r="M433">
        <v>11</v>
      </c>
      <c r="N433" t="s">
        <v>34</v>
      </c>
      <c r="O433" t="s">
        <v>35</v>
      </c>
      <c r="Q433" t="s">
        <v>36</v>
      </c>
      <c r="R433">
        <v>40</v>
      </c>
      <c r="S433" t="s">
        <v>77</v>
      </c>
      <c r="T433" t="s">
        <v>50</v>
      </c>
      <c r="U433">
        <v>5</v>
      </c>
      <c r="V433" t="s">
        <v>39</v>
      </c>
      <c r="W433" t="s">
        <v>51</v>
      </c>
      <c r="X433" t="s">
        <v>41</v>
      </c>
      <c r="Y433" t="s">
        <v>71</v>
      </c>
    </row>
    <row r="434" spans="1:25">
      <c r="A434" t="s">
        <v>1714</v>
      </c>
      <c r="B434" t="s">
        <v>1715</v>
      </c>
      <c r="C434" t="s">
        <v>56</v>
      </c>
      <c r="D434">
        <v>90</v>
      </c>
      <c r="E434" t="s">
        <v>57</v>
      </c>
      <c r="F434" t="s">
        <v>29</v>
      </c>
      <c r="G434" t="s">
        <v>58</v>
      </c>
      <c r="H434" t="s">
        <v>473</v>
      </c>
      <c r="I434" t="s">
        <v>1716</v>
      </c>
      <c r="J434">
        <v>3</v>
      </c>
      <c r="K434" t="s">
        <v>473</v>
      </c>
      <c r="L434" t="s">
        <v>1717</v>
      </c>
      <c r="M434">
        <v>8</v>
      </c>
      <c r="N434" t="s">
        <v>34</v>
      </c>
      <c r="O434" t="s">
        <v>35</v>
      </c>
      <c r="Q434" t="s">
        <v>36</v>
      </c>
      <c r="R434">
        <v>15</v>
      </c>
      <c r="S434" t="s">
        <v>77</v>
      </c>
      <c r="T434" t="s">
        <v>88</v>
      </c>
      <c r="U434">
        <v>1</v>
      </c>
      <c r="V434" t="s">
        <v>39</v>
      </c>
      <c r="W434" t="s">
        <v>165</v>
      </c>
      <c r="X434" t="s">
        <v>41</v>
      </c>
      <c r="Y434" t="s">
        <v>71</v>
      </c>
    </row>
    <row r="435" spans="1:25">
      <c r="A435" t="s">
        <v>1718</v>
      </c>
      <c r="B435" t="s">
        <v>1719</v>
      </c>
      <c r="C435" t="s">
        <v>56</v>
      </c>
      <c r="D435">
        <v>83</v>
      </c>
      <c r="E435" t="s">
        <v>149</v>
      </c>
      <c r="F435" t="s">
        <v>29</v>
      </c>
      <c r="G435" t="s">
        <v>45</v>
      </c>
      <c r="H435" t="s">
        <v>602</v>
      </c>
      <c r="I435" t="s">
        <v>1720</v>
      </c>
      <c r="J435">
        <v>6</v>
      </c>
      <c r="K435" t="s">
        <v>602</v>
      </c>
      <c r="L435" t="s">
        <v>1721</v>
      </c>
      <c r="M435">
        <v>5</v>
      </c>
      <c r="N435" t="s">
        <v>68</v>
      </c>
      <c r="O435" t="s">
        <v>35</v>
      </c>
      <c r="Q435" t="s">
        <v>36</v>
      </c>
      <c r="R435">
        <v>40</v>
      </c>
      <c r="S435" t="s">
        <v>37</v>
      </c>
      <c r="T435" t="s">
        <v>50</v>
      </c>
      <c r="U435">
        <v>2</v>
      </c>
      <c r="V435" t="s">
        <v>70</v>
      </c>
      <c r="W435" t="s">
        <v>40</v>
      </c>
      <c r="X435" t="s">
        <v>109</v>
      </c>
      <c r="Y435" t="s">
        <v>53</v>
      </c>
    </row>
    <row r="436" spans="1:25">
      <c r="A436" t="s">
        <v>1722</v>
      </c>
      <c r="B436" t="s">
        <v>1723</v>
      </c>
      <c r="C436" t="s">
        <v>80</v>
      </c>
      <c r="D436">
        <v>77</v>
      </c>
      <c r="E436" t="s">
        <v>92</v>
      </c>
      <c r="F436" t="s">
        <v>29</v>
      </c>
      <c r="G436" t="s">
        <v>93</v>
      </c>
      <c r="H436" t="s">
        <v>1027</v>
      </c>
      <c r="I436" t="s">
        <v>275</v>
      </c>
      <c r="J436">
        <v>24</v>
      </c>
      <c r="K436" t="s">
        <v>803</v>
      </c>
      <c r="L436" t="s">
        <v>269</v>
      </c>
      <c r="M436">
        <v>32</v>
      </c>
      <c r="N436" t="s">
        <v>34</v>
      </c>
      <c r="O436" t="s">
        <v>35</v>
      </c>
      <c r="Q436" t="s">
        <v>132</v>
      </c>
      <c r="R436">
        <v>50</v>
      </c>
      <c r="S436" t="s">
        <v>37</v>
      </c>
      <c r="T436" t="s">
        <v>50</v>
      </c>
      <c r="U436">
        <v>1</v>
      </c>
      <c r="V436" t="s">
        <v>39</v>
      </c>
      <c r="W436" t="s">
        <v>103</v>
      </c>
      <c r="X436" t="s">
        <v>109</v>
      </c>
      <c r="Y436" t="s">
        <v>42</v>
      </c>
    </row>
    <row r="437" spans="1:25">
      <c r="A437" t="s">
        <v>1724</v>
      </c>
      <c r="B437" t="s">
        <v>1725</v>
      </c>
      <c r="C437" t="s">
        <v>204</v>
      </c>
      <c r="D437">
        <v>28</v>
      </c>
      <c r="E437" t="s">
        <v>28</v>
      </c>
      <c r="F437" t="s">
        <v>29</v>
      </c>
      <c r="G437" t="s">
        <v>30</v>
      </c>
      <c r="H437" t="s">
        <v>213</v>
      </c>
      <c r="I437" t="s">
        <v>619</v>
      </c>
      <c r="J437">
        <v>5</v>
      </c>
      <c r="K437" t="s">
        <v>213</v>
      </c>
      <c r="L437" t="s">
        <v>1726</v>
      </c>
      <c r="M437">
        <v>10</v>
      </c>
      <c r="N437" t="s">
        <v>34</v>
      </c>
      <c r="O437" t="s">
        <v>35</v>
      </c>
      <c r="Q437" t="s">
        <v>36</v>
      </c>
      <c r="R437">
        <v>35</v>
      </c>
      <c r="S437" t="s">
        <v>77</v>
      </c>
      <c r="T437" t="s">
        <v>96</v>
      </c>
      <c r="U437">
        <v>2</v>
      </c>
      <c r="V437" t="s">
        <v>89</v>
      </c>
      <c r="W437" t="s">
        <v>40</v>
      </c>
      <c r="X437" t="s">
        <v>52</v>
      </c>
      <c r="Y437" t="s">
        <v>42</v>
      </c>
    </row>
    <row r="438" spans="1:25">
      <c r="A438" t="s">
        <v>1727</v>
      </c>
      <c r="B438" t="s">
        <v>1728</v>
      </c>
      <c r="C438" t="s">
        <v>204</v>
      </c>
      <c r="D438">
        <v>23</v>
      </c>
      <c r="E438" t="s">
        <v>81</v>
      </c>
      <c r="F438" t="s">
        <v>82</v>
      </c>
      <c r="G438" t="s">
        <v>168</v>
      </c>
      <c r="H438" t="s">
        <v>473</v>
      </c>
      <c r="I438" t="s">
        <v>1047</v>
      </c>
      <c r="J438">
        <v>8</v>
      </c>
      <c r="K438" t="s">
        <v>473</v>
      </c>
      <c r="L438" t="s">
        <v>1729</v>
      </c>
      <c r="M438">
        <v>9</v>
      </c>
      <c r="N438" t="s">
        <v>34</v>
      </c>
      <c r="O438" t="s">
        <v>35</v>
      </c>
      <c r="Q438" t="s">
        <v>132</v>
      </c>
      <c r="R438">
        <v>20</v>
      </c>
      <c r="S438" t="s">
        <v>49</v>
      </c>
      <c r="T438" t="s">
        <v>38</v>
      </c>
      <c r="U438">
        <v>4</v>
      </c>
      <c r="V438" t="s">
        <v>70</v>
      </c>
      <c r="W438" t="s">
        <v>103</v>
      </c>
      <c r="X438" t="s">
        <v>41</v>
      </c>
      <c r="Y438" t="s">
        <v>53</v>
      </c>
    </row>
    <row r="439" spans="1:25">
      <c r="A439" t="s">
        <v>1730</v>
      </c>
      <c r="B439" t="s">
        <v>1731</v>
      </c>
      <c r="C439" t="s">
        <v>27</v>
      </c>
      <c r="D439">
        <v>20</v>
      </c>
      <c r="E439" t="s">
        <v>81</v>
      </c>
      <c r="F439" t="s">
        <v>82</v>
      </c>
      <c r="G439" t="s">
        <v>83</v>
      </c>
      <c r="H439" t="s">
        <v>526</v>
      </c>
      <c r="I439" t="s">
        <v>1618</v>
      </c>
      <c r="J439">
        <v>8</v>
      </c>
      <c r="K439" t="s">
        <v>526</v>
      </c>
      <c r="L439" t="s">
        <v>1324</v>
      </c>
      <c r="M439">
        <v>8</v>
      </c>
      <c r="N439" t="s">
        <v>68</v>
      </c>
      <c r="O439" t="s">
        <v>35</v>
      </c>
      <c r="Q439" t="s">
        <v>36</v>
      </c>
      <c r="R439">
        <v>20</v>
      </c>
      <c r="S439" t="s">
        <v>49</v>
      </c>
      <c r="T439" t="s">
        <v>50</v>
      </c>
      <c r="U439">
        <v>1</v>
      </c>
      <c r="V439" t="s">
        <v>70</v>
      </c>
      <c r="W439" t="s">
        <v>51</v>
      </c>
      <c r="X439" t="s">
        <v>52</v>
      </c>
      <c r="Y439" t="s">
        <v>71</v>
      </c>
    </row>
    <row r="440" spans="1:25">
      <c r="A440" t="s">
        <v>1732</v>
      </c>
      <c r="B440" t="s">
        <v>1733</v>
      </c>
      <c r="C440" t="s">
        <v>204</v>
      </c>
      <c r="D440">
        <v>46</v>
      </c>
      <c r="E440" t="s">
        <v>149</v>
      </c>
      <c r="F440" t="s">
        <v>29</v>
      </c>
      <c r="G440" t="s">
        <v>83</v>
      </c>
      <c r="H440" t="s">
        <v>1248</v>
      </c>
      <c r="I440" t="s">
        <v>916</v>
      </c>
      <c r="J440">
        <v>6</v>
      </c>
      <c r="K440" t="s">
        <v>1248</v>
      </c>
      <c r="L440" t="s">
        <v>1734</v>
      </c>
      <c r="M440">
        <v>9</v>
      </c>
      <c r="N440" t="s">
        <v>34</v>
      </c>
      <c r="O440" t="s">
        <v>35</v>
      </c>
      <c r="Q440" t="s">
        <v>36</v>
      </c>
      <c r="R440">
        <v>40</v>
      </c>
      <c r="S440" t="s">
        <v>77</v>
      </c>
      <c r="T440" t="s">
        <v>38</v>
      </c>
      <c r="U440">
        <v>5</v>
      </c>
      <c r="V440" t="s">
        <v>62</v>
      </c>
      <c r="W440" t="s">
        <v>165</v>
      </c>
      <c r="X440" t="s">
        <v>109</v>
      </c>
      <c r="Y440" t="s">
        <v>71</v>
      </c>
    </row>
    <row r="441" spans="1:25">
      <c r="A441" t="s">
        <v>1735</v>
      </c>
      <c r="B441" t="s">
        <v>1736</v>
      </c>
      <c r="C441" t="s">
        <v>80</v>
      </c>
      <c r="D441">
        <v>20</v>
      </c>
      <c r="E441" t="s">
        <v>81</v>
      </c>
      <c r="F441" t="s">
        <v>82</v>
      </c>
      <c r="G441" t="s">
        <v>30</v>
      </c>
      <c r="H441" t="s">
        <v>396</v>
      </c>
      <c r="I441" t="s">
        <v>1737</v>
      </c>
      <c r="J441">
        <v>8</v>
      </c>
      <c r="K441" t="s">
        <v>396</v>
      </c>
      <c r="L441" t="s">
        <v>1738</v>
      </c>
      <c r="M441">
        <v>10</v>
      </c>
      <c r="N441" t="s">
        <v>34</v>
      </c>
      <c r="O441" t="s">
        <v>35</v>
      </c>
      <c r="Q441" t="s">
        <v>36</v>
      </c>
      <c r="R441">
        <v>20</v>
      </c>
      <c r="S441" t="s">
        <v>37</v>
      </c>
      <c r="T441" t="s">
        <v>88</v>
      </c>
      <c r="U441">
        <v>4</v>
      </c>
      <c r="V441" t="s">
        <v>62</v>
      </c>
      <c r="W441" t="s">
        <v>40</v>
      </c>
      <c r="X441" t="s">
        <v>109</v>
      </c>
      <c r="Y441" t="s">
        <v>53</v>
      </c>
    </row>
    <row r="442" spans="1:25">
      <c r="A442" t="s">
        <v>1739</v>
      </c>
      <c r="B442" t="s">
        <v>1740</v>
      </c>
      <c r="C442" t="s">
        <v>56</v>
      </c>
      <c r="D442">
        <v>7</v>
      </c>
      <c r="E442" t="s">
        <v>28</v>
      </c>
      <c r="F442" t="s">
        <v>29</v>
      </c>
      <c r="G442" t="s">
        <v>30</v>
      </c>
      <c r="H442" t="s">
        <v>1440</v>
      </c>
      <c r="I442" t="s">
        <v>1720</v>
      </c>
      <c r="J442">
        <v>5</v>
      </c>
      <c r="K442" t="s">
        <v>1440</v>
      </c>
      <c r="L442" t="s">
        <v>1741</v>
      </c>
      <c r="M442">
        <v>11</v>
      </c>
      <c r="N442" t="s">
        <v>34</v>
      </c>
      <c r="O442" t="s">
        <v>35</v>
      </c>
      <c r="Q442" t="s">
        <v>36</v>
      </c>
      <c r="R442">
        <v>35</v>
      </c>
      <c r="S442" t="s">
        <v>49</v>
      </c>
      <c r="T442" t="s">
        <v>96</v>
      </c>
      <c r="U442">
        <v>1</v>
      </c>
      <c r="V442" t="s">
        <v>89</v>
      </c>
      <c r="W442" t="s">
        <v>103</v>
      </c>
      <c r="X442" t="s">
        <v>41</v>
      </c>
      <c r="Y442" t="s">
        <v>42</v>
      </c>
    </row>
    <row r="443" spans="1:25">
      <c r="A443" t="s">
        <v>1742</v>
      </c>
      <c r="B443" t="s">
        <v>1743</v>
      </c>
      <c r="C443" t="s">
        <v>204</v>
      </c>
      <c r="D443">
        <v>64</v>
      </c>
      <c r="E443" t="s">
        <v>28</v>
      </c>
      <c r="F443" t="s">
        <v>29</v>
      </c>
      <c r="G443" t="s">
        <v>45</v>
      </c>
      <c r="H443" t="s">
        <v>513</v>
      </c>
      <c r="I443" t="s">
        <v>1744</v>
      </c>
      <c r="J443">
        <v>5</v>
      </c>
      <c r="K443" t="s">
        <v>513</v>
      </c>
      <c r="L443" t="s">
        <v>1745</v>
      </c>
      <c r="M443">
        <v>12</v>
      </c>
      <c r="N443" t="s">
        <v>34</v>
      </c>
      <c r="O443" t="s">
        <v>35</v>
      </c>
      <c r="Q443" t="s">
        <v>36</v>
      </c>
      <c r="R443">
        <v>35</v>
      </c>
      <c r="S443" t="s">
        <v>77</v>
      </c>
      <c r="T443" t="s">
        <v>69</v>
      </c>
      <c r="U443">
        <v>3</v>
      </c>
      <c r="V443" t="s">
        <v>62</v>
      </c>
      <c r="W443" t="s">
        <v>103</v>
      </c>
      <c r="X443" t="s">
        <v>52</v>
      </c>
      <c r="Y443" t="s">
        <v>42</v>
      </c>
    </row>
    <row r="444" spans="1:25">
      <c r="A444" t="s">
        <v>1746</v>
      </c>
      <c r="B444" t="s">
        <v>1747</v>
      </c>
      <c r="C444" t="s">
        <v>56</v>
      </c>
      <c r="D444">
        <v>18</v>
      </c>
      <c r="E444" t="s">
        <v>92</v>
      </c>
      <c r="F444" t="s">
        <v>29</v>
      </c>
      <c r="G444" t="s">
        <v>93</v>
      </c>
      <c r="H444" t="s">
        <v>1748</v>
      </c>
      <c r="I444" t="s">
        <v>422</v>
      </c>
      <c r="J444">
        <v>24</v>
      </c>
      <c r="K444" t="s">
        <v>1170</v>
      </c>
      <c r="L444" t="s">
        <v>1676</v>
      </c>
      <c r="M444">
        <v>31</v>
      </c>
      <c r="N444" t="s">
        <v>34</v>
      </c>
      <c r="O444" t="s">
        <v>35</v>
      </c>
      <c r="Q444" t="s">
        <v>36</v>
      </c>
      <c r="R444">
        <v>50</v>
      </c>
      <c r="S444" t="s">
        <v>77</v>
      </c>
      <c r="T444" t="s">
        <v>69</v>
      </c>
      <c r="U444">
        <v>3</v>
      </c>
      <c r="V444" t="s">
        <v>62</v>
      </c>
      <c r="W444" t="s">
        <v>40</v>
      </c>
      <c r="X444" t="s">
        <v>52</v>
      </c>
      <c r="Y444" t="s">
        <v>42</v>
      </c>
    </row>
    <row r="445" spans="1:25">
      <c r="A445" t="s">
        <v>1749</v>
      </c>
      <c r="B445" t="s">
        <v>1750</v>
      </c>
      <c r="C445" t="s">
        <v>80</v>
      </c>
      <c r="D445">
        <v>22</v>
      </c>
      <c r="E445" t="s">
        <v>173</v>
      </c>
      <c r="F445" t="s">
        <v>29</v>
      </c>
      <c r="G445" t="s">
        <v>83</v>
      </c>
      <c r="H445" t="s">
        <v>707</v>
      </c>
      <c r="I445" t="s">
        <v>1751</v>
      </c>
      <c r="J445">
        <v>4</v>
      </c>
      <c r="K445" t="s">
        <v>707</v>
      </c>
      <c r="L445" t="s">
        <v>1752</v>
      </c>
      <c r="M445">
        <v>9</v>
      </c>
      <c r="N445" t="s">
        <v>34</v>
      </c>
      <c r="O445" t="s">
        <v>270</v>
      </c>
      <c r="P445" t="s">
        <v>271</v>
      </c>
      <c r="Q445" t="s">
        <v>36</v>
      </c>
      <c r="R445">
        <v>25</v>
      </c>
      <c r="S445" t="s">
        <v>49</v>
      </c>
      <c r="T445" t="s">
        <v>88</v>
      </c>
      <c r="U445">
        <v>3</v>
      </c>
      <c r="V445" t="s">
        <v>39</v>
      </c>
      <c r="W445" t="s">
        <v>40</v>
      </c>
      <c r="X445" t="s">
        <v>109</v>
      </c>
      <c r="Y445" t="s">
        <v>42</v>
      </c>
    </row>
    <row r="446" spans="1:25">
      <c r="A446" t="s">
        <v>1753</v>
      </c>
      <c r="B446" t="s">
        <v>1754</v>
      </c>
      <c r="C446" t="s">
        <v>80</v>
      </c>
      <c r="D446">
        <v>70</v>
      </c>
      <c r="E446" t="s">
        <v>92</v>
      </c>
      <c r="F446" t="s">
        <v>29</v>
      </c>
      <c r="G446" t="s">
        <v>30</v>
      </c>
      <c r="H446" t="s">
        <v>394</v>
      </c>
      <c r="I446" t="s">
        <v>681</v>
      </c>
      <c r="J446">
        <v>24</v>
      </c>
      <c r="K446" t="s">
        <v>396</v>
      </c>
      <c r="L446" t="s">
        <v>1755</v>
      </c>
      <c r="M446">
        <v>27</v>
      </c>
      <c r="N446" t="s">
        <v>34</v>
      </c>
      <c r="O446" t="s">
        <v>35</v>
      </c>
      <c r="Q446" t="s">
        <v>36</v>
      </c>
      <c r="R446">
        <v>50</v>
      </c>
      <c r="S446" t="s">
        <v>77</v>
      </c>
      <c r="T446" t="s">
        <v>96</v>
      </c>
      <c r="U446">
        <v>5</v>
      </c>
      <c r="V446" t="s">
        <v>70</v>
      </c>
      <c r="W446" t="s">
        <v>40</v>
      </c>
      <c r="X446" t="s">
        <v>41</v>
      </c>
      <c r="Y446" t="s">
        <v>71</v>
      </c>
    </row>
    <row r="447" spans="1:25">
      <c r="A447" t="s">
        <v>1756</v>
      </c>
      <c r="B447" t="s">
        <v>1757</v>
      </c>
      <c r="C447" t="s">
        <v>56</v>
      </c>
      <c r="D447">
        <v>59</v>
      </c>
      <c r="E447" t="s">
        <v>57</v>
      </c>
      <c r="F447" t="s">
        <v>29</v>
      </c>
      <c r="G447" t="s">
        <v>58</v>
      </c>
      <c r="H447" t="s">
        <v>879</v>
      </c>
      <c r="I447" t="s">
        <v>1225</v>
      </c>
      <c r="J447">
        <v>3</v>
      </c>
      <c r="K447" t="s">
        <v>879</v>
      </c>
      <c r="L447" t="s">
        <v>275</v>
      </c>
      <c r="M447">
        <v>4</v>
      </c>
      <c r="N447" t="s">
        <v>34</v>
      </c>
      <c r="O447" t="s">
        <v>35</v>
      </c>
      <c r="Q447" t="s">
        <v>36</v>
      </c>
      <c r="R447">
        <v>15</v>
      </c>
      <c r="S447" t="s">
        <v>49</v>
      </c>
      <c r="T447" t="s">
        <v>164</v>
      </c>
      <c r="U447">
        <v>1</v>
      </c>
      <c r="V447" t="s">
        <v>39</v>
      </c>
      <c r="W447" t="s">
        <v>51</v>
      </c>
      <c r="X447" t="s">
        <v>52</v>
      </c>
      <c r="Y447" t="s">
        <v>42</v>
      </c>
    </row>
    <row r="448" spans="1:25">
      <c r="A448" t="s">
        <v>1758</v>
      </c>
      <c r="B448" t="s">
        <v>1759</v>
      </c>
      <c r="C448" t="s">
        <v>27</v>
      </c>
      <c r="D448">
        <v>7</v>
      </c>
      <c r="E448" t="s">
        <v>173</v>
      </c>
      <c r="F448" t="s">
        <v>29</v>
      </c>
      <c r="G448" t="s">
        <v>168</v>
      </c>
      <c r="H448" t="s">
        <v>407</v>
      </c>
      <c r="I448" t="s">
        <v>1760</v>
      </c>
      <c r="J448">
        <v>4</v>
      </c>
      <c r="K448" t="s">
        <v>407</v>
      </c>
      <c r="L448" t="s">
        <v>1599</v>
      </c>
      <c r="M448">
        <v>6</v>
      </c>
      <c r="N448" t="s">
        <v>34</v>
      </c>
      <c r="O448" t="s">
        <v>270</v>
      </c>
      <c r="P448" t="s">
        <v>271</v>
      </c>
      <c r="Q448" t="s">
        <v>36</v>
      </c>
      <c r="R448">
        <v>25</v>
      </c>
      <c r="S448" t="s">
        <v>49</v>
      </c>
      <c r="T448" t="s">
        <v>96</v>
      </c>
      <c r="U448">
        <v>3</v>
      </c>
      <c r="V448" t="s">
        <v>89</v>
      </c>
      <c r="W448" t="s">
        <v>103</v>
      </c>
      <c r="X448" t="s">
        <v>41</v>
      </c>
      <c r="Y448" t="s">
        <v>42</v>
      </c>
    </row>
    <row r="449" spans="1:25">
      <c r="A449" t="s">
        <v>1761</v>
      </c>
      <c r="B449" t="s">
        <v>1762</v>
      </c>
      <c r="C449" t="s">
        <v>56</v>
      </c>
      <c r="D449">
        <v>58</v>
      </c>
      <c r="E449" t="s">
        <v>28</v>
      </c>
      <c r="F449" t="s">
        <v>29</v>
      </c>
      <c r="G449" t="s">
        <v>150</v>
      </c>
      <c r="H449" t="s">
        <v>1557</v>
      </c>
      <c r="I449" t="s">
        <v>1040</v>
      </c>
      <c r="J449">
        <v>5</v>
      </c>
      <c r="K449" t="s">
        <v>388</v>
      </c>
      <c r="L449" t="s">
        <v>1763</v>
      </c>
      <c r="M449">
        <v>9</v>
      </c>
      <c r="N449" t="s">
        <v>34</v>
      </c>
      <c r="O449" t="s">
        <v>35</v>
      </c>
      <c r="Q449" t="s">
        <v>36</v>
      </c>
      <c r="R449">
        <v>35</v>
      </c>
      <c r="S449" t="s">
        <v>37</v>
      </c>
      <c r="T449" t="s">
        <v>164</v>
      </c>
      <c r="U449">
        <v>5</v>
      </c>
      <c r="V449" t="s">
        <v>62</v>
      </c>
      <c r="W449" t="s">
        <v>51</v>
      </c>
      <c r="X449" t="s">
        <v>52</v>
      </c>
      <c r="Y449" t="s">
        <v>71</v>
      </c>
    </row>
    <row r="450" spans="1:25">
      <c r="A450" t="s">
        <v>1764</v>
      </c>
      <c r="B450" t="s">
        <v>1765</v>
      </c>
      <c r="C450" t="s">
        <v>80</v>
      </c>
      <c r="D450">
        <v>150</v>
      </c>
      <c r="E450" t="s">
        <v>57</v>
      </c>
      <c r="F450" t="s">
        <v>29</v>
      </c>
      <c r="G450" t="s">
        <v>58</v>
      </c>
      <c r="H450" t="s">
        <v>1283</v>
      </c>
      <c r="I450" t="s">
        <v>1766</v>
      </c>
      <c r="J450">
        <v>3</v>
      </c>
      <c r="K450" t="s">
        <v>1283</v>
      </c>
      <c r="L450" t="s">
        <v>1767</v>
      </c>
      <c r="M450">
        <v>9</v>
      </c>
      <c r="N450" t="s">
        <v>34</v>
      </c>
      <c r="O450" t="s">
        <v>35</v>
      </c>
      <c r="Q450" t="s">
        <v>36</v>
      </c>
      <c r="R450">
        <v>15</v>
      </c>
      <c r="S450" t="s">
        <v>37</v>
      </c>
      <c r="T450" t="s">
        <v>88</v>
      </c>
      <c r="U450">
        <v>5</v>
      </c>
      <c r="V450" t="s">
        <v>39</v>
      </c>
      <c r="W450" t="s">
        <v>103</v>
      </c>
      <c r="X450" t="s">
        <v>109</v>
      </c>
      <c r="Y450" t="s">
        <v>71</v>
      </c>
    </row>
    <row r="451" spans="1:25">
      <c r="A451" t="s">
        <v>1768</v>
      </c>
      <c r="B451" t="s">
        <v>1769</v>
      </c>
      <c r="C451" t="s">
        <v>204</v>
      </c>
      <c r="D451">
        <v>53</v>
      </c>
      <c r="E451" t="s">
        <v>173</v>
      </c>
      <c r="F451" t="s">
        <v>29</v>
      </c>
      <c r="G451" t="s">
        <v>168</v>
      </c>
      <c r="H451" t="s">
        <v>615</v>
      </c>
      <c r="I451" t="s">
        <v>543</v>
      </c>
      <c r="J451">
        <v>4</v>
      </c>
      <c r="K451" t="s">
        <v>232</v>
      </c>
      <c r="L451" t="s">
        <v>1770</v>
      </c>
      <c r="M451">
        <v>8</v>
      </c>
      <c r="N451" t="s">
        <v>34</v>
      </c>
      <c r="O451" t="s">
        <v>35</v>
      </c>
      <c r="Q451" t="s">
        <v>36</v>
      </c>
      <c r="R451">
        <v>25</v>
      </c>
      <c r="S451" t="s">
        <v>37</v>
      </c>
      <c r="T451" t="s">
        <v>164</v>
      </c>
      <c r="U451">
        <v>2</v>
      </c>
      <c r="V451" t="s">
        <v>62</v>
      </c>
      <c r="W451" t="s">
        <v>165</v>
      </c>
      <c r="X451" t="s">
        <v>109</v>
      </c>
      <c r="Y451" t="s">
        <v>42</v>
      </c>
    </row>
    <row r="452" spans="1:25">
      <c r="A452" t="s">
        <v>1771</v>
      </c>
      <c r="B452" t="s">
        <v>1772</v>
      </c>
      <c r="C452" t="s">
        <v>27</v>
      </c>
      <c r="D452">
        <v>71</v>
      </c>
      <c r="E452" t="s">
        <v>81</v>
      </c>
      <c r="F452" t="s">
        <v>82</v>
      </c>
      <c r="G452" t="s">
        <v>83</v>
      </c>
      <c r="H452" t="s">
        <v>153</v>
      </c>
      <c r="I452" t="s">
        <v>1773</v>
      </c>
      <c r="J452">
        <v>8</v>
      </c>
      <c r="K452" t="s">
        <v>153</v>
      </c>
      <c r="L452" t="s">
        <v>1774</v>
      </c>
      <c r="M452">
        <v>7</v>
      </c>
      <c r="N452" t="s">
        <v>68</v>
      </c>
      <c r="O452" t="s">
        <v>35</v>
      </c>
      <c r="Q452" t="s">
        <v>36</v>
      </c>
      <c r="R452">
        <v>20</v>
      </c>
      <c r="S452" t="s">
        <v>77</v>
      </c>
      <c r="T452" t="s">
        <v>69</v>
      </c>
      <c r="U452">
        <v>2</v>
      </c>
      <c r="V452" t="s">
        <v>62</v>
      </c>
      <c r="W452" t="s">
        <v>103</v>
      </c>
      <c r="X452" t="s">
        <v>52</v>
      </c>
      <c r="Y452" t="s">
        <v>53</v>
      </c>
    </row>
    <row r="453" spans="1:25">
      <c r="A453" t="s">
        <v>1775</v>
      </c>
      <c r="B453" t="s">
        <v>1776</v>
      </c>
      <c r="C453" t="s">
        <v>204</v>
      </c>
      <c r="D453">
        <v>47</v>
      </c>
      <c r="E453" t="s">
        <v>149</v>
      </c>
      <c r="F453" t="s">
        <v>29</v>
      </c>
      <c r="G453" t="s">
        <v>83</v>
      </c>
      <c r="H453" t="s">
        <v>700</v>
      </c>
      <c r="I453" t="s">
        <v>1777</v>
      </c>
      <c r="J453">
        <v>6</v>
      </c>
      <c r="K453" t="s">
        <v>700</v>
      </c>
      <c r="L453" t="s">
        <v>1778</v>
      </c>
      <c r="M453">
        <v>6</v>
      </c>
      <c r="N453" t="s">
        <v>68</v>
      </c>
      <c r="O453" t="s">
        <v>35</v>
      </c>
      <c r="Q453" t="s">
        <v>36</v>
      </c>
      <c r="R453">
        <v>40</v>
      </c>
      <c r="S453" t="s">
        <v>77</v>
      </c>
      <c r="T453" t="s">
        <v>38</v>
      </c>
      <c r="U453">
        <v>1</v>
      </c>
      <c r="V453" t="s">
        <v>89</v>
      </c>
      <c r="W453" t="s">
        <v>103</v>
      </c>
      <c r="X453" t="s">
        <v>41</v>
      </c>
      <c r="Y453" t="s">
        <v>42</v>
      </c>
    </row>
    <row r="454" spans="1:25">
      <c r="A454" t="s">
        <v>1779</v>
      </c>
      <c r="B454" t="s">
        <v>1780</v>
      </c>
      <c r="C454" t="s">
        <v>56</v>
      </c>
      <c r="D454">
        <v>68</v>
      </c>
      <c r="E454" t="s">
        <v>92</v>
      </c>
      <c r="F454" t="s">
        <v>29</v>
      </c>
      <c r="G454" t="s">
        <v>83</v>
      </c>
      <c r="H454" t="s">
        <v>1293</v>
      </c>
      <c r="I454" t="s">
        <v>1781</v>
      </c>
      <c r="J454">
        <v>24</v>
      </c>
      <c r="K454" t="s">
        <v>99</v>
      </c>
      <c r="L454" t="s">
        <v>1781</v>
      </c>
      <c r="M454">
        <v>24</v>
      </c>
      <c r="N454" t="s">
        <v>68</v>
      </c>
      <c r="O454" t="s">
        <v>35</v>
      </c>
      <c r="Q454" t="s">
        <v>36</v>
      </c>
      <c r="R454">
        <v>50</v>
      </c>
      <c r="S454" t="s">
        <v>49</v>
      </c>
      <c r="T454" t="s">
        <v>164</v>
      </c>
      <c r="U454">
        <v>2</v>
      </c>
      <c r="V454" t="s">
        <v>62</v>
      </c>
      <c r="W454" t="s">
        <v>165</v>
      </c>
      <c r="X454" t="s">
        <v>52</v>
      </c>
      <c r="Y454" t="s">
        <v>53</v>
      </c>
    </row>
    <row r="455" spans="1:25">
      <c r="A455" t="s">
        <v>1782</v>
      </c>
      <c r="B455" t="s">
        <v>1783</v>
      </c>
      <c r="C455" t="s">
        <v>80</v>
      </c>
      <c r="D455">
        <v>6</v>
      </c>
      <c r="E455" t="s">
        <v>149</v>
      </c>
      <c r="F455" t="s">
        <v>29</v>
      </c>
      <c r="G455" t="s">
        <v>30</v>
      </c>
      <c r="H455" t="s">
        <v>400</v>
      </c>
      <c r="I455" t="s">
        <v>1784</v>
      </c>
      <c r="J455">
        <v>6</v>
      </c>
      <c r="K455" t="s">
        <v>400</v>
      </c>
      <c r="L455" t="s">
        <v>519</v>
      </c>
      <c r="M455">
        <v>11</v>
      </c>
      <c r="N455" t="s">
        <v>34</v>
      </c>
      <c r="O455" t="s">
        <v>35</v>
      </c>
      <c r="Q455" t="s">
        <v>36</v>
      </c>
      <c r="R455">
        <v>40</v>
      </c>
      <c r="S455" t="s">
        <v>77</v>
      </c>
      <c r="T455" t="s">
        <v>38</v>
      </c>
      <c r="U455">
        <v>2</v>
      </c>
      <c r="V455" t="s">
        <v>70</v>
      </c>
      <c r="W455" t="s">
        <v>103</v>
      </c>
      <c r="X455" t="s">
        <v>109</v>
      </c>
      <c r="Y455" t="s">
        <v>42</v>
      </c>
    </row>
    <row r="456" spans="1:25">
      <c r="A456" t="s">
        <v>1785</v>
      </c>
      <c r="B456" t="s">
        <v>1786</v>
      </c>
      <c r="C456" t="s">
        <v>56</v>
      </c>
      <c r="D456">
        <v>26</v>
      </c>
      <c r="E456" t="s">
        <v>81</v>
      </c>
      <c r="F456" t="s">
        <v>82</v>
      </c>
      <c r="G456" t="s">
        <v>83</v>
      </c>
      <c r="H456" t="s">
        <v>490</v>
      </c>
      <c r="I456" t="s">
        <v>1781</v>
      </c>
      <c r="J456">
        <v>8</v>
      </c>
      <c r="K456" t="s">
        <v>492</v>
      </c>
      <c r="L456" t="s">
        <v>1787</v>
      </c>
      <c r="M456">
        <v>9</v>
      </c>
      <c r="N456" t="s">
        <v>34</v>
      </c>
      <c r="O456" t="s">
        <v>35</v>
      </c>
      <c r="Q456" t="s">
        <v>36</v>
      </c>
      <c r="R456">
        <v>20</v>
      </c>
      <c r="S456" t="s">
        <v>37</v>
      </c>
      <c r="T456" t="s">
        <v>96</v>
      </c>
      <c r="U456">
        <v>5</v>
      </c>
      <c r="V456" t="s">
        <v>62</v>
      </c>
      <c r="W456" t="s">
        <v>103</v>
      </c>
      <c r="X456" t="s">
        <v>52</v>
      </c>
      <c r="Y456" t="s">
        <v>53</v>
      </c>
    </row>
    <row r="457" spans="1:25">
      <c r="A457" t="s">
        <v>1788</v>
      </c>
      <c r="B457" t="s">
        <v>1789</v>
      </c>
      <c r="C457" t="s">
        <v>56</v>
      </c>
      <c r="D457">
        <v>31</v>
      </c>
      <c r="E457" t="s">
        <v>81</v>
      </c>
      <c r="F457" t="s">
        <v>82</v>
      </c>
      <c r="G457" t="s">
        <v>83</v>
      </c>
      <c r="H457" t="s">
        <v>577</v>
      </c>
      <c r="I457" t="s">
        <v>1790</v>
      </c>
      <c r="J457">
        <v>8</v>
      </c>
      <c r="K457" t="s">
        <v>236</v>
      </c>
      <c r="L457" t="s">
        <v>603</v>
      </c>
      <c r="M457">
        <v>16</v>
      </c>
      <c r="N457" t="s">
        <v>34</v>
      </c>
      <c r="O457" t="s">
        <v>35</v>
      </c>
      <c r="Q457" t="s">
        <v>36</v>
      </c>
      <c r="R457">
        <v>20</v>
      </c>
      <c r="S457" t="s">
        <v>37</v>
      </c>
      <c r="T457" t="s">
        <v>96</v>
      </c>
      <c r="U457">
        <v>3</v>
      </c>
      <c r="V457" t="s">
        <v>70</v>
      </c>
      <c r="W457" t="s">
        <v>103</v>
      </c>
      <c r="X457" t="s">
        <v>41</v>
      </c>
      <c r="Y457" t="s">
        <v>53</v>
      </c>
    </row>
    <row r="458" spans="1:25">
      <c r="A458" t="s">
        <v>1791</v>
      </c>
      <c r="B458" t="s">
        <v>1792</v>
      </c>
      <c r="C458" t="s">
        <v>80</v>
      </c>
      <c r="D458">
        <v>13</v>
      </c>
      <c r="E458" t="s">
        <v>28</v>
      </c>
      <c r="F458" t="s">
        <v>29</v>
      </c>
      <c r="G458" t="s">
        <v>150</v>
      </c>
      <c r="H458" t="s">
        <v>780</v>
      </c>
      <c r="I458" t="s">
        <v>1793</v>
      </c>
      <c r="J458">
        <v>5</v>
      </c>
      <c r="K458" t="s">
        <v>780</v>
      </c>
      <c r="L458" t="s">
        <v>1794</v>
      </c>
      <c r="M458">
        <v>11</v>
      </c>
      <c r="N458" t="s">
        <v>34</v>
      </c>
      <c r="O458" t="s">
        <v>35</v>
      </c>
      <c r="Q458" t="s">
        <v>36</v>
      </c>
      <c r="R458">
        <v>35</v>
      </c>
      <c r="S458" t="s">
        <v>37</v>
      </c>
      <c r="T458" t="s">
        <v>50</v>
      </c>
      <c r="U458">
        <v>5</v>
      </c>
      <c r="V458" t="s">
        <v>89</v>
      </c>
      <c r="W458" t="s">
        <v>51</v>
      </c>
      <c r="X458" t="s">
        <v>41</v>
      </c>
      <c r="Y458" t="s">
        <v>71</v>
      </c>
    </row>
    <row r="459" spans="1:25">
      <c r="A459" t="s">
        <v>1795</v>
      </c>
      <c r="B459" t="s">
        <v>1796</v>
      </c>
      <c r="C459" t="s">
        <v>204</v>
      </c>
      <c r="D459">
        <v>10</v>
      </c>
      <c r="E459" t="s">
        <v>81</v>
      </c>
      <c r="F459" t="s">
        <v>82</v>
      </c>
      <c r="G459" t="s">
        <v>83</v>
      </c>
      <c r="H459" t="s">
        <v>577</v>
      </c>
      <c r="I459" t="s">
        <v>660</v>
      </c>
      <c r="J459">
        <v>8</v>
      </c>
      <c r="K459" t="s">
        <v>236</v>
      </c>
      <c r="L459" t="s">
        <v>1797</v>
      </c>
      <c r="M459">
        <v>14</v>
      </c>
      <c r="N459" t="s">
        <v>34</v>
      </c>
      <c r="O459" t="s">
        <v>35</v>
      </c>
      <c r="Q459" t="s">
        <v>36</v>
      </c>
      <c r="R459">
        <v>20</v>
      </c>
      <c r="S459" t="s">
        <v>77</v>
      </c>
      <c r="T459" t="s">
        <v>38</v>
      </c>
      <c r="U459">
        <v>4</v>
      </c>
      <c r="V459" t="s">
        <v>39</v>
      </c>
      <c r="W459" t="s">
        <v>103</v>
      </c>
      <c r="X459" t="s">
        <v>52</v>
      </c>
      <c r="Y459" t="s">
        <v>53</v>
      </c>
    </row>
    <row r="460" spans="1:25">
      <c r="A460" t="s">
        <v>1798</v>
      </c>
      <c r="B460" t="s">
        <v>1799</v>
      </c>
      <c r="C460" t="s">
        <v>204</v>
      </c>
      <c r="D460">
        <v>60</v>
      </c>
      <c r="E460" t="s">
        <v>57</v>
      </c>
      <c r="F460" t="s">
        <v>29</v>
      </c>
      <c r="G460" t="s">
        <v>58</v>
      </c>
      <c r="H460" t="s">
        <v>951</v>
      </c>
      <c r="I460" t="s">
        <v>1324</v>
      </c>
      <c r="J460">
        <v>3</v>
      </c>
      <c r="K460" t="s">
        <v>951</v>
      </c>
      <c r="L460" t="s">
        <v>630</v>
      </c>
      <c r="M460">
        <v>3</v>
      </c>
      <c r="N460" t="s">
        <v>68</v>
      </c>
      <c r="O460" t="s">
        <v>35</v>
      </c>
      <c r="Q460" t="s">
        <v>36</v>
      </c>
      <c r="R460">
        <v>15</v>
      </c>
      <c r="S460" t="s">
        <v>49</v>
      </c>
      <c r="T460" t="s">
        <v>38</v>
      </c>
      <c r="U460">
        <v>2</v>
      </c>
      <c r="V460" t="s">
        <v>62</v>
      </c>
      <c r="W460" t="s">
        <v>165</v>
      </c>
      <c r="X460" t="s">
        <v>41</v>
      </c>
      <c r="Y460" t="s">
        <v>71</v>
      </c>
    </row>
    <row r="461" spans="1:25">
      <c r="A461" t="s">
        <v>1800</v>
      </c>
      <c r="B461" t="s">
        <v>1801</v>
      </c>
      <c r="C461" t="s">
        <v>27</v>
      </c>
      <c r="D461">
        <v>60</v>
      </c>
      <c r="E461" t="s">
        <v>81</v>
      </c>
      <c r="F461" t="s">
        <v>82</v>
      </c>
      <c r="G461" t="s">
        <v>83</v>
      </c>
      <c r="H461" t="s">
        <v>996</v>
      </c>
      <c r="I461" t="s">
        <v>681</v>
      </c>
      <c r="J461">
        <v>8</v>
      </c>
      <c r="K461" t="s">
        <v>996</v>
      </c>
      <c r="L461" t="s">
        <v>515</v>
      </c>
      <c r="M461">
        <v>10</v>
      </c>
      <c r="N461" t="s">
        <v>34</v>
      </c>
      <c r="O461" t="s">
        <v>35</v>
      </c>
      <c r="Q461" t="s">
        <v>36</v>
      </c>
      <c r="R461">
        <v>20</v>
      </c>
      <c r="S461" t="s">
        <v>77</v>
      </c>
      <c r="T461" t="s">
        <v>69</v>
      </c>
      <c r="U461">
        <v>5</v>
      </c>
      <c r="V461" t="s">
        <v>89</v>
      </c>
      <c r="W461" t="s">
        <v>51</v>
      </c>
      <c r="X461" t="s">
        <v>109</v>
      </c>
      <c r="Y461" t="s">
        <v>42</v>
      </c>
    </row>
    <row r="462" spans="1:25">
      <c r="A462" t="s">
        <v>1802</v>
      </c>
      <c r="B462" t="s">
        <v>1803</v>
      </c>
      <c r="C462" t="s">
        <v>27</v>
      </c>
      <c r="D462">
        <v>59</v>
      </c>
      <c r="E462" t="s">
        <v>92</v>
      </c>
      <c r="F462" t="s">
        <v>29</v>
      </c>
      <c r="G462" t="s">
        <v>83</v>
      </c>
      <c r="H462" t="s">
        <v>1804</v>
      </c>
      <c r="I462" t="s">
        <v>1805</v>
      </c>
      <c r="J462">
        <v>24</v>
      </c>
      <c r="K462" t="s">
        <v>319</v>
      </c>
      <c r="L462" t="s">
        <v>538</v>
      </c>
      <c r="M462">
        <v>23</v>
      </c>
      <c r="N462" t="s">
        <v>68</v>
      </c>
      <c r="O462" t="s">
        <v>35</v>
      </c>
      <c r="Q462" t="s">
        <v>36</v>
      </c>
      <c r="R462">
        <v>50</v>
      </c>
      <c r="S462" t="s">
        <v>37</v>
      </c>
      <c r="T462" t="s">
        <v>164</v>
      </c>
      <c r="U462">
        <v>4</v>
      </c>
      <c r="V462" t="s">
        <v>89</v>
      </c>
      <c r="W462" t="s">
        <v>40</v>
      </c>
      <c r="X462" t="s">
        <v>52</v>
      </c>
      <c r="Y462" t="s">
        <v>53</v>
      </c>
    </row>
    <row r="463" spans="1:25">
      <c r="A463" t="s">
        <v>1806</v>
      </c>
      <c r="B463" t="s">
        <v>1807</v>
      </c>
      <c r="C463" t="s">
        <v>27</v>
      </c>
      <c r="D463">
        <v>59</v>
      </c>
      <c r="E463" t="s">
        <v>149</v>
      </c>
      <c r="F463" t="s">
        <v>29</v>
      </c>
      <c r="G463" t="s">
        <v>83</v>
      </c>
      <c r="H463" t="s">
        <v>274</v>
      </c>
      <c r="I463" t="s">
        <v>483</v>
      </c>
      <c r="J463">
        <v>6</v>
      </c>
      <c r="K463" t="s">
        <v>274</v>
      </c>
      <c r="L463" t="s">
        <v>1808</v>
      </c>
      <c r="M463">
        <v>12</v>
      </c>
      <c r="N463" t="s">
        <v>34</v>
      </c>
      <c r="O463" t="s">
        <v>270</v>
      </c>
      <c r="P463" t="s">
        <v>620</v>
      </c>
      <c r="Q463" t="s">
        <v>36</v>
      </c>
      <c r="R463">
        <v>40</v>
      </c>
      <c r="S463" t="s">
        <v>49</v>
      </c>
      <c r="T463" t="s">
        <v>88</v>
      </c>
      <c r="U463">
        <v>5</v>
      </c>
      <c r="V463" t="s">
        <v>89</v>
      </c>
      <c r="W463" t="s">
        <v>51</v>
      </c>
      <c r="X463" t="s">
        <v>52</v>
      </c>
      <c r="Y463" t="s">
        <v>53</v>
      </c>
    </row>
    <row r="464" spans="1:25">
      <c r="A464" t="s">
        <v>1809</v>
      </c>
      <c r="B464" t="s">
        <v>1810</v>
      </c>
      <c r="C464" t="s">
        <v>80</v>
      </c>
      <c r="D464">
        <v>85</v>
      </c>
      <c r="E464" t="s">
        <v>28</v>
      </c>
      <c r="F464" t="s">
        <v>29</v>
      </c>
      <c r="G464" t="s">
        <v>30</v>
      </c>
      <c r="H464" t="s">
        <v>464</v>
      </c>
      <c r="I464" t="s">
        <v>1811</v>
      </c>
      <c r="J464">
        <v>5</v>
      </c>
      <c r="K464" t="s">
        <v>1240</v>
      </c>
      <c r="L464" t="s">
        <v>1812</v>
      </c>
      <c r="M464">
        <v>11</v>
      </c>
      <c r="N464" t="s">
        <v>34</v>
      </c>
      <c r="O464" t="s">
        <v>35</v>
      </c>
      <c r="Q464" t="s">
        <v>36</v>
      </c>
      <c r="R464">
        <v>35</v>
      </c>
      <c r="S464" t="s">
        <v>37</v>
      </c>
      <c r="T464" t="s">
        <v>69</v>
      </c>
      <c r="U464">
        <v>4</v>
      </c>
      <c r="V464" t="s">
        <v>70</v>
      </c>
      <c r="W464" t="s">
        <v>103</v>
      </c>
      <c r="X464" t="s">
        <v>109</v>
      </c>
      <c r="Y464" t="s">
        <v>42</v>
      </c>
    </row>
    <row r="465" spans="1:25">
      <c r="A465" t="s">
        <v>1813</v>
      </c>
      <c r="B465" t="s">
        <v>1814</v>
      </c>
      <c r="C465" t="s">
        <v>27</v>
      </c>
      <c r="D465">
        <v>54</v>
      </c>
      <c r="E465" t="s">
        <v>92</v>
      </c>
      <c r="F465" t="s">
        <v>29</v>
      </c>
      <c r="G465" t="s">
        <v>45</v>
      </c>
      <c r="H465" t="s">
        <v>348</v>
      </c>
      <c r="I465" t="s">
        <v>1815</v>
      </c>
      <c r="J465">
        <v>24</v>
      </c>
      <c r="K465" t="s">
        <v>526</v>
      </c>
      <c r="L465" t="s">
        <v>1816</v>
      </c>
      <c r="M465">
        <v>28</v>
      </c>
      <c r="N465" t="s">
        <v>34</v>
      </c>
      <c r="O465" t="s">
        <v>35</v>
      </c>
      <c r="Q465" t="s">
        <v>36</v>
      </c>
      <c r="R465">
        <v>50</v>
      </c>
      <c r="S465" t="s">
        <v>77</v>
      </c>
      <c r="T465" t="s">
        <v>38</v>
      </c>
      <c r="U465">
        <v>4</v>
      </c>
      <c r="V465" t="s">
        <v>89</v>
      </c>
      <c r="W465" t="s">
        <v>51</v>
      </c>
      <c r="X465" t="s">
        <v>41</v>
      </c>
      <c r="Y465" t="s">
        <v>42</v>
      </c>
    </row>
    <row r="466" spans="1:25">
      <c r="A466" t="s">
        <v>1817</v>
      </c>
      <c r="B466" t="s">
        <v>1818</v>
      </c>
      <c r="C466" t="s">
        <v>80</v>
      </c>
      <c r="D466">
        <v>70</v>
      </c>
      <c r="E466" t="s">
        <v>173</v>
      </c>
      <c r="F466" t="s">
        <v>29</v>
      </c>
      <c r="G466" t="s">
        <v>168</v>
      </c>
      <c r="H466" t="s">
        <v>278</v>
      </c>
      <c r="I466" t="s">
        <v>1819</v>
      </c>
      <c r="J466">
        <v>4</v>
      </c>
      <c r="K466" t="s">
        <v>278</v>
      </c>
      <c r="L466" t="s">
        <v>1820</v>
      </c>
      <c r="M466">
        <v>8</v>
      </c>
      <c r="N466" t="s">
        <v>34</v>
      </c>
      <c r="O466" t="s">
        <v>35</v>
      </c>
      <c r="Q466" t="s">
        <v>36</v>
      </c>
      <c r="R466">
        <v>25</v>
      </c>
      <c r="S466" t="s">
        <v>49</v>
      </c>
      <c r="T466" t="s">
        <v>164</v>
      </c>
      <c r="U466">
        <v>3</v>
      </c>
      <c r="V466" t="s">
        <v>89</v>
      </c>
      <c r="W466" t="s">
        <v>40</v>
      </c>
      <c r="X466" t="s">
        <v>41</v>
      </c>
      <c r="Y466" t="s">
        <v>71</v>
      </c>
    </row>
    <row r="467" spans="1:25">
      <c r="A467" t="s">
        <v>1821</v>
      </c>
      <c r="B467" t="s">
        <v>1822</v>
      </c>
      <c r="C467" t="s">
        <v>80</v>
      </c>
      <c r="D467">
        <v>80</v>
      </c>
      <c r="E467" t="s">
        <v>92</v>
      </c>
      <c r="F467" t="s">
        <v>29</v>
      </c>
      <c r="G467" t="s">
        <v>93</v>
      </c>
      <c r="H467" t="s">
        <v>1092</v>
      </c>
      <c r="I467" t="s">
        <v>1823</v>
      </c>
      <c r="J467">
        <v>24</v>
      </c>
      <c r="K467" t="s">
        <v>1097</v>
      </c>
      <c r="L467" t="s">
        <v>1040</v>
      </c>
      <c r="M467">
        <v>27</v>
      </c>
      <c r="N467" t="s">
        <v>34</v>
      </c>
      <c r="O467" t="s">
        <v>35</v>
      </c>
      <c r="Q467" t="s">
        <v>36</v>
      </c>
      <c r="R467">
        <v>50</v>
      </c>
      <c r="S467" t="s">
        <v>37</v>
      </c>
      <c r="T467" t="s">
        <v>50</v>
      </c>
      <c r="U467">
        <v>5</v>
      </c>
      <c r="V467" t="s">
        <v>70</v>
      </c>
      <c r="W467" t="s">
        <v>40</v>
      </c>
      <c r="X467" t="s">
        <v>41</v>
      </c>
      <c r="Y467" t="s">
        <v>42</v>
      </c>
    </row>
    <row r="468" spans="1:25">
      <c r="A468" t="s">
        <v>1824</v>
      </c>
      <c r="B468" t="s">
        <v>1825</v>
      </c>
      <c r="C468" t="s">
        <v>27</v>
      </c>
      <c r="D468">
        <v>7</v>
      </c>
      <c r="E468" t="s">
        <v>28</v>
      </c>
      <c r="F468" t="s">
        <v>29</v>
      </c>
      <c r="G468" t="s">
        <v>30</v>
      </c>
      <c r="H468" t="s">
        <v>1516</v>
      </c>
      <c r="I468" t="s">
        <v>957</v>
      </c>
      <c r="J468">
        <v>5</v>
      </c>
      <c r="K468" t="s">
        <v>1516</v>
      </c>
      <c r="L468" t="s">
        <v>1826</v>
      </c>
      <c r="M468">
        <v>12</v>
      </c>
      <c r="N468" t="s">
        <v>34</v>
      </c>
      <c r="O468" t="s">
        <v>35</v>
      </c>
      <c r="Q468" t="s">
        <v>36</v>
      </c>
      <c r="R468">
        <v>35</v>
      </c>
      <c r="S468" t="s">
        <v>37</v>
      </c>
      <c r="T468" t="s">
        <v>38</v>
      </c>
      <c r="U468">
        <v>3</v>
      </c>
      <c r="V468" t="s">
        <v>89</v>
      </c>
      <c r="W468" t="s">
        <v>165</v>
      </c>
      <c r="X468" t="s">
        <v>41</v>
      </c>
      <c r="Y468" t="s">
        <v>42</v>
      </c>
    </row>
    <row r="469" spans="1:25">
      <c r="A469" t="s">
        <v>1827</v>
      </c>
      <c r="B469" t="s">
        <v>1828</v>
      </c>
      <c r="C469" t="s">
        <v>204</v>
      </c>
      <c r="D469">
        <v>61</v>
      </c>
      <c r="E469" t="s">
        <v>81</v>
      </c>
      <c r="F469" t="s">
        <v>82</v>
      </c>
      <c r="G469" t="s">
        <v>83</v>
      </c>
      <c r="H469" t="s">
        <v>807</v>
      </c>
      <c r="I469" t="s">
        <v>703</v>
      </c>
      <c r="J469">
        <v>8</v>
      </c>
      <c r="K469" t="s">
        <v>807</v>
      </c>
      <c r="L469" t="s">
        <v>1829</v>
      </c>
      <c r="M469">
        <v>8</v>
      </c>
      <c r="N469" t="s">
        <v>68</v>
      </c>
      <c r="O469" t="s">
        <v>35</v>
      </c>
      <c r="Q469" t="s">
        <v>36</v>
      </c>
      <c r="R469">
        <v>20</v>
      </c>
      <c r="S469" t="s">
        <v>37</v>
      </c>
      <c r="T469" t="s">
        <v>50</v>
      </c>
      <c r="U469">
        <v>2</v>
      </c>
      <c r="V469" t="s">
        <v>62</v>
      </c>
      <c r="W469" t="s">
        <v>51</v>
      </c>
      <c r="X469" t="s">
        <v>109</v>
      </c>
      <c r="Y469" t="s">
        <v>53</v>
      </c>
    </row>
    <row r="470" spans="1:25">
      <c r="A470" t="s">
        <v>1830</v>
      </c>
      <c r="B470" t="s">
        <v>1831</v>
      </c>
      <c r="C470" t="s">
        <v>204</v>
      </c>
      <c r="D470">
        <v>69</v>
      </c>
      <c r="E470" t="s">
        <v>81</v>
      </c>
      <c r="F470" t="s">
        <v>82</v>
      </c>
      <c r="G470" t="s">
        <v>83</v>
      </c>
      <c r="H470" t="s">
        <v>31</v>
      </c>
      <c r="I470" t="s">
        <v>864</v>
      </c>
      <c r="J470">
        <v>8</v>
      </c>
      <c r="K470" t="s">
        <v>31</v>
      </c>
      <c r="L470" t="s">
        <v>1369</v>
      </c>
      <c r="M470">
        <v>9</v>
      </c>
      <c r="N470" t="s">
        <v>34</v>
      </c>
      <c r="O470" t="s">
        <v>35</v>
      </c>
      <c r="Q470" t="s">
        <v>36</v>
      </c>
      <c r="R470">
        <v>20</v>
      </c>
      <c r="S470" t="s">
        <v>37</v>
      </c>
      <c r="T470" t="s">
        <v>164</v>
      </c>
      <c r="U470">
        <v>3</v>
      </c>
      <c r="V470" t="s">
        <v>39</v>
      </c>
      <c r="W470" t="s">
        <v>165</v>
      </c>
      <c r="X470" t="s">
        <v>52</v>
      </c>
      <c r="Y470" t="s">
        <v>71</v>
      </c>
    </row>
    <row r="471" spans="1:25">
      <c r="A471" t="s">
        <v>1832</v>
      </c>
      <c r="B471" t="s">
        <v>1833</v>
      </c>
      <c r="C471" t="s">
        <v>27</v>
      </c>
      <c r="D471">
        <v>19</v>
      </c>
      <c r="E471" t="s">
        <v>57</v>
      </c>
      <c r="F471" t="s">
        <v>29</v>
      </c>
      <c r="G471" t="s">
        <v>58</v>
      </c>
      <c r="H471" t="s">
        <v>86</v>
      </c>
      <c r="I471" t="s">
        <v>1834</v>
      </c>
      <c r="J471">
        <v>3</v>
      </c>
      <c r="K471" t="s">
        <v>86</v>
      </c>
      <c r="L471" t="s">
        <v>94</v>
      </c>
      <c r="M471">
        <v>6</v>
      </c>
      <c r="N471" t="s">
        <v>34</v>
      </c>
      <c r="O471" t="s">
        <v>35</v>
      </c>
      <c r="Q471" t="s">
        <v>36</v>
      </c>
      <c r="R471">
        <v>15</v>
      </c>
      <c r="S471" t="s">
        <v>37</v>
      </c>
      <c r="T471" t="s">
        <v>50</v>
      </c>
      <c r="U471">
        <v>3</v>
      </c>
      <c r="V471" t="s">
        <v>62</v>
      </c>
      <c r="W471" t="s">
        <v>103</v>
      </c>
      <c r="X471" t="s">
        <v>109</v>
      </c>
      <c r="Y471" t="s">
        <v>53</v>
      </c>
    </row>
    <row r="472" spans="1:25">
      <c r="A472" t="s">
        <v>1835</v>
      </c>
      <c r="B472" t="s">
        <v>1836</v>
      </c>
      <c r="C472" t="s">
        <v>56</v>
      </c>
      <c r="D472">
        <v>27</v>
      </c>
      <c r="E472" t="s">
        <v>81</v>
      </c>
      <c r="F472" t="s">
        <v>82</v>
      </c>
      <c r="G472" t="s">
        <v>83</v>
      </c>
      <c r="H472" t="s">
        <v>253</v>
      </c>
      <c r="I472" t="s">
        <v>976</v>
      </c>
      <c r="J472">
        <v>8</v>
      </c>
      <c r="K472" t="s">
        <v>253</v>
      </c>
      <c r="L472" t="s">
        <v>1837</v>
      </c>
      <c r="M472">
        <v>11</v>
      </c>
      <c r="N472" t="s">
        <v>34</v>
      </c>
      <c r="O472" t="s">
        <v>35</v>
      </c>
      <c r="Q472" t="s">
        <v>36</v>
      </c>
      <c r="R472">
        <v>20</v>
      </c>
      <c r="S472" t="s">
        <v>37</v>
      </c>
      <c r="T472" t="s">
        <v>164</v>
      </c>
      <c r="U472">
        <v>1</v>
      </c>
      <c r="V472" t="s">
        <v>62</v>
      </c>
      <c r="W472" t="s">
        <v>40</v>
      </c>
      <c r="X472" t="s">
        <v>41</v>
      </c>
      <c r="Y472" t="s">
        <v>53</v>
      </c>
    </row>
    <row r="473" spans="1:25">
      <c r="A473" t="s">
        <v>1838</v>
      </c>
      <c r="B473" t="s">
        <v>1839</v>
      </c>
      <c r="C473" t="s">
        <v>204</v>
      </c>
      <c r="D473">
        <v>28</v>
      </c>
      <c r="E473" t="s">
        <v>149</v>
      </c>
      <c r="F473" t="s">
        <v>29</v>
      </c>
      <c r="G473" t="s">
        <v>30</v>
      </c>
      <c r="H473" t="s">
        <v>342</v>
      </c>
      <c r="I473" t="s">
        <v>1015</v>
      </c>
      <c r="J473">
        <v>6</v>
      </c>
      <c r="K473" t="s">
        <v>342</v>
      </c>
      <c r="L473" t="s">
        <v>1840</v>
      </c>
      <c r="M473">
        <v>7</v>
      </c>
      <c r="N473" t="s">
        <v>34</v>
      </c>
      <c r="O473" t="s">
        <v>35</v>
      </c>
      <c r="Q473" t="s">
        <v>36</v>
      </c>
      <c r="R473">
        <v>40</v>
      </c>
      <c r="S473" t="s">
        <v>37</v>
      </c>
      <c r="T473" t="s">
        <v>96</v>
      </c>
      <c r="U473">
        <v>5</v>
      </c>
      <c r="V473" t="s">
        <v>62</v>
      </c>
      <c r="W473" t="s">
        <v>40</v>
      </c>
      <c r="X473" t="s">
        <v>109</v>
      </c>
      <c r="Y473" t="s">
        <v>71</v>
      </c>
    </row>
    <row r="474" spans="1:25">
      <c r="A474" t="s">
        <v>1841</v>
      </c>
      <c r="B474" t="s">
        <v>1842</v>
      </c>
      <c r="C474" t="s">
        <v>80</v>
      </c>
      <c r="D474">
        <v>15</v>
      </c>
      <c r="E474" t="s">
        <v>81</v>
      </c>
      <c r="F474" t="s">
        <v>82</v>
      </c>
      <c r="G474" t="s">
        <v>83</v>
      </c>
      <c r="H474" t="s">
        <v>600</v>
      </c>
      <c r="I474" t="s">
        <v>1070</v>
      </c>
      <c r="J474">
        <v>8</v>
      </c>
      <c r="K474" t="s">
        <v>600</v>
      </c>
      <c r="L474" t="s">
        <v>1843</v>
      </c>
      <c r="M474">
        <v>9</v>
      </c>
      <c r="N474" t="s">
        <v>34</v>
      </c>
      <c r="O474" t="s">
        <v>35</v>
      </c>
      <c r="Q474" t="s">
        <v>36</v>
      </c>
      <c r="R474">
        <v>20</v>
      </c>
      <c r="S474" t="s">
        <v>77</v>
      </c>
      <c r="T474" t="s">
        <v>88</v>
      </c>
      <c r="U474">
        <v>4</v>
      </c>
      <c r="V474" t="s">
        <v>39</v>
      </c>
      <c r="W474" t="s">
        <v>103</v>
      </c>
      <c r="X474" t="s">
        <v>41</v>
      </c>
      <c r="Y474" t="s">
        <v>42</v>
      </c>
    </row>
    <row r="475" spans="1:25">
      <c r="A475" t="s">
        <v>1844</v>
      </c>
      <c r="B475" t="s">
        <v>1845</v>
      </c>
      <c r="C475" t="s">
        <v>204</v>
      </c>
      <c r="D475">
        <v>7</v>
      </c>
      <c r="E475" t="s">
        <v>92</v>
      </c>
      <c r="F475" t="s">
        <v>29</v>
      </c>
      <c r="G475" t="s">
        <v>150</v>
      </c>
      <c r="H475" t="s">
        <v>128</v>
      </c>
      <c r="I475" t="s">
        <v>1711</v>
      </c>
      <c r="J475">
        <v>24</v>
      </c>
      <c r="K475" t="s">
        <v>130</v>
      </c>
      <c r="L475" t="s">
        <v>1846</v>
      </c>
      <c r="M475">
        <v>29</v>
      </c>
      <c r="N475" t="s">
        <v>34</v>
      </c>
      <c r="O475" t="s">
        <v>35</v>
      </c>
      <c r="Q475" t="s">
        <v>36</v>
      </c>
      <c r="R475">
        <v>50</v>
      </c>
      <c r="S475" t="s">
        <v>77</v>
      </c>
      <c r="T475" t="s">
        <v>96</v>
      </c>
      <c r="U475">
        <v>3</v>
      </c>
      <c r="V475" t="s">
        <v>89</v>
      </c>
      <c r="W475" t="s">
        <v>51</v>
      </c>
      <c r="X475" t="s">
        <v>52</v>
      </c>
      <c r="Y475" t="s">
        <v>53</v>
      </c>
    </row>
    <row r="476" spans="1:25">
      <c r="A476" t="s">
        <v>1847</v>
      </c>
      <c r="B476" t="s">
        <v>1848</v>
      </c>
      <c r="C476" t="s">
        <v>80</v>
      </c>
      <c r="D476">
        <v>33</v>
      </c>
      <c r="E476" t="s">
        <v>57</v>
      </c>
      <c r="F476" t="s">
        <v>29</v>
      </c>
      <c r="G476" t="s">
        <v>45</v>
      </c>
      <c r="H476" t="s">
        <v>1087</v>
      </c>
      <c r="I476" t="s">
        <v>506</v>
      </c>
      <c r="J476">
        <v>3</v>
      </c>
      <c r="K476" t="s">
        <v>1087</v>
      </c>
      <c r="L476" t="s">
        <v>1720</v>
      </c>
      <c r="M476">
        <v>2</v>
      </c>
      <c r="N476" t="s">
        <v>68</v>
      </c>
      <c r="O476" t="s">
        <v>35</v>
      </c>
      <c r="Q476" t="s">
        <v>36</v>
      </c>
      <c r="R476">
        <v>15</v>
      </c>
      <c r="S476" t="s">
        <v>37</v>
      </c>
      <c r="T476" t="s">
        <v>88</v>
      </c>
      <c r="U476">
        <v>3</v>
      </c>
      <c r="V476" t="s">
        <v>89</v>
      </c>
      <c r="W476" t="s">
        <v>165</v>
      </c>
      <c r="X476" t="s">
        <v>41</v>
      </c>
      <c r="Y476" t="s">
        <v>42</v>
      </c>
    </row>
    <row r="477" spans="1:25">
      <c r="A477" t="s">
        <v>1849</v>
      </c>
      <c r="B477" t="s">
        <v>1850</v>
      </c>
      <c r="C477" t="s">
        <v>27</v>
      </c>
      <c r="D477">
        <v>63</v>
      </c>
      <c r="E477" t="s">
        <v>28</v>
      </c>
      <c r="F477" t="s">
        <v>29</v>
      </c>
      <c r="G477" t="s">
        <v>30</v>
      </c>
      <c r="H477" t="s">
        <v>1339</v>
      </c>
      <c r="I477" t="s">
        <v>1851</v>
      </c>
      <c r="J477">
        <v>5</v>
      </c>
      <c r="K477" t="s">
        <v>1339</v>
      </c>
      <c r="L477" t="s">
        <v>1852</v>
      </c>
      <c r="M477">
        <v>7</v>
      </c>
      <c r="N477" t="s">
        <v>34</v>
      </c>
      <c r="O477" t="s">
        <v>35</v>
      </c>
      <c r="Q477" t="s">
        <v>36</v>
      </c>
      <c r="R477">
        <v>35</v>
      </c>
      <c r="S477" t="s">
        <v>49</v>
      </c>
      <c r="T477" t="s">
        <v>96</v>
      </c>
      <c r="U477">
        <v>1</v>
      </c>
      <c r="V477" t="s">
        <v>39</v>
      </c>
      <c r="W477" t="s">
        <v>40</v>
      </c>
      <c r="X477" t="s">
        <v>109</v>
      </c>
      <c r="Y477" t="s">
        <v>53</v>
      </c>
    </row>
    <row r="478" spans="1:25">
      <c r="A478" t="s">
        <v>1853</v>
      </c>
      <c r="B478" t="s">
        <v>1854</v>
      </c>
      <c r="C478" t="s">
        <v>27</v>
      </c>
      <c r="D478">
        <v>52</v>
      </c>
      <c r="E478" t="s">
        <v>28</v>
      </c>
      <c r="F478" t="s">
        <v>29</v>
      </c>
      <c r="G478" t="s">
        <v>58</v>
      </c>
      <c r="H478" t="s">
        <v>379</v>
      </c>
      <c r="I478" t="s">
        <v>1664</v>
      </c>
      <c r="J478">
        <v>5</v>
      </c>
      <c r="K478" t="s">
        <v>379</v>
      </c>
      <c r="L478" t="s">
        <v>434</v>
      </c>
      <c r="M478">
        <v>4</v>
      </c>
      <c r="N478" t="s">
        <v>68</v>
      </c>
      <c r="O478" t="s">
        <v>35</v>
      </c>
      <c r="Q478" t="s">
        <v>36</v>
      </c>
      <c r="R478">
        <v>35</v>
      </c>
      <c r="S478" t="s">
        <v>77</v>
      </c>
      <c r="T478" t="s">
        <v>96</v>
      </c>
      <c r="U478">
        <v>2</v>
      </c>
      <c r="V478" t="s">
        <v>39</v>
      </c>
      <c r="W478" t="s">
        <v>165</v>
      </c>
      <c r="X478" t="s">
        <v>52</v>
      </c>
      <c r="Y478" t="s">
        <v>53</v>
      </c>
    </row>
    <row r="479" spans="1:25">
      <c r="A479" t="s">
        <v>1855</v>
      </c>
      <c r="B479" t="s">
        <v>1856</v>
      </c>
      <c r="C479" t="s">
        <v>204</v>
      </c>
      <c r="D479">
        <v>2</v>
      </c>
      <c r="E479" t="s">
        <v>28</v>
      </c>
      <c r="F479" t="s">
        <v>29</v>
      </c>
      <c r="G479" t="s">
        <v>83</v>
      </c>
      <c r="H479" t="s">
        <v>723</v>
      </c>
      <c r="I479" t="s">
        <v>195</v>
      </c>
      <c r="J479">
        <v>5</v>
      </c>
      <c r="K479" t="s">
        <v>723</v>
      </c>
      <c r="L479" t="s">
        <v>1857</v>
      </c>
      <c r="M479">
        <v>7</v>
      </c>
      <c r="N479" t="s">
        <v>34</v>
      </c>
      <c r="O479" t="s">
        <v>35</v>
      </c>
      <c r="Q479" t="s">
        <v>132</v>
      </c>
      <c r="R479">
        <v>35</v>
      </c>
      <c r="S479" t="s">
        <v>49</v>
      </c>
      <c r="T479" t="s">
        <v>164</v>
      </c>
      <c r="U479">
        <v>4</v>
      </c>
      <c r="V479" t="s">
        <v>39</v>
      </c>
      <c r="W479" t="s">
        <v>51</v>
      </c>
      <c r="X479" t="s">
        <v>41</v>
      </c>
      <c r="Y479" t="s">
        <v>53</v>
      </c>
    </row>
    <row r="480" spans="1:25">
      <c r="A480" t="s">
        <v>1858</v>
      </c>
      <c r="B480" t="s">
        <v>1859</v>
      </c>
      <c r="C480" t="s">
        <v>27</v>
      </c>
      <c r="D480">
        <v>85</v>
      </c>
      <c r="E480" t="s">
        <v>28</v>
      </c>
      <c r="F480" t="s">
        <v>29</v>
      </c>
      <c r="G480" t="s">
        <v>30</v>
      </c>
      <c r="H480" t="s">
        <v>560</v>
      </c>
      <c r="I480" t="s">
        <v>242</v>
      </c>
      <c r="J480">
        <v>5</v>
      </c>
      <c r="K480" t="s">
        <v>1235</v>
      </c>
      <c r="L480" t="s">
        <v>1860</v>
      </c>
      <c r="M480">
        <v>13</v>
      </c>
      <c r="N480" t="s">
        <v>34</v>
      </c>
      <c r="O480" t="s">
        <v>35</v>
      </c>
      <c r="Q480" t="s">
        <v>36</v>
      </c>
      <c r="R480">
        <v>35</v>
      </c>
      <c r="S480" t="s">
        <v>37</v>
      </c>
      <c r="T480" t="s">
        <v>38</v>
      </c>
      <c r="U480">
        <v>4</v>
      </c>
      <c r="V480" t="s">
        <v>39</v>
      </c>
      <c r="W480" t="s">
        <v>51</v>
      </c>
      <c r="X480" t="s">
        <v>52</v>
      </c>
      <c r="Y480" t="s">
        <v>71</v>
      </c>
    </row>
    <row r="481" spans="1:25">
      <c r="A481" t="s">
        <v>1861</v>
      </c>
      <c r="B481" t="s">
        <v>1862</v>
      </c>
      <c r="C481" t="s">
        <v>204</v>
      </c>
      <c r="D481">
        <v>60</v>
      </c>
      <c r="E481" t="s">
        <v>92</v>
      </c>
      <c r="F481" t="s">
        <v>29</v>
      </c>
      <c r="G481" t="s">
        <v>150</v>
      </c>
      <c r="H481" t="s">
        <v>464</v>
      </c>
      <c r="I481" t="s">
        <v>1658</v>
      </c>
      <c r="J481">
        <v>24</v>
      </c>
      <c r="K481" t="s">
        <v>1240</v>
      </c>
      <c r="L481" t="s">
        <v>1307</v>
      </c>
      <c r="M481">
        <v>32</v>
      </c>
      <c r="N481" t="s">
        <v>34</v>
      </c>
      <c r="O481" t="s">
        <v>35</v>
      </c>
      <c r="Q481" t="s">
        <v>36</v>
      </c>
      <c r="R481">
        <v>50</v>
      </c>
      <c r="S481" t="s">
        <v>49</v>
      </c>
      <c r="T481" t="s">
        <v>96</v>
      </c>
      <c r="U481">
        <v>3</v>
      </c>
      <c r="V481" t="s">
        <v>89</v>
      </c>
      <c r="W481" t="s">
        <v>165</v>
      </c>
      <c r="X481" t="s">
        <v>52</v>
      </c>
      <c r="Y481" t="s">
        <v>53</v>
      </c>
    </row>
    <row r="482" spans="1:25">
      <c r="A482" t="s">
        <v>1863</v>
      </c>
      <c r="B482" t="s">
        <v>1864</v>
      </c>
      <c r="C482" t="s">
        <v>27</v>
      </c>
      <c r="D482">
        <v>70</v>
      </c>
      <c r="E482" t="s">
        <v>57</v>
      </c>
      <c r="F482" t="s">
        <v>29</v>
      </c>
      <c r="G482" t="s">
        <v>58</v>
      </c>
      <c r="H482" t="s">
        <v>1248</v>
      </c>
      <c r="I482" t="s">
        <v>1040</v>
      </c>
      <c r="J482">
        <v>3</v>
      </c>
      <c r="K482" t="s">
        <v>1248</v>
      </c>
      <c r="L482" t="s">
        <v>1335</v>
      </c>
      <c r="M482">
        <v>7</v>
      </c>
      <c r="N482" t="s">
        <v>34</v>
      </c>
      <c r="O482" t="s">
        <v>35</v>
      </c>
      <c r="Q482" t="s">
        <v>36</v>
      </c>
      <c r="R482">
        <v>15</v>
      </c>
      <c r="S482" t="s">
        <v>49</v>
      </c>
      <c r="T482" t="s">
        <v>164</v>
      </c>
      <c r="U482">
        <v>4</v>
      </c>
      <c r="V482" t="s">
        <v>89</v>
      </c>
      <c r="W482" t="s">
        <v>40</v>
      </c>
      <c r="X482" t="s">
        <v>52</v>
      </c>
      <c r="Y482" t="s">
        <v>53</v>
      </c>
    </row>
    <row r="483" spans="1:25">
      <c r="A483" t="s">
        <v>1865</v>
      </c>
      <c r="B483" t="s">
        <v>1866</v>
      </c>
      <c r="C483" t="s">
        <v>204</v>
      </c>
      <c r="D483">
        <v>51</v>
      </c>
      <c r="E483" t="s">
        <v>149</v>
      </c>
      <c r="F483" t="s">
        <v>29</v>
      </c>
      <c r="G483" t="s">
        <v>30</v>
      </c>
      <c r="H483" t="s">
        <v>1867</v>
      </c>
      <c r="I483" t="s">
        <v>1868</v>
      </c>
      <c r="J483">
        <v>6</v>
      </c>
      <c r="K483" t="s">
        <v>1867</v>
      </c>
      <c r="L483" t="s">
        <v>439</v>
      </c>
      <c r="M483">
        <v>8</v>
      </c>
      <c r="N483" t="s">
        <v>34</v>
      </c>
      <c r="O483" t="s">
        <v>35</v>
      </c>
      <c r="Q483" t="s">
        <v>36</v>
      </c>
      <c r="R483">
        <v>40</v>
      </c>
      <c r="S483" t="s">
        <v>37</v>
      </c>
      <c r="T483" t="s">
        <v>50</v>
      </c>
      <c r="U483">
        <v>4</v>
      </c>
      <c r="V483" t="s">
        <v>70</v>
      </c>
      <c r="W483" t="s">
        <v>40</v>
      </c>
      <c r="X483" t="s">
        <v>109</v>
      </c>
      <c r="Y483" t="s">
        <v>71</v>
      </c>
    </row>
    <row r="484" spans="1:25">
      <c r="A484" t="s">
        <v>1869</v>
      </c>
      <c r="B484" t="s">
        <v>1870</v>
      </c>
      <c r="C484" t="s">
        <v>27</v>
      </c>
      <c r="D484">
        <v>14</v>
      </c>
      <c r="E484" t="s">
        <v>28</v>
      </c>
      <c r="F484" t="s">
        <v>29</v>
      </c>
      <c r="G484" t="s">
        <v>30</v>
      </c>
      <c r="H484" t="s">
        <v>728</v>
      </c>
      <c r="I484" t="s">
        <v>1871</v>
      </c>
      <c r="J484">
        <v>5</v>
      </c>
      <c r="K484" t="s">
        <v>728</v>
      </c>
      <c r="L484" t="s">
        <v>1872</v>
      </c>
      <c r="M484">
        <v>5</v>
      </c>
      <c r="N484" t="s">
        <v>68</v>
      </c>
      <c r="O484" t="s">
        <v>35</v>
      </c>
      <c r="Q484" t="s">
        <v>36</v>
      </c>
      <c r="R484">
        <v>35</v>
      </c>
      <c r="S484" t="s">
        <v>37</v>
      </c>
      <c r="T484" t="s">
        <v>69</v>
      </c>
      <c r="U484">
        <v>5</v>
      </c>
      <c r="V484" t="s">
        <v>70</v>
      </c>
      <c r="W484" t="s">
        <v>165</v>
      </c>
      <c r="X484" t="s">
        <v>109</v>
      </c>
      <c r="Y484" t="s">
        <v>53</v>
      </c>
    </row>
    <row r="485" spans="1:25">
      <c r="A485" t="s">
        <v>1873</v>
      </c>
      <c r="B485" t="s">
        <v>1874</v>
      </c>
      <c r="C485" t="s">
        <v>56</v>
      </c>
      <c r="D485">
        <v>70</v>
      </c>
      <c r="E485" t="s">
        <v>81</v>
      </c>
      <c r="F485" t="s">
        <v>82</v>
      </c>
      <c r="G485" t="s">
        <v>83</v>
      </c>
      <c r="H485" t="s">
        <v>247</v>
      </c>
      <c r="I485" t="s">
        <v>218</v>
      </c>
      <c r="J485">
        <v>8</v>
      </c>
      <c r="K485" t="s">
        <v>247</v>
      </c>
      <c r="L485" t="s">
        <v>293</v>
      </c>
      <c r="M485">
        <v>13</v>
      </c>
      <c r="N485" t="s">
        <v>34</v>
      </c>
      <c r="O485" t="s">
        <v>35</v>
      </c>
      <c r="Q485" t="s">
        <v>36</v>
      </c>
      <c r="R485">
        <v>20</v>
      </c>
      <c r="S485" t="s">
        <v>49</v>
      </c>
      <c r="T485" t="s">
        <v>96</v>
      </c>
      <c r="U485">
        <v>1</v>
      </c>
      <c r="V485" t="s">
        <v>39</v>
      </c>
      <c r="W485" t="s">
        <v>40</v>
      </c>
      <c r="X485" t="s">
        <v>109</v>
      </c>
      <c r="Y485" t="s">
        <v>42</v>
      </c>
    </row>
    <row r="486" spans="1:25">
      <c r="A486" t="s">
        <v>1875</v>
      </c>
      <c r="B486" t="s">
        <v>1876</v>
      </c>
      <c r="C486" t="s">
        <v>204</v>
      </c>
      <c r="D486">
        <v>45</v>
      </c>
      <c r="E486" t="s">
        <v>28</v>
      </c>
      <c r="F486" t="s">
        <v>29</v>
      </c>
      <c r="G486" t="s">
        <v>30</v>
      </c>
      <c r="H486" t="s">
        <v>1180</v>
      </c>
      <c r="I486" t="s">
        <v>1701</v>
      </c>
      <c r="J486">
        <v>5</v>
      </c>
      <c r="K486" t="s">
        <v>1181</v>
      </c>
      <c r="L486" t="s">
        <v>1877</v>
      </c>
      <c r="M486">
        <v>11</v>
      </c>
      <c r="N486" t="s">
        <v>34</v>
      </c>
      <c r="O486" t="s">
        <v>35</v>
      </c>
      <c r="Q486" t="s">
        <v>36</v>
      </c>
      <c r="R486">
        <v>35</v>
      </c>
      <c r="S486" t="s">
        <v>37</v>
      </c>
      <c r="T486" t="s">
        <v>69</v>
      </c>
      <c r="U486">
        <v>2</v>
      </c>
      <c r="V486" t="s">
        <v>70</v>
      </c>
      <c r="W486" t="s">
        <v>51</v>
      </c>
      <c r="X486" t="s">
        <v>109</v>
      </c>
      <c r="Y486" t="s">
        <v>42</v>
      </c>
    </row>
    <row r="487" spans="1:25">
      <c r="A487" t="s">
        <v>1878</v>
      </c>
      <c r="B487" t="s">
        <v>1879</v>
      </c>
      <c r="C487" t="s">
        <v>204</v>
      </c>
      <c r="D487">
        <v>60</v>
      </c>
      <c r="E487" t="s">
        <v>173</v>
      </c>
      <c r="F487" t="s">
        <v>29</v>
      </c>
      <c r="G487" t="s">
        <v>168</v>
      </c>
      <c r="H487" t="s">
        <v>106</v>
      </c>
      <c r="I487" t="s">
        <v>1136</v>
      </c>
      <c r="J487">
        <v>4</v>
      </c>
      <c r="K487" t="s">
        <v>106</v>
      </c>
      <c r="L487" t="s">
        <v>1284</v>
      </c>
      <c r="M487">
        <v>7</v>
      </c>
      <c r="N487" t="s">
        <v>34</v>
      </c>
      <c r="O487" t="s">
        <v>35</v>
      </c>
      <c r="Q487" t="s">
        <v>132</v>
      </c>
      <c r="R487">
        <v>25</v>
      </c>
      <c r="S487" t="s">
        <v>77</v>
      </c>
      <c r="T487" t="s">
        <v>50</v>
      </c>
      <c r="U487">
        <v>4</v>
      </c>
      <c r="V487" t="s">
        <v>89</v>
      </c>
      <c r="W487" t="s">
        <v>40</v>
      </c>
      <c r="X487" t="s">
        <v>109</v>
      </c>
      <c r="Y487" t="s">
        <v>71</v>
      </c>
    </row>
    <row r="488" spans="1:25">
      <c r="A488" t="s">
        <v>1880</v>
      </c>
      <c r="B488" t="s">
        <v>1881</v>
      </c>
      <c r="C488" t="s">
        <v>56</v>
      </c>
      <c r="D488">
        <v>78</v>
      </c>
      <c r="E488" t="s">
        <v>81</v>
      </c>
      <c r="F488" t="s">
        <v>82</v>
      </c>
      <c r="G488" t="s">
        <v>30</v>
      </c>
      <c r="H488" t="s">
        <v>421</v>
      </c>
      <c r="I488" t="s">
        <v>1221</v>
      </c>
      <c r="J488">
        <v>8</v>
      </c>
      <c r="K488" t="s">
        <v>421</v>
      </c>
      <c r="L488" t="s">
        <v>1882</v>
      </c>
      <c r="M488">
        <v>10</v>
      </c>
      <c r="N488" t="s">
        <v>34</v>
      </c>
      <c r="O488" t="s">
        <v>35</v>
      </c>
      <c r="Q488" t="s">
        <v>36</v>
      </c>
      <c r="R488">
        <v>20</v>
      </c>
      <c r="S488" t="s">
        <v>37</v>
      </c>
      <c r="T488" t="s">
        <v>50</v>
      </c>
      <c r="U488">
        <v>4</v>
      </c>
      <c r="V488" t="s">
        <v>70</v>
      </c>
      <c r="W488" t="s">
        <v>165</v>
      </c>
      <c r="X488" t="s">
        <v>41</v>
      </c>
      <c r="Y488" t="s">
        <v>71</v>
      </c>
    </row>
    <row r="489" spans="1:25">
      <c r="A489" t="s">
        <v>1883</v>
      </c>
      <c r="B489" t="s">
        <v>1884</v>
      </c>
      <c r="C489" t="s">
        <v>204</v>
      </c>
      <c r="D489">
        <v>43</v>
      </c>
      <c r="E489" t="s">
        <v>92</v>
      </c>
      <c r="F489" t="s">
        <v>29</v>
      </c>
      <c r="G489" t="s">
        <v>93</v>
      </c>
      <c r="H489" t="s">
        <v>1213</v>
      </c>
      <c r="I489" t="s">
        <v>246</v>
      </c>
      <c r="J489">
        <v>24</v>
      </c>
      <c r="K489" t="s">
        <v>542</v>
      </c>
      <c r="L489" t="s">
        <v>1885</v>
      </c>
      <c r="M489">
        <v>31</v>
      </c>
      <c r="N489" t="s">
        <v>34</v>
      </c>
      <c r="O489" t="s">
        <v>270</v>
      </c>
      <c r="P489" t="s">
        <v>271</v>
      </c>
      <c r="Q489" t="s">
        <v>36</v>
      </c>
      <c r="R489">
        <v>50</v>
      </c>
      <c r="S489" t="s">
        <v>37</v>
      </c>
      <c r="T489" t="s">
        <v>164</v>
      </c>
      <c r="U489">
        <v>1</v>
      </c>
      <c r="V489" t="s">
        <v>70</v>
      </c>
      <c r="W489" t="s">
        <v>40</v>
      </c>
      <c r="X489" t="s">
        <v>109</v>
      </c>
      <c r="Y489" t="s">
        <v>53</v>
      </c>
    </row>
    <row r="490" spans="1:25">
      <c r="A490" t="s">
        <v>1886</v>
      </c>
      <c r="B490" t="s">
        <v>1887</v>
      </c>
      <c r="C490" t="s">
        <v>204</v>
      </c>
      <c r="D490">
        <v>45</v>
      </c>
      <c r="E490" t="s">
        <v>81</v>
      </c>
      <c r="F490" t="s">
        <v>82</v>
      </c>
      <c r="G490" t="s">
        <v>93</v>
      </c>
      <c r="H490" t="s">
        <v>712</v>
      </c>
      <c r="I490" t="s">
        <v>1819</v>
      </c>
      <c r="J490">
        <v>8</v>
      </c>
      <c r="K490" t="s">
        <v>712</v>
      </c>
      <c r="L490" t="s">
        <v>1330</v>
      </c>
      <c r="M490">
        <v>13</v>
      </c>
      <c r="N490" t="s">
        <v>34</v>
      </c>
      <c r="O490" t="s">
        <v>35</v>
      </c>
      <c r="Q490" t="s">
        <v>36</v>
      </c>
      <c r="R490">
        <v>20</v>
      </c>
      <c r="S490" t="s">
        <v>77</v>
      </c>
      <c r="T490" t="s">
        <v>38</v>
      </c>
      <c r="U490">
        <v>2</v>
      </c>
      <c r="V490" t="s">
        <v>39</v>
      </c>
      <c r="W490" t="s">
        <v>165</v>
      </c>
      <c r="X490" t="s">
        <v>109</v>
      </c>
      <c r="Y490" t="s">
        <v>42</v>
      </c>
    </row>
    <row r="491" spans="1:25">
      <c r="A491" t="s">
        <v>1888</v>
      </c>
      <c r="B491" t="s">
        <v>1889</v>
      </c>
      <c r="C491" t="s">
        <v>204</v>
      </c>
      <c r="D491">
        <v>48</v>
      </c>
      <c r="E491" t="s">
        <v>28</v>
      </c>
      <c r="F491" t="s">
        <v>29</v>
      </c>
      <c r="G491" t="s">
        <v>150</v>
      </c>
      <c r="H491" t="s">
        <v>1516</v>
      </c>
      <c r="I491" t="s">
        <v>1036</v>
      </c>
      <c r="J491">
        <v>5</v>
      </c>
      <c r="K491" t="s">
        <v>1516</v>
      </c>
      <c r="L491" t="s">
        <v>1890</v>
      </c>
      <c r="M491">
        <v>10</v>
      </c>
      <c r="N491" t="s">
        <v>34</v>
      </c>
      <c r="O491" t="s">
        <v>35</v>
      </c>
      <c r="Q491" t="s">
        <v>36</v>
      </c>
      <c r="R491">
        <v>35</v>
      </c>
      <c r="S491" t="s">
        <v>37</v>
      </c>
      <c r="T491" t="s">
        <v>164</v>
      </c>
      <c r="U491">
        <v>3</v>
      </c>
      <c r="V491" t="s">
        <v>89</v>
      </c>
      <c r="W491" t="s">
        <v>103</v>
      </c>
      <c r="X491" t="s">
        <v>41</v>
      </c>
      <c r="Y491" t="s">
        <v>53</v>
      </c>
    </row>
    <row r="492" spans="1:25">
      <c r="A492" t="s">
        <v>1891</v>
      </c>
      <c r="B492" t="s">
        <v>1892</v>
      </c>
      <c r="C492" t="s">
        <v>27</v>
      </c>
      <c r="D492">
        <v>36</v>
      </c>
      <c r="E492" t="s">
        <v>57</v>
      </c>
      <c r="F492" t="s">
        <v>29</v>
      </c>
      <c r="G492" t="s">
        <v>58</v>
      </c>
      <c r="H492" t="s">
        <v>344</v>
      </c>
      <c r="I492" t="s">
        <v>438</v>
      </c>
      <c r="J492">
        <v>3</v>
      </c>
      <c r="K492" t="s">
        <v>446</v>
      </c>
      <c r="L492" t="s">
        <v>1893</v>
      </c>
      <c r="M492">
        <v>11</v>
      </c>
      <c r="N492" t="s">
        <v>34</v>
      </c>
      <c r="O492" t="s">
        <v>35</v>
      </c>
      <c r="Q492" t="s">
        <v>36</v>
      </c>
      <c r="R492">
        <v>15</v>
      </c>
      <c r="S492" t="s">
        <v>49</v>
      </c>
      <c r="T492" t="s">
        <v>96</v>
      </c>
      <c r="U492">
        <v>4</v>
      </c>
      <c r="V492" t="s">
        <v>62</v>
      </c>
      <c r="W492" t="s">
        <v>51</v>
      </c>
      <c r="X492" t="s">
        <v>52</v>
      </c>
      <c r="Y492" t="s">
        <v>53</v>
      </c>
    </row>
    <row r="493" spans="1:25">
      <c r="A493" t="s">
        <v>1894</v>
      </c>
      <c r="B493" t="s">
        <v>1895</v>
      </c>
      <c r="C493" t="s">
        <v>56</v>
      </c>
      <c r="D493">
        <v>9</v>
      </c>
      <c r="E493" t="s">
        <v>81</v>
      </c>
      <c r="F493" t="s">
        <v>82</v>
      </c>
      <c r="G493" t="s">
        <v>83</v>
      </c>
      <c r="H493" t="s">
        <v>700</v>
      </c>
      <c r="I493" t="s">
        <v>1896</v>
      </c>
      <c r="J493">
        <v>8</v>
      </c>
      <c r="K493" t="s">
        <v>700</v>
      </c>
      <c r="L493" t="s">
        <v>1488</v>
      </c>
      <c r="M493">
        <v>8</v>
      </c>
      <c r="N493" t="s">
        <v>68</v>
      </c>
      <c r="O493" t="s">
        <v>35</v>
      </c>
      <c r="Q493" t="s">
        <v>36</v>
      </c>
      <c r="R493">
        <v>20</v>
      </c>
      <c r="S493" t="s">
        <v>77</v>
      </c>
      <c r="T493" t="s">
        <v>50</v>
      </c>
      <c r="U493">
        <v>2</v>
      </c>
      <c r="V493" t="s">
        <v>70</v>
      </c>
      <c r="W493" t="s">
        <v>165</v>
      </c>
      <c r="X493" t="s">
        <v>41</v>
      </c>
      <c r="Y493" t="s">
        <v>53</v>
      </c>
    </row>
    <row r="494" spans="1:25">
      <c r="A494" t="s">
        <v>1897</v>
      </c>
      <c r="B494" t="s">
        <v>1898</v>
      </c>
      <c r="C494" t="s">
        <v>80</v>
      </c>
      <c r="D494">
        <v>53</v>
      </c>
      <c r="E494" t="s">
        <v>57</v>
      </c>
      <c r="F494" t="s">
        <v>29</v>
      </c>
      <c r="G494" t="s">
        <v>58</v>
      </c>
      <c r="H494" t="s">
        <v>526</v>
      </c>
      <c r="I494" t="s">
        <v>1681</v>
      </c>
      <c r="J494">
        <v>3</v>
      </c>
      <c r="K494" t="s">
        <v>526</v>
      </c>
      <c r="L494" t="s">
        <v>1899</v>
      </c>
      <c r="M494">
        <v>9</v>
      </c>
      <c r="N494" t="s">
        <v>34</v>
      </c>
      <c r="O494" t="s">
        <v>35</v>
      </c>
      <c r="Q494" t="s">
        <v>36</v>
      </c>
      <c r="R494">
        <v>15</v>
      </c>
      <c r="S494" t="s">
        <v>77</v>
      </c>
      <c r="T494" t="s">
        <v>69</v>
      </c>
      <c r="U494">
        <v>2</v>
      </c>
      <c r="V494" t="s">
        <v>62</v>
      </c>
      <c r="W494" t="s">
        <v>165</v>
      </c>
      <c r="X494" t="s">
        <v>109</v>
      </c>
      <c r="Y494" t="s">
        <v>42</v>
      </c>
    </row>
    <row r="495" spans="1:25">
      <c r="A495" t="s">
        <v>1900</v>
      </c>
      <c r="B495" t="s">
        <v>1901</v>
      </c>
      <c r="C495" t="s">
        <v>80</v>
      </c>
      <c r="D495">
        <v>46</v>
      </c>
      <c r="E495" t="s">
        <v>149</v>
      </c>
      <c r="F495" t="s">
        <v>29</v>
      </c>
      <c r="G495" t="s">
        <v>30</v>
      </c>
      <c r="H495" t="s">
        <v>353</v>
      </c>
      <c r="I495" t="s">
        <v>1902</v>
      </c>
      <c r="J495">
        <v>6</v>
      </c>
      <c r="K495" t="s">
        <v>353</v>
      </c>
      <c r="L495" t="s">
        <v>1903</v>
      </c>
      <c r="M495">
        <v>12</v>
      </c>
      <c r="N495" t="s">
        <v>34</v>
      </c>
      <c r="O495" t="s">
        <v>35</v>
      </c>
      <c r="Q495" t="s">
        <v>36</v>
      </c>
      <c r="R495">
        <v>40</v>
      </c>
      <c r="S495" t="s">
        <v>49</v>
      </c>
      <c r="T495" t="s">
        <v>50</v>
      </c>
      <c r="U495">
        <v>1</v>
      </c>
      <c r="V495" t="s">
        <v>89</v>
      </c>
      <c r="W495" t="s">
        <v>40</v>
      </c>
      <c r="X495" t="s">
        <v>109</v>
      </c>
      <c r="Y495" t="s">
        <v>71</v>
      </c>
    </row>
    <row r="496" spans="1:25">
      <c r="A496" t="s">
        <v>1904</v>
      </c>
      <c r="B496" t="s">
        <v>1905</v>
      </c>
      <c r="C496" t="s">
        <v>56</v>
      </c>
      <c r="D496">
        <v>53</v>
      </c>
      <c r="E496" t="s">
        <v>149</v>
      </c>
      <c r="F496" t="s">
        <v>29</v>
      </c>
      <c r="G496" t="s">
        <v>58</v>
      </c>
      <c r="H496" t="s">
        <v>1293</v>
      </c>
      <c r="I496" t="s">
        <v>984</v>
      </c>
      <c r="J496">
        <v>6</v>
      </c>
      <c r="K496" t="s">
        <v>99</v>
      </c>
      <c r="L496" t="s">
        <v>1906</v>
      </c>
      <c r="M496">
        <v>10</v>
      </c>
      <c r="N496" t="s">
        <v>34</v>
      </c>
      <c r="O496" t="s">
        <v>35</v>
      </c>
      <c r="Q496" t="s">
        <v>36</v>
      </c>
      <c r="R496">
        <v>40</v>
      </c>
      <c r="S496" t="s">
        <v>77</v>
      </c>
      <c r="T496" t="s">
        <v>96</v>
      </c>
      <c r="U496">
        <v>3</v>
      </c>
      <c r="V496" t="s">
        <v>62</v>
      </c>
      <c r="W496" t="s">
        <v>165</v>
      </c>
      <c r="X496" t="s">
        <v>41</v>
      </c>
      <c r="Y496" t="s">
        <v>53</v>
      </c>
    </row>
    <row r="497" spans="1:25">
      <c r="A497" t="s">
        <v>1907</v>
      </c>
      <c r="B497" t="s">
        <v>1908</v>
      </c>
      <c r="C497" t="s">
        <v>80</v>
      </c>
      <c r="D497">
        <v>81</v>
      </c>
      <c r="E497" t="s">
        <v>57</v>
      </c>
      <c r="F497" t="s">
        <v>29</v>
      </c>
      <c r="G497" t="s">
        <v>150</v>
      </c>
      <c r="H497" t="s">
        <v>323</v>
      </c>
      <c r="I497" t="s">
        <v>1909</v>
      </c>
      <c r="J497">
        <v>3</v>
      </c>
      <c r="K497" t="s">
        <v>323</v>
      </c>
      <c r="L497" t="s">
        <v>1910</v>
      </c>
      <c r="M497">
        <v>5</v>
      </c>
      <c r="N497" t="s">
        <v>34</v>
      </c>
      <c r="O497" t="s">
        <v>35</v>
      </c>
      <c r="Q497" t="s">
        <v>36</v>
      </c>
      <c r="R497">
        <v>15</v>
      </c>
      <c r="S497" t="s">
        <v>37</v>
      </c>
      <c r="T497" t="s">
        <v>69</v>
      </c>
      <c r="U497">
        <v>3</v>
      </c>
      <c r="V497" t="s">
        <v>89</v>
      </c>
      <c r="W497" t="s">
        <v>165</v>
      </c>
      <c r="X497" t="s">
        <v>52</v>
      </c>
      <c r="Y497" t="s">
        <v>53</v>
      </c>
    </row>
    <row r="498" spans="1:25">
      <c r="A498" t="s">
        <v>1911</v>
      </c>
      <c r="B498" t="s">
        <v>1912</v>
      </c>
      <c r="C498" t="s">
        <v>27</v>
      </c>
      <c r="D498">
        <v>71</v>
      </c>
      <c r="E498" t="s">
        <v>173</v>
      </c>
      <c r="F498" t="s">
        <v>29</v>
      </c>
      <c r="G498" t="s">
        <v>168</v>
      </c>
      <c r="H498" t="s">
        <v>615</v>
      </c>
      <c r="I498" t="s">
        <v>125</v>
      </c>
      <c r="J498">
        <v>4</v>
      </c>
      <c r="K498" t="s">
        <v>615</v>
      </c>
      <c r="L498" t="s">
        <v>1913</v>
      </c>
      <c r="M498">
        <v>3</v>
      </c>
      <c r="N498" t="s">
        <v>68</v>
      </c>
      <c r="O498" t="s">
        <v>35</v>
      </c>
      <c r="Q498" t="s">
        <v>36</v>
      </c>
      <c r="R498">
        <v>25</v>
      </c>
      <c r="S498" t="s">
        <v>77</v>
      </c>
      <c r="T498" t="s">
        <v>38</v>
      </c>
      <c r="U498">
        <v>4</v>
      </c>
      <c r="V498" t="s">
        <v>62</v>
      </c>
      <c r="W498" t="s">
        <v>165</v>
      </c>
      <c r="X498" t="s">
        <v>41</v>
      </c>
      <c r="Y498" t="s">
        <v>71</v>
      </c>
    </row>
    <row r="499" spans="1:25">
      <c r="A499" t="s">
        <v>1914</v>
      </c>
      <c r="B499" t="s">
        <v>1915</v>
      </c>
      <c r="C499" t="s">
        <v>27</v>
      </c>
      <c r="D499">
        <v>32</v>
      </c>
      <c r="E499" t="s">
        <v>92</v>
      </c>
      <c r="F499" t="s">
        <v>29</v>
      </c>
      <c r="G499" t="s">
        <v>168</v>
      </c>
      <c r="H499" t="s">
        <v>988</v>
      </c>
      <c r="I499" t="s">
        <v>218</v>
      </c>
      <c r="J499">
        <v>24</v>
      </c>
      <c r="K499" t="s">
        <v>1580</v>
      </c>
      <c r="L499" t="s">
        <v>218</v>
      </c>
      <c r="M499">
        <v>24</v>
      </c>
      <c r="N499" t="s">
        <v>68</v>
      </c>
      <c r="O499" t="s">
        <v>35</v>
      </c>
      <c r="Q499" t="s">
        <v>36</v>
      </c>
      <c r="R499">
        <v>50</v>
      </c>
      <c r="S499" t="s">
        <v>49</v>
      </c>
      <c r="T499" t="s">
        <v>50</v>
      </c>
      <c r="U499">
        <v>1</v>
      </c>
      <c r="V499" t="s">
        <v>62</v>
      </c>
      <c r="W499" t="s">
        <v>165</v>
      </c>
      <c r="X499" t="s">
        <v>41</v>
      </c>
      <c r="Y499" t="s">
        <v>53</v>
      </c>
    </row>
    <row r="500" spans="1:25">
      <c r="A500" t="s">
        <v>1916</v>
      </c>
      <c r="B500" t="s">
        <v>1917</v>
      </c>
      <c r="C500" t="s">
        <v>27</v>
      </c>
      <c r="D500">
        <v>49</v>
      </c>
      <c r="E500" t="s">
        <v>92</v>
      </c>
      <c r="F500" t="s">
        <v>29</v>
      </c>
      <c r="G500" t="s">
        <v>150</v>
      </c>
      <c r="H500" t="s">
        <v>446</v>
      </c>
      <c r="I500" t="s">
        <v>1698</v>
      </c>
      <c r="J500">
        <v>24</v>
      </c>
      <c r="K500" t="s">
        <v>217</v>
      </c>
      <c r="L500" t="s">
        <v>1918</v>
      </c>
      <c r="M500">
        <v>31</v>
      </c>
      <c r="N500" t="s">
        <v>34</v>
      </c>
      <c r="O500" t="s">
        <v>35</v>
      </c>
      <c r="Q500" t="s">
        <v>36</v>
      </c>
      <c r="R500">
        <v>50</v>
      </c>
      <c r="S500" t="s">
        <v>49</v>
      </c>
      <c r="T500" t="s">
        <v>50</v>
      </c>
      <c r="U500">
        <v>4</v>
      </c>
      <c r="V500" t="s">
        <v>70</v>
      </c>
      <c r="W500" t="s">
        <v>103</v>
      </c>
      <c r="X500" t="s">
        <v>41</v>
      </c>
      <c r="Y500" t="s">
        <v>42</v>
      </c>
    </row>
    <row r="501" spans="1:25">
      <c r="A501" t="s">
        <v>1919</v>
      </c>
      <c r="B501" t="s">
        <v>1920</v>
      </c>
      <c r="C501" t="s">
        <v>80</v>
      </c>
      <c r="D501">
        <v>42</v>
      </c>
      <c r="E501" t="s">
        <v>57</v>
      </c>
      <c r="F501" t="s">
        <v>29</v>
      </c>
      <c r="G501" t="s">
        <v>58</v>
      </c>
      <c r="H501" t="s">
        <v>199</v>
      </c>
      <c r="I501" t="s">
        <v>1805</v>
      </c>
      <c r="J501">
        <v>3</v>
      </c>
      <c r="K501" t="s">
        <v>199</v>
      </c>
      <c r="L501" t="s">
        <v>539</v>
      </c>
      <c r="M501">
        <v>2</v>
      </c>
      <c r="N501" t="s">
        <v>68</v>
      </c>
      <c r="O501" t="s">
        <v>35</v>
      </c>
      <c r="Q501" t="s">
        <v>132</v>
      </c>
      <c r="R501">
        <v>15</v>
      </c>
      <c r="S501" t="s">
        <v>77</v>
      </c>
      <c r="T501" t="s">
        <v>38</v>
      </c>
      <c r="U501">
        <v>2</v>
      </c>
      <c r="V501" t="s">
        <v>89</v>
      </c>
      <c r="W501" t="s">
        <v>103</v>
      </c>
      <c r="X501" t="s">
        <v>109</v>
      </c>
      <c r="Y501" t="s">
        <v>71</v>
      </c>
    </row>
    <row r="502" spans="1:25">
      <c r="A502" t="s">
        <v>1921</v>
      </c>
      <c r="B502" t="s">
        <v>1922</v>
      </c>
      <c r="C502" t="s">
        <v>27</v>
      </c>
      <c r="D502">
        <v>79</v>
      </c>
      <c r="E502" t="s">
        <v>81</v>
      </c>
      <c r="F502" t="s">
        <v>82</v>
      </c>
      <c r="G502" t="s">
        <v>45</v>
      </c>
      <c r="H502" t="s">
        <v>482</v>
      </c>
      <c r="I502" t="s">
        <v>561</v>
      </c>
      <c r="J502">
        <v>8</v>
      </c>
      <c r="K502" t="s">
        <v>482</v>
      </c>
      <c r="L502" t="s">
        <v>562</v>
      </c>
      <c r="M502">
        <v>9</v>
      </c>
      <c r="N502" t="s">
        <v>34</v>
      </c>
      <c r="O502" t="s">
        <v>35</v>
      </c>
      <c r="Q502" t="s">
        <v>132</v>
      </c>
      <c r="R502">
        <v>20</v>
      </c>
      <c r="S502" t="s">
        <v>49</v>
      </c>
      <c r="T502" t="s">
        <v>69</v>
      </c>
      <c r="U502">
        <v>3</v>
      </c>
      <c r="V502" t="s">
        <v>39</v>
      </c>
      <c r="W502" t="s">
        <v>103</v>
      </c>
      <c r="X502" t="s">
        <v>109</v>
      </c>
      <c r="Y502" t="s">
        <v>71</v>
      </c>
    </row>
    <row r="503" spans="1:25">
      <c r="A503" t="s">
        <v>1923</v>
      </c>
      <c r="B503" t="s">
        <v>1924</v>
      </c>
      <c r="C503" t="s">
        <v>27</v>
      </c>
      <c r="D503">
        <v>59</v>
      </c>
      <c r="E503" t="s">
        <v>57</v>
      </c>
      <c r="F503" t="s">
        <v>29</v>
      </c>
      <c r="G503" t="s">
        <v>45</v>
      </c>
      <c r="H503" t="s">
        <v>1685</v>
      </c>
      <c r="I503" t="s">
        <v>840</v>
      </c>
      <c r="J503">
        <v>3</v>
      </c>
      <c r="K503" t="s">
        <v>1685</v>
      </c>
      <c r="L503" t="s">
        <v>1925</v>
      </c>
      <c r="M503">
        <v>4</v>
      </c>
      <c r="N503" t="s">
        <v>34</v>
      </c>
      <c r="O503" t="s">
        <v>35</v>
      </c>
      <c r="Q503" t="s">
        <v>36</v>
      </c>
      <c r="R503">
        <v>15</v>
      </c>
      <c r="S503" t="s">
        <v>49</v>
      </c>
      <c r="T503" t="s">
        <v>88</v>
      </c>
      <c r="U503">
        <v>1</v>
      </c>
      <c r="V503" t="s">
        <v>62</v>
      </c>
      <c r="W503" t="s">
        <v>103</v>
      </c>
      <c r="X503" t="s">
        <v>52</v>
      </c>
      <c r="Y503" t="s">
        <v>42</v>
      </c>
    </row>
    <row r="504" spans="1:25">
      <c r="A504" t="s">
        <v>1926</v>
      </c>
      <c r="B504" t="s">
        <v>1927</v>
      </c>
      <c r="C504" t="s">
        <v>27</v>
      </c>
      <c r="D504">
        <v>56</v>
      </c>
      <c r="E504" t="s">
        <v>81</v>
      </c>
      <c r="F504" t="s">
        <v>82</v>
      </c>
      <c r="G504" t="s">
        <v>83</v>
      </c>
      <c r="H504" t="s">
        <v>685</v>
      </c>
      <c r="I504" t="s">
        <v>820</v>
      </c>
      <c r="J504">
        <v>8</v>
      </c>
      <c r="K504" t="s">
        <v>685</v>
      </c>
      <c r="L504" t="s">
        <v>1379</v>
      </c>
      <c r="M504">
        <v>13</v>
      </c>
      <c r="N504" t="s">
        <v>34</v>
      </c>
      <c r="O504" t="s">
        <v>35</v>
      </c>
      <c r="Q504" t="s">
        <v>36</v>
      </c>
      <c r="R504">
        <v>20</v>
      </c>
      <c r="S504" t="s">
        <v>37</v>
      </c>
      <c r="T504" t="s">
        <v>69</v>
      </c>
      <c r="U504">
        <v>2</v>
      </c>
      <c r="V504" t="s">
        <v>62</v>
      </c>
      <c r="W504" t="s">
        <v>51</v>
      </c>
      <c r="X504" t="s">
        <v>52</v>
      </c>
      <c r="Y504" t="s">
        <v>71</v>
      </c>
    </row>
    <row r="505" spans="1:25">
      <c r="A505" t="s">
        <v>1928</v>
      </c>
      <c r="B505" t="s">
        <v>1929</v>
      </c>
      <c r="C505" t="s">
        <v>27</v>
      </c>
      <c r="D505">
        <v>66</v>
      </c>
      <c r="E505" t="s">
        <v>92</v>
      </c>
      <c r="F505" t="s">
        <v>29</v>
      </c>
      <c r="G505" t="s">
        <v>93</v>
      </c>
      <c r="H505" t="s">
        <v>823</v>
      </c>
      <c r="I505" t="s">
        <v>1930</v>
      </c>
      <c r="J505">
        <v>24</v>
      </c>
      <c r="K505" t="s">
        <v>1565</v>
      </c>
      <c r="L505" t="s">
        <v>108</v>
      </c>
      <c r="M505">
        <v>31</v>
      </c>
      <c r="N505" t="s">
        <v>34</v>
      </c>
      <c r="O505" t="s">
        <v>35</v>
      </c>
      <c r="Q505" t="s">
        <v>36</v>
      </c>
      <c r="R505">
        <v>50</v>
      </c>
      <c r="S505" t="s">
        <v>49</v>
      </c>
      <c r="T505" t="s">
        <v>88</v>
      </c>
      <c r="U505">
        <v>1</v>
      </c>
      <c r="V505" t="s">
        <v>39</v>
      </c>
      <c r="W505" t="s">
        <v>165</v>
      </c>
      <c r="X505" t="s">
        <v>41</v>
      </c>
      <c r="Y505" t="s">
        <v>42</v>
      </c>
    </row>
    <row r="506" spans="1:25">
      <c r="A506" t="s">
        <v>1931</v>
      </c>
      <c r="B506" t="s">
        <v>1932</v>
      </c>
      <c r="C506" t="s">
        <v>80</v>
      </c>
      <c r="D506">
        <v>1</v>
      </c>
      <c r="E506" t="s">
        <v>81</v>
      </c>
      <c r="F506" t="s">
        <v>82</v>
      </c>
      <c r="G506" t="s">
        <v>83</v>
      </c>
      <c r="H506" t="s">
        <v>325</v>
      </c>
      <c r="I506" t="s">
        <v>1933</v>
      </c>
      <c r="J506">
        <v>8</v>
      </c>
      <c r="K506" t="s">
        <v>1339</v>
      </c>
      <c r="L506" t="s">
        <v>1934</v>
      </c>
      <c r="M506">
        <v>15</v>
      </c>
      <c r="N506" t="s">
        <v>34</v>
      </c>
      <c r="O506" t="s">
        <v>35</v>
      </c>
      <c r="Q506" t="s">
        <v>36</v>
      </c>
      <c r="R506">
        <v>20</v>
      </c>
      <c r="S506" t="s">
        <v>37</v>
      </c>
      <c r="T506" t="s">
        <v>164</v>
      </c>
      <c r="U506">
        <v>3</v>
      </c>
      <c r="V506" t="s">
        <v>70</v>
      </c>
      <c r="W506" t="s">
        <v>165</v>
      </c>
      <c r="X506" t="s">
        <v>41</v>
      </c>
      <c r="Y506" t="s">
        <v>53</v>
      </c>
    </row>
    <row r="507" spans="1:25">
      <c r="A507" t="s">
        <v>1935</v>
      </c>
      <c r="B507" t="s">
        <v>1936</v>
      </c>
      <c r="C507" t="s">
        <v>204</v>
      </c>
      <c r="D507">
        <v>22</v>
      </c>
      <c r="E507" t="s">
        <v>57</v>
      </c>
      <c r="F507" t="s">
        <v>29</v>
      </c>
      <c r="G507" t="s">
        <v>93</v>
      </c>
      <c r="H507" t="s">
        <v>274</v>
      </c>
      <c r="I507" t="s">
        <v>175</v>
      </c>
      <c r="J507">
        <v>3</v>
      </c>
      <c r="K507" t="s">
        <v>274</v>
      </c>
      <c r="L507" t="s">
        <v>1937</v>
      </c>
      <c r="M507">
        <v>10</v>
      </c>
      <c r="N507" t="s">
        <v>34</v>
      </c>
      <c r="O507" t="s">
        <v>35</v>
      </c>
      <c r="Q507" t="s">
        <v>132</v>
      </c>
      <c r="R507">
        <v>15</v>
      </c>
      <c r="S507" t="s">
        <v>49</v>
      </c>
      <c r="T507" t="s">
        <v>96</v>
      </c>
      <c r="U507">
        <v>2</v>
      </c>
      <c r="V507" t="s">
        <v>89</v>
      </c>
      <c r="W507" t="s">
        <v>165</v>
      </c>
      <c r="X507" t="s">
        <v>109</v>
      </c>
      <c r="Y507" t="s">
        <v>42</v>
      </c>
    </row>
    <row r="508" spans="1:25">
      <c r="A508" t="s">
        <v>1938</v>
      </c>
      <c r="B508" t="s">
        <v>1939</v>
      </c>
      <c r="C508" t="s">
        <v>80</v>
      </c>
      <c r="D508">
        <v>13</v>
      </c>
      <c r="E508" t="s">
        <v>81</v>
      </c>
      <c r="F508" t="s">
        <v>82</v>
      </c>
      <c r="G508" t="s">
        <v>58</v>
      </c>
      <c r="H508" t="s">
        <v>407</v>
      </c>
      <c r="I508" t="s">
        <v>1940</v>
      </c>
      <c r="J508">
        <v>8</v>
      </c>
      <c r="K508" t="s">
        <v>407</v>
      </c>
      <c r="L508" t="s">
        <v>1941</v>
      </c>
      <c r="M508">
        <v>11</v>
      </c>
      <c r="N508" t="s">
        <v>34</v>
      </c>
      <c r="O508" t="s">
        <v>35</v>
      </c>
      <c r="Q508" t="s">
        <v>36</v>
      </c>
      <c r="R508">
        <v>20</v>
      </c>
      <c r="S508" t="s">
        <v>49</v>
      </c>
      <c r="T508" t="s">
        <v>88</v>
      </c>
      <c r="U508">
        <v>2</v>
      </c>
      <c r="V508" t="s">
        <v>89</v>
      </c>
      <c r="W508" t="s">
        <v>51</v>
      </c>
      <c r="X508" t="s">
        <v>109</v>
      </c>
      <c r="Y508" t="s">
        <v>42</v>
      </c>
    </row>
    <row r="509" spans="1:25">
      <c r="A509" t="s">
        <v>1942</v>
      </c>
      <c r="B509" t="s">
        <v>1943</v>
      </c>
      <c r="C509" t="s">
        <v>204</v>
      </c>
      <c r="D509">
        <v>16</v>
      </c>
      <c r="E509" t="s">
        <v>149</v>
      </c>
      <c r="F509" t="s">
        <v>29</v>
      </c>
      <c r="G509" t="s">
        <v>45</v>
      </c>
      <c r="H509" t="s">
        <v>1626</v>
      </c>
      <c r="I509" t="s">
        <v>1274</v>
      </c>
      <c r="J509">
        <v>6</v>
      </c>
      <c r="K509" t="s">
        <v>1626</v>
      </c>
      <c r="L509" t="s">
        <v>1944</v>
      </c>
      <c r="M509">
        <v>7</v>
      </c>
      <c r="N509" t="s">
        <v>34</v>
      </c>
      <c r="O509" t="s">
        <v>35</v>
      </c>
      <c r="Q509" t="s">
        <v>36</v>
      </c>
      <c r="R509">
        <v>40</v>
      </c>
      <c r="S509" t="s">
        <v>49</v>
      </c>
      <c r="T509" t="s">
        <v>50</v>
      </c>
      <c r="U509">
        <v>4</v>
      </c>
      <c r="V509" t="s">
        <v>62</v>
      </c>
      <c r="W509" t="s">
        <v>40</v>
      </c>
      <c r="X509" t="s">
        <v>52</v>
      </c>
      <c r="Y509" t="s">
        <v>71</v>
      </c>
    </row>
    <row r="510" spans="1:25">
      <c r="A510" t="s">
        <v>1945</v>
      </c>
      <c r="B510" t="s">
        <v>1946</v>
      </c>
      <c r="C510" t="s">
        <v>56</v>
      </c>
      <c r="D510">
        <v>84</v>
      </c>
      <c r="E510" t="s">
        <v>92</v>
      </c>
      <c r="F510" t="s">
        <v>29</v>
      </c>
      <c r="G510" t="s">
        <v>83</v>
      </c>
      <c r="H510" t="s">
        <v>893</v>
      </c>
      <c r="I510" t="s">
        <v>1120</v>
      </c>
      <c r="J510">
        <v>24</v>
      </c>
      <c r="K510" t="s">
        <v>189</v>
      </c>
      <c r="L510" t="s">
        <v>1947</v>
      </c>
      <c r="M510">
        <v>27</v>
      </c>
      <c r="N510" t="s">
        <v>34</v>
      </c>
      <c r="O510" t="s">
        <v>35</v>
      </c>
      <c r="Q510" t="s">
        <v>36</v>
      </c>
      <c r="R510">
        <v>50</v>
      </c>
      <c r="S510" t="s">
        <v>77</v>
      </c>
      <c r="T510" t="s">
        <v>164</v>
      </c>
      <c r="U510">
        <v>5</v>
      </c>
      <c r="V510" t="s">
        <v>62</v>
      </c>
      <c r="W510" t="s">
        <v>165</v>
      </c>
      <c r="X510" t="s">
        <v>41</v>
      </c>
      <c r="Y510" t="s">
        <v>53</v>
      </c>
    </row>
    <row r="511" spans="1:25">
      <c r="A511" t="s">
        <v>1948</v>
      </c>
      <c r="B511" t="s">
        <v>1949</v>
      </c>
      <c r="C511" t="s">
        <v>80</v>
      </c>
      <c r="D511">
        <v>39</v>
      </c>
      <c r="E511" t="s">
        <v>149</v>
      </c>
      <c r="F511" t="s">
        <v>29</v>
      </c>
      <c r="G511" t="s">
        <v>30</v>
      </c>
      <c r="H511" t="s">
        <v>1177</v>
      </c>
      <c r="I511" t="s">
        <v>863</v>
      </c>
      <c r="J511">
        <v>6</v>
      </c>
      <c r="K511" t="s">
        <v>1177</v>
      </c>
      <c r="L511" t="s">
        <v>1950</v>
      </c>
      <c r="M511">
        <v>5</v>
      </c>
      <c r="N511" t="s">
        <v>68</v>
      </c>
      <c r="O511" t="s">
        <v>35</v>
      </c>
      <c r="Q511" t="s">
        <v>36</v>
      </c>
      <c r="R511">
        <v>40</v>
      </c>
      <c r="S511" t="s">
        <v>49</v>
      </c>
      <c r="T511" t="s">
        <v>38</v>
      </c>
      <c r="U511">
        <v>1</v>
      </c>
      <c r="V511" t="s">
        <v>39</v>
      </c>
      <c r="W511" t="s">
        <v>165</v>
      </c>
      <c r="X511" t="s">
        <v>52</v>
      </c>
      <c r="Y511" t="s">
        <v>71</v>
      </c>
    </row>
    <row r="512" spans="1:25">
      <c r="A512" t="s">
        <v>1951</v>
      </c>
      <c r="B512" t="s">
        <v>1952</v>
      </c>
      <c r="C512" t="s">
        <v>27</v>
      </c>
      <c r="D512">
        <v>66</v>
      </c>
      <c r="E512" t="s">
        <v>149</v>
      </c>
      <c r="F512" t="s">
        <v>29</v>
      </c>
      <c r="G512" t="s">
        <v>83</v>
      </c>
      <c r="H512" t="s">
        <v>915</v>
      </c>
      <c r="I512" t="s">
        <v>483</v>
      </c>
      <c r="J512">
        <v>6</v>
      </c>
      <c r="K512" t="s">
        <v>915</v>
      </c>
      <c r="L512" t="s">
        <v>753</v>
      </c>
      <c r="M512">
        <v>8</v>
      </c>
      <c r="N512" t="s">
        <v>34</v>
      </c>
      <c r="O512" t="s">
        <v>35</v>
      </c>
      <c r="Q512" t="s">
        <v>36</v>
      </c>
      <c r="R512">
        <v>40</v>
      </c>
      <c r="S512" t="s">
        <v>37</v>
      </c>
      <c r="T512" t="s">
        <v>96</v>
      </c>
      <c r="U512">
        <v>2</v>
      </c>
      <c r="V512" t="s">
        <v>70</v>
      </c>
      <c r="W512" t="s">
        <v>40</v>
      </c>
      <c r="X512" t="s">
        <v>41</v>
      </c>
      <c r="Y512" t="s">
        <v>42</v>
      </c>
    </row>
    <row r="513" spans="1:25">
      <c r="A513" t="s">
        <v>1953</v>
      </c>
      <c r="B513" t="s">
        <v>1954</v>
      </c>
      <c r="C513" t="s">
        <v>204</v>
      </c>
      <c r="D513">
        <v>42</v>
      </c>
      <c r="E513" t="s">
        <v>92</v>
      </c>
      <c r="F513" t="s">
        <v>29</v>
      </c>
      <c r="G513" t="s">
        <v>93</v>
      </c>
      <c r="H513" t="s">
        <v>1565</v>
      </c>
      <c r="I513" t="s">
        <v>330</v>
      </c>
      <c r="J513">
        <v>24</v>
      </c>
      <c r="K513" t="s">
        <v>828</v>
      </c>
      <c r="L513" t="s">
        <v>237</v>
      </c>
      <c r="M513">
        <v>27</v>
      </c>
      <c r="N513" t="s">
        <v>34</v>
      </c>
      <c r="O513" t="s">
        <v>35</v>
      </c>
      <c r="Q513" t="s">
        <v>36</v>
      </c>
      <c r="R513">
        <v>50</v>
      </c>
      <c r="S513" t="s">
        <v>77</v>
      </c>
      <c r="T513" t="s">
        <v>88</v>
      </c>
      <c r="U513">
        <v>3</v>
      </c>
      <c r="V513" t="s">
        <v>62</v>
      </c>
      <c r="W513" t="s">
        <v>103</v>
      </c>
      <c r="X513" t="s">
        <v>41</v>
      </c>
      <c r="Y513" t="s">
        <v>71</v>
      </c>
    </row>
    <row r="514" spans="1:25">
      <c r="A514" t="s">
        <v>1955</v>
      </c>
      <c r="B514" t="s">
        <v>1956</v>
      </c>
      <c r="C514" t="s">
        <v>56</v>
      </c>
      <c r="D514">
        <v>47</v>
      </c>
      <c r="E514" t="s">
        <v>173</v>
      </c>
      <c r="F514" t="s">
        <v>29</v>
      </c>
      <c r="G514" t="s">
        <v>45</v>
      </c>
      <c r="H514" t="s">
        <v>1240</v>
      </c>
      <c r="I514" t="s">
        <v>1957</v>
      </c>
      <c r="J514">
        <v>4</v>
      </c>
      <c r="K514" t="s">
        <v>1240</v>
      </c>
      <c r="L514" t="s">
        <v>125</v>
      </c>
      <c r="M514">
        <v>3</v>
      </c>
      <c r="N514" t="s">
        <v>68</v>
      </c>
      <c r="O514" t="s">
        <v>35</v>
      </c>
      <c r="Q514" t="s">
        <v>36</v>
      </c>
      <c r="R514">
        <v>25</v>
      </c>
      <c r="S514" t="s">
        <v>49</v>
      </c>
      <c r="T514" t="s">
        <v>50</v>
      </c>
      <c r="U514">
        <v>3</v>
      </c>
      <c r="V514" t="s">
        <v>62</v>
      </c>
      <c r="W514" t="s">
        <v>103</v>
      </c>
      <c r="X514" t="s">
        <v>52</v>
      </c>
      <c r="Y514" t="s">
        <v>71</v>
      </c>
    </row>
    <row r="515" spans="1:25">
      <c r="A515" t="s">
        <v>1958</v>
      </c>
      <c r="B515" t="s">
        <v>1959</v>
      </c>
      <c r="C515" t="s">
        <v>56</v>
      </c>
      <c r="D515">
        <v>10</v>
      </c>
      <c r="E515" t="s">
        <v>92</v>
      </c>
      <c r="F515" t="s">
        <v>29</v>
      </c>
      <c r="G515" t="s">
        <v>83</v>
      </c>
      <c r="H515" t="s">
        <v>602</v>
      </c>
      <c r="I515" t="s">
        <v>1960</v>
      </c>
      <c r="J515">
        <v>24</v>
      </c>
      <c r="K515" t="s">
        <v>1516</v>
      </c>
      <c r="L515" t="s">
        <v>452</v>
      </c>
      <c r="M515">
        <v>23</v>
      </c>
      <c r="N515" t="s">
        <v>68</v>
      </c>
      <c r="O515" t="s">
        <v>35</v>
      </c>
      <c r="Q515" t="s">
        <v>132</v>
      </c>
      <c r="R515">
        <v>50</v>
      </c>
      <c r="S515" t="s">
        <v>37</v>
      </c>
      <c r="T515" t="s">
        <v>50</v>
      </c>
      <c r="U515">
        <v>2</v>
      </c>
      <c r="V515" t="s">
        <v>89</v>
      </c>
      <c r="W515" t="s">
        <v>103</v>
      </c>
      <c r="X515" t="s">
        <v>52</v>
      </c>
      <c r="Y515" t="s">
        <v>53</v>
      </c>
    </row>
    <row r="516" spans="1:25">
      <c r="A516" t="s">
        <v>1961</v>
      </c>
      <c r="B516" t="s">
        <v>1962</v>
      </c>
      <c r="C516" t="s">
        <v>27</v>
      </c>
      <c r="D516">
        <v>52</v>
      </c>
      <c r="E516" t="s">
        <v>92</v>
      </c>
      <c r="F516" t="s">
        <v>29</v>
      </c>
      <c r="G516" t="s">
        <v>83</v>
      </c>
      <c r="H516" t="s">
        <v>915</v>
      </c>
      <c r="I516" t="s">
        <v>1963</v>
      </c>
      <c r="J516">
        <v>24</v>
      </c>
      <c r="K516" t="s">
        <v>891</v>
      </c>
      <c r="L516" t="s">
        <v>1964</v>
      </c>
      <c r="M516">
        <v>23</v>
      </c>
      <c r="N516" t="s">
        <v>68</v>
      </c>
      <c r="O516" t="s">
        <v>35</v>
      </c>
      <c r="Q516" t="s">
        <v>36</v>
      </c>
      <c r="R516">
        <v>50</v>
      </c>
      <c r="S516" t="s">
        <v>77</v>
      </c>
      <c r="T516" t="s">
        <v>88</v>
      </c>
      <c r="U516">
        <v>2</v>
      </c>
      <c r="V516" t="s">
        <v>62</v>
      </c>
      <c r="W516" t="s">
        <v>40</v>
      </c>
      <c r="X516" t="s">
        <v>109</v>
      </c>
      <c r="Y516" t="s">
        <v>42</v>
      </c>
    </row>
    <row r="517" spans="1:25">
      <c r="A517" t="s">
        <v>1965</v>
      </c>
      <c r="B517" t="s">
        <v>1966</v>
      </c>
      <c r="C517" t="s">
        <v>80</v>
      </c>
      <c r="D517">
        <v>8</v>
      </c>
      <c r="E517" t="s">
        <v>92</v>
      </c>
      <c r="F517" t="s">
        <v>29</v>
      </c>
      <c r="G517" t="s">
        <v>93</v>
      </c>
      <c r="H517" t="s">
        <v>205</v>
      </c>
      <c r="I517" t="s">
        <v>785</v>
      </c>
      <c r="J517">
        <v>24</v>
      </c>
      <c r="K517" t="s">
        <v>207</v>
      </c>
      <c r="L517" t="s">
        <v>1752</v>
      </c>
      <c r="M517">
        <v>25</v>
      </c>
      <c r="N517" t="s">
        <v>34</v>
      </c>
      <c r="O517" t="s">
        <v>35</v>
      </c>
      <c r="Q517" t="s">
        <v>36</v>
      </c>
      <c r="R517">
        <v>50</v>
      </c>
      <c r="S517" t="s">
        <v>77</v>
      </c>
      <c r="T517" t="s">
        <v>96</v>
      </c>
      <c r="U517">
        <v>2</v>
      </c>
      <c r="V517" t="s">
        <v>70</v>
      </c>
      <c r="W517" t="s">
        <v>40</v>
      </c>
      <c r="X517" t="s">
        <v>52</v>
      </c>
      <c r="Y517" t="s">
        <v>42</v>
      </c>
    </row>
    <row r="518" spans="1:25">
      <c r="A518" t="s">
        <v>1967</v>
      </c>
      <c r="B518" t="s">
        <v>1968</v>
      </c>
      <c r="C518" t="s">
        <v>27</v>
      </c>
      <c r="D518">
        <v>12</v>
      </c>
      <c r="E518" t="s">
        <v>92</v>
      </c>
      <c r="F518" t="s">
        <v>29</v>
      </c>
      <c r="G518" t="s">
        <v>93</v>
      </c>
      <c r="H518" t="s">
        <v>411</v>
      </c>
      <c r="I518" t="s">
        <v>1969</v>
      </c>
      <c r="J518">
        <v>24</v>
      </c>
      <c r="K518" t="s">
        <v>413</v>
      </c>
      <c r="L518" t="s">
        <v>1970</v>
      </c>
      <c r="M518">
        <v>27</v>
      </c>
      <c r="N518" t="s">
        <v>34</v>
      </c>
      <c r="O518" t="s">
        <v>35</v>
      </c>
      <c r="Q518" t="s">
        <v>36</v>
      </c>
      <c r="R518">
        <v>50</v>
      </c>
      <c r="S518" t="s">
        <v>37</v>
      </c>
      <c r="T518" t="s">
        <v>50</v>
      </c>
      <c r="U518">
        <v>4</v>
      </c>
      <c r="V518" t="s">
        <v>89</v>
      </c>
      <c r="W518" t="s">
        <v>51</v>
      </c>
      <c r="X518" t="s">
        <v>52</v>
      </c>
      <c r="Y518" t="s">
        <v>53</v>
      </c>
    </row>
    <row r="519" spans="1:25">
      <c r="A519" t="s">
        <v>1971</v>
      </c>
      <c r="B519" t="s">
        <v>1972</v>
      </c>
      <c r="C519" t="s">
        <v>27</v>
      </c>
      <c r="D519">
        <v>15</v>
      </c>
      <c r="E519" t="s">
        <v>28</v>
      </c>
      <c r="F519" t="s">
        <v>29</v>
      </c>
      <c r="G519" t="s">
        <v>150</v>
      </c>
      <c r="H519" t="s">
        <v>128</v>
      </c>
      <c r="I519" t="s">
        <v>1973</v>
      </c>
      <c r="J519">
        <v>5</v>
      </c>
      <c r="K519" t="s">
        <v>128</v>
      </c>
      <c r="L519" t="s">
        <v>125</v>
      </c>
      <c r="M519">
        <v>4</v>
      </c>
      <c r="N519" t="s">
        <v>68</v>
      </c>
      <c r="O519" t="s">
        <v>35</v>
      </c>
      <c r="Q519" t="s">
        <v>132</v>
      </c>
      <c r="R519">
        <v>35</v>
      </c>
      <c r="S519" t="s">
        <v>77</v>
      </c>
      <c r="T519" t="s">
        <v>88</v>
      </c>
      <c r="U519">
        <v>4</v>
      </c>
      <c r="V519" t="s">
        <v>39</v>
      </c>
      <c r="W519" t="s">
        <v>103</v>
      </c>
      <c r="X519" t="s">
        <v>109</v>
      </c>
      <c r="Y519" t="s">
        <v>53</v>
      </c>
    </row>
    <row r="520" spans="1:25">
      <c r="A520" t="s">
        <v>1974</v>
      </c>
      <c r="B520" t="s">
        <v>1975</v>
      </c>
      <c r="C520" t="s">
        <v>204</v>
      </c>
      <c r="D520">
        <v>78</v>
      </c>
      <c r="E520" t="s">
        <v>57</v>
      </c>
      <c r="F520" t="s">
        <v>29</v>
      </c>
      <c r="G520" t="s">
        <v>168</v>
      </c>
      <c r="H520" t="s">
        <v>207</v>
      </c>
      <c r="I520" t="s">
        <v>1976</v>
      </c>
      <c r="J520">
        <v>3</v>
      </c>
      <c r="K520" t="s">
        <v>207</v>
      </c>
      <c r="L520" t="s">
        <v>1729</v>
      </c>
      <c r="M520">
        <v>8</v>
      </c>
      <c r="N520" t="s">
        <v>34</v>
      </c>
      <c r="O520" t="s">
        <v>270</v>
      </c>
      <c r="P520" t="s">
        <v>271</v>
      </c>
      <c r="Q520" t="s">
        <v>36</v>
      </c>
      <c r="R520">
        <v>15</v>
      </c>
      <c r="S520" t="s">
        <v>77</v>
      </c>
      <c r="T520" t="s">
        <v>69</v>
      </c>
      <c r="U520">
        <v>1</v>
      </c>
      <c r="V520" t="s">
        <v>62</v>
      </c>
      <c r="W520" t="s">
        <v>51</v>
      </c>
      <c r="X520" t="s">
        <v>52</v>
      </c>
      <c r="Y520" t="s">
        <v>42</v>
      </c>
    </row>
    <row r="521" spans="1:25">
      <c r="A521" t="s">
        <v>1977</v>
      </c>
      <c r="B521" t="s">
        <v>1978</v>
      </c>
      <c r="C521" t="s">
        <v>56</v>
      </c>
      <c r="D521">
        <v>63</v>
      </c>
      <c r="E521" t="s">
        <v>81</v>
      </c>
      <c r="F521" t="s">
        <v>82</v>
      </c>
      <c r="G521" t="s">
        <v>58</v>
      </c>
      <c r="H521" t="s">
        <v>394</v>
      </c>
      <c r="I521" t="s">
        <v>119</v>
      </c>
      <c r="J521">
        <v>8</v>
      </c>
      <c r="K521" t="s">
        <v>394</v>
      </c>
      <c r="L521" t="s">
        <v>1979</v>
      </c>
      <c r="M521">
        <v>10</v>
      </c>
      <c r="N521" t="s">
        <v>34</v>
      </c>
      <c r="O521" t="s">
        <v>35</v>
      </c>
      <c r="Q521" t="s">
        <v>36</v>
      </c>
      <c r="R521">
        <v>20</v>
      </c>
      <c r="S521" t="s">
        <v>49</v>
      </c>
      <c r="T521" t="s">
        <v>96</v>
      </c>
      <c r="U521">
        <v>5</v>
      </c>
      <c r="V521" t="s">
        <v>89</v>
      </c>
      <c r="W521" t="s">
        <v>103</v>
      </c>
      <c r="X521" t="s">
        <v>109</v>
      </c>
      <c r="Y521" t="s">
        <v>53</v>
      </c>
    </row>
    <row r="522" spans="1:25">
      <c r="A522" t="s">
        <v>1980</v>
      </c>
      <c r="B522" t="s">
        <v>1981</v>
      </c>
      <c r="C522" t="s">
        <v>80</v>
      </c>
      <c r="D522">
        <v>79</v>
      </c>
      <c r="E522" t="s">
        <v>149</v>
      </c>
      <c r="F522" t="s">
        <v>29</v>
      </c>
      <c r="G522" t="s">
        <v>150</v>
      </c>
      <c r="H522" t="s">
        <v>333</v>
      </c>
      <c r="I522" t="s">
        <v>1982</v>
      </c>
      <c r="J522">
        <v>6</v>
      </c>
      <c r="K522" t="s">
        <v>333</v>
      </c>
      <c r="L522" t="s">
        <v>1236</v>
      </c>
      <c r="M522">
        <v>5</v>
      </c>
      <c r="N522" t="s">
        <v>68</v>
      </c>
      <c r="O522" t="s">
        <v>270</v>
      </c>
      <c r="P522" t="s">
        <v>677</v>
      </c>
      <c r="Q522" t="s">
        <v>36</v>
      </c>
      <c r="R522">
        <v>40</v>
      </c>
      <c r="S522" t="s">
        <v>49</v>
      </c>
      <c r="T522" t="s">
        <v>50</v>
      </c>
      <c r="U522">
        <v>2</v>
      </c>
      <c r="V522" t="s">
        <v>39</v>
      </c>
      <c r="W522" t="s">
        <v>40</v>
      </c>
      <c r="X522" t="s">
        <v>52</v>
      </c>
      <c r="Y522" t="s">
        <v>42</v>
      </c>
    </row>
    <row r="523" spans="1:25">
      <c r="A523" t="s">
        <v>1983</v>
      </c>
      <c r="B523" t="s">
        <v>1984</v>
      </c>
      <c r="C523" t="s">
        <v>56</v>
      </c>
      <c r="D523">
        <v>90</v>
      </c>
      <c r="E523" t="s">
        <v>149</v>
      </c>
      <c r="F523" t="s">
        <v>29</v>
      </c>
      <c r="G523" t="s">
        <v>30</v>
      </c>
      <c r="H523" t="s">
        <v>86</v>
      </c>
      <c r="I523" t="s">
        <v>1985</v>
      </c>
      <c r="J523">
        <v>6</v>
      </c>
      <c r="K523" t="s">
        <v>86</v>
      </c>
      <c r="L523" t="s">
        <v>1808</v>
      </c>
      <c r="M523">
        <v>7</v>
      </c>
      <c r="N523" t="s">
        <v>34</v>
      </c>
      <c r="O523" t="s">
        <v>35</v>
      </c>
      <c r="Q523" t="s">
        <v>36</v>
      </c>
      <c r="R523">
        <v>40</v>
      </c>
      <c r="S523" t="s">
        <v>77</v>
      </c>
      <c r="T523" t="s">
        <v>96</v>
      </c>
      <c r="U523">
        <v>2</v>
      </c>
      <c r="V523" t="s">
        <v>62</v>
      </c>
      <c r="W523" t="s">
        <v>165</v>
      </c>
      <c r="X523" t="s">
        <v>41</v>
      </c>
      <c r="Y523" t="s">
        <v>71</v>
      </c>
    </row>
    <row r="524" spans="1:25">
      <c r="A524" t="s">
        <v>1986</v>
      </c>
      <c r="B524" t="s">
        <v>1987</v>
      </c>
      <c r="C524" t="s">
        <v>80</v>
      </c>
      <c r="D524">
        <v>28</v>
      </c>
      <c r="E524" t="s">
        <v>173</v>
      </c>
      <c r="F524" t="s">
        <v>29</v>
      </c>
      <c r="G524" t="s">
        <v>168</v>
      </c>
      <c r="H524" t="s">
        <v>1283</v>
      </c>
      <c r="I524" t="s">
        <v>1202</v>
      </c>
      <c r="J524">
        <v>4</v>
      </c>
      <c r="K524" t="s">
        <v>1283</v>
      </c>
      <c r="L524" t="s">
        <v>1988</v>
      </c>
      <c r="M524">
        <v>5</v>
      </c>
      <c r="N524" t="s">
        <v>34</v>
      </c>
      <c r="O524" t="s">
        <v>35</v>
      </c>
      <c r="Q524" t="s">
        <v>36</v>
      </c>
      <c r="R524">
        <v>25</v>
      </c>
      <c r="S524" t="s">
        <v>77</v>
      </c>
      <c r="T524" t="s">
        <v>69</v>
      </c>
      <c r="U524">
        <v>5</v>
      </c>
      <c r="V524" t="s">
        <v>70</v>
      </c>
      <c r="W524" t="s">
        <v>40</v>
      </c>
      <c r="X524" t="s">
        <v>52</v>
      </c>
      <c r="Y524" t="s">
        <v>53</v>
      </c>
    </row>
    <row r="525" spans="1:25">
      <c r="A525" t="s">
        <v>1989</v>
      </c>
      <c r="B525" t="s">
        <v>1990</v>
      </c>
      <c r="C525" t="s">
        <v>80</v>
      </c>
      <c r="D525">
        <v>79</v>
      </c>
      <c r="E525" t="s">
        <v>57</v>
      </c>
      <c r="F525" t="s">
        <v>29</v>
      </c>
      <c r="G525" t="s">
        <v>58</v>
      </c>
      <c r="H525" t="s">
        <v>586</v>
      </c>
      <c r="I525" t="s">
        <v>1973</v>
      </c>
      <c r="J525">
        <v>3</v>
      </c>
      <c r="K525" t="s">
        <v>586</v>
      </c>
      <c r="L525" t="s">
        <v>1319</v>
      </c>
      <c r="M525">
        <v>2</v>
      </c>
      <c r="N525" t="s">
        <v>68</v>
      </c>
      <c r="O525" t="s">
        <v>35</v>
      </c>
      <c r="Q525" t="s">
        <v>36</v>
      </c>
      <c r="R525">
        <v>-20</v>
      </c>
      <c r="S525" t="s">
        <v>37</v>
      </c>
      <c r="T525" t="s">
        <v>88</v>
      </c>
      <c r="U525">
        <v>2</v>
      </c>
      <c r="V525" t="s">
        <v>70</v>
      </c>
      <c r="W525" t="s">
        <v>165</v>
      </c>
      <c r="X525" t="s">
        <v>109</v>
      </c>
      <c r="Y525" t="s">
        <v>42</v>
      </c>
    </row>
    <row r="526" spans="1:25">
      <c r="A526" t="s">
        <v>1991</v>
      </c>
      <c r="B526" t="s">
        <v>1992</v>
      </c>
      <c r="C526" t="s">
        <v>27</v>
      </c>
      <c r="D526">
        <v>28</v>
      </c>
      <c r="E526" t="s">
        <v>173</v>
      </c>
      <c r="F526" t="s">
        <v>29</v>
      </c>
      <c r="G526" t="s">
        <v>150</v>
      </c>
      <c r="H526" t="s">
        <v>1240</v>
      </c>
      <c r="I526" t="s">
        <v>997</v>
      </c>
      <c r="J526">
        <v>4</v>
      </c>
      <c r="K526" t="s">
        <v>1240</v>
      </c>
      <c r="L526" t="s">
        <v>1993</v>
      </c>
      <c r="M526">
        <v>5</v>
      </c>
      <c r="N526" t="s">
        <v>34</v>
      </c>
      <c r="O526" t="s">
        <v>35</v>
      </c>
      <c r="Q526" t="s">
        <v>36</v>
      </c>
      <c r="R526">
        <v>25</v>
      </c>
      <c r="S526" t="s">
        <v>77</v>
      </c>
      <c r="T526" t="s">
        <v>69</v>
      </c>
      <c r="U526">
        <v>5</v>
      </c>
      <c r="V526" t="s">
        <v>62</v>
      </c>
      <c r="W526" t="s">
        <v>51</v>
      </c>
      <c r="X526" t="s">
        <v>109</v>
      </c>
      <c r="Y526" t="s">
        <v>53</v>
      </c>
    </row>
    <row r="527" spans="1:25">
      <c r="A527" t="s">
        <v>1994</v>
      </c>
      <c r="B527" t="s">
        <v>1995</v>
      </c>
      <c r="C527" t="s">
        <v>80</v>
      </c>
      <c r="D527">
        <v>75</v>
      </c>
      <c r="E527" t="s">
        <v>28</v>
      </c>
      <c r="F527" t="s">
        <v>29</v>
      </c>
      <c r="G527" t="s">
        <v>30</v>
      </c>
      <c r="H527" t="s">
        <v>74</v>
      </c>
      <c r="I527" t="s">
        <v>1193</v>
      </c>
      <c r="J527">
        <v>5</v>
      </c>
      <c r="K527" t="s">
        <v>74</v>
      </c>
      <c r="L527" t="s">
        <v>284</v>
      </c>
      <c r="M527">
        <v>13</v>
      </c>
      <c r="N527" t="s">
        <v>34</v>
      </c>
      <c r="O527" t="s">
        <v>35</v>
      </c>
      <c r="Q527" t="s">
        <v>36</v>
      </c>
      <c r="R527">
        <v>35</v>
      </c>
      <c r="S527" t="s">
        <v>37</v>
      </c>
      <c r="T527" t="s">
        <v>38</v>
      </c>
      <c r="U527">
        <v>1</v>
      </c>
      <c r="V527" t="s">
        <v>89</v>
      </c>
      <c r="W527" t="s">
        <v>103</v>
      </c>
      <c r="X527" t="s">
        <v>52</v>
      </c>
      <c r="Y527" t="s">
        <v>71</v>
      </c>
    </row>
    <row r="528" spans="1:25">
      <c r="A528" t="s">
        <v>1996</v>
      </c>
      <c r="B528" t="s">
        <v>1997</v>
      </c>
      <c r="C528" t="s">
        <v>56</v>
      </c>
      <c r="D528">
        <v>39</v>
      </c>
      <c r="E528" t="s">
        <v>149</v>
      </c>
      <c r="F528" t="s">
        <v>29</v>
      </c>
      <c r="G528" t="s">
        <v>93</v>
      </c>
      <c r="H528" t="s">
        <v>1181</v>
      </c>
      <c r="I528" t="s">
        <v>1166</v>
      </c>
      <c r="J528">
        <v>6</v>
      </c>
      <c r="K528" t="s">
        <v>205</v>
      </c>
      <c r="L528" t="s">
        <v>1998</v>
      </c>
      <c r="M528">
        <v>11</v>
      </c>
      <c r="N528" t="s">
        <v>34</v>
      </c>
      <c r="O528" t="s">
        <v>35</v>
      </c>
      <c r="Q528" t="s">
        <v>36</v>
      </c>
      <c r="R528">
        <v>40</v>
      </c>
      <c r="S528" t="s">
        <v>77</v>
      </c>
      <c r="T528" t="s">
        <v>50</v>
      </c>
      <c r="U528">
        <v>1</v>
      </c>
      <c r="V528" t="s">
        <v>62</v>
      </c>
      <c r="W528" t="s">
        <v>40</v>
      </c>
      <c r="X528" t="s">
        <v>52</v>
      </c>
      <c r="Y528" t="s">
        <v>71</v>
      </c>
    </row>
    <row r="529" spans="1:25">
      <c r="A529" t="s">
        <v>1999</v>
      </c>
      <c r="B529" t="s">
        <v>2000</v>
      </c>
      <c r="C529" t="s">
        <v>204</v>
      </c>
      <c r="D529">
        <v>56</v>
      </c>
      <c r="E529" t="s">
        <v>173</v>
      </c>
      <c r="F529" t="s">
        <v>29</v>
      </c>
      <c r="G529" t="s">
        <v>30</v>
      </c>
      <c r="H529" t="s">
        <v>245</v>
      </c>
      <c r="I529" t="s">
        <v>614</v>
      </c>
      <c r="J529">
        <v>4</v>
      </c>
      <c r="K529" t="s">
        <v>245</v>
      </c>
      <c r="L529" t="s">
        <v>2001</v>
      </c>
      <c r="M529">
        <v>5</v>
      </c>
      <c r="N529" t="s">
        <v>34</v>
      </c>
      <c r="O529" t="s">
        <v>35</v>
      </c>
      <c r="Q529" t="s">
        <v>36</v>
      </c>
      <c r="R529">
        <v>25</v>
      </c>
      <c r="S529" t="s">
        <v>37</v>
      </c>
      <c r="T529" t="s">
        <v>164</v>
      </c>
      <c r="U529">
        <v>4</v>
      </c>
      <c r="V529" t="s">
        <v>70</v>
      </c>
      <c r="W529" t="s">
        <v>51</v>
      </c>
      <c r="X529" t="s">
        <v>109</v>
      </c>
      <c r="Y529" t="s">
        <v>53</v>
      </c>
    </row>
    <row r="530" spans="1:25">
      <c r="A530" t="s">
        <v>2002</v>
      </c>
      <c r="B530" t="s">
        <v>2003</v>
      </c>
      <c r="C530" t="s">
        <v>56</v>
      </c>
      <c r="D530">
        <v>76</v>
      </c>
      <c r="E530" t="s">
        <v>92</v>
      </c>
      <c r="F530" t="s">
        <v>29</v>
      </c>
      <c r="G530" t="s">
        <v>30</v>
      </c>
      <c r="H530" t="s">
        <v>473</v>
      </c>
      <c r="I530" t="s">
        <v>1274</v>
      </c>
      <c r="J530">
        <v>24</v>
      </c>
      <c r="K530" t="s">
        <v>475</v>
      </c>
      <c r="L530" t="s">
        <v>901</v>
      </c>
      <c r="M530">
        <v>26</v>
      </c>
      <c r="N530" t="s">
        <v>34</v>
      </c>
      <c r="O530" t="s">
        <v>35</v>
      </c>
      <c r="Q530" t="s">
        <v>36</v>
      </c>
      <c r="R530">
        <v>50</v>
      </c>
      <c r="S530" t="s">
        <v>37</v>
      </c>
      <c r="T530" t="s">
        <v>164</v>
      </c>
      <c r="U530">
        <v>1</v>
      </c>
      <c r="V530" t="s">
        <v>62</v>
      </c>
      <c r="W530" t="s">
        <v>40</v>
      </c>
      <c r="X530" t="s">
        <v>109</v>
      </c>
      <c r="Y530" t="s">
        <v>53</v>
      </c>
    </row>
    <row r="531" spans="1:25">
      <c r="A531" t="s">
        <v>2004</v>
      </c>
      <c r="B531" t="s">
        <v>2005</v>
      </c>
      <c r="C531" t="s">
        <v>204</v>
      </c>
      <c r="D531">
        <v>4</v>
      </c>
      <c r="E531" t="s">
        <v>149</v>
      </c>
      <c r="F531" t="s">
        <v>29</v>
      </c>
      <c r="G531" t="s">
        <v>30</v>
      </c>
      <c r="H531" t="s">
        <v>1069</v>
      </c>
      <c r="I531" t="s">
        <v>119</v>
      </c>
      <c r="J531">
        <v>6</v>
      </c>
      <c r="K531" t="s">
        <v>1069</v>
      </c>
      <c r="L531" t="s">
        <v>1605</v>
      </c>
      <c r="M531">
        <v>5</v>
      </c>
      <c r="N531" t="s">
        <v>68</v>
      </c>
      <c r="O531" t="s">
        <v>35</v>
      </c>
      <c r="Q531" t="s">
        <v>36</v>
      </c>
      <c r="R531">
        <v>40</v>
      </c>
      <c r="S531" t="s">
        <v>37</v>
      </c>
      <c r="T531" t="s">
        <v>69</v>
      </c>
      <c r="U531">
        <v>3</v>
      </c>
      <c r="V531" t="s">
        <v>89</v>
      </c>
      <c r="W531" t="s">
        <v>40</v>
      </c>
      <c r="X531" t="s">
        <v>41</v>
      </c>
      <c r="Y531" t="s">
        <v>53</v>
      </c>
    </row>
    <row r="532" spans="1:25">
      <c r="A532" t="s">
        <v>2006</v>
      </c>
      <c r="B532" t="s">
        <v>2007</v>
      </c>
      <c r="C532" t="s">
        <v>80</v>
      </c>
      <c r="D532">
        <v>83</v>
      </c>
      <c r="E532" t="s">
        <v>173</v>
      </c>
      <c r="F532" t="s">
        <v>29</v>
      </c>
      <c r="G532" t="s">
        <v>30</v>
      </c>
      <c r="H532" t="s">
        <v>211</v>
      </c>
      <c r="I532" t="s">
        <v>1509</v>
      </c>
      <c r="J532">
        <v>4</v>
      </c>
      <c r="K532" t="s">
        <v>213</v>
      </c>
      <c r="L532" t="s">
        <v>1558</v>
      </c>
      <c r="M532">
        <v>10</v>
      </c>
      <c r="N532" t="s">
        <v>34</v>
      </c>
      <c r="O532" t="s">
        <v>35</v>
      </c>
      <c r="Q532" t="s">
        <v>36</v>
      </c>
      <c r="S532" t="s">
        <v>77</v>
      </c>
      <c r="T532" t="s">
        <v>38</v>
      </c>
      <c r="U532">
        <v>1</v>
      </c>
      <c r="V532" t="s">
        <v>62</v>
      </c>
      <c r="W532" t="s">
        <v>165</v>
      </c>
      <c r="X532" t="s">
        <v>52</v>
      </c>
      <c r="Y532" t="s">
        <v>71</v>
      </c>
    </row>
    <row r="533" spans="1:25">
      <c r="A533" t="s">
        <v>2008</v>
      </c>
      <c r="B533" t="s">
        <v>2009</v>
      </c>
      <c r="C533" t="s">
        <v>56</v>
      </c>
      <c r="D533">
        <v>78</v>
      </c>
      <c r="E533" t="s">
        <v>81</v>
      </c>
      <c r="F533" t="s">
        <v>82</v>
      </c>
      <c r="G533" t="s">
        <v>83</v>
      </c>
      <c r="H533" t="s">
        <v>877</v>
      </c>
      <c r="I533" t="s">
        <v>1456</v>
      </c>
      <c r="J533">
        <v>8</v>
      </c>
      <c r="K533" t="s">
        <v>879</v>
      </c>
      <c r="L533" t="s">
        <v>2010</v>
      </c>
      <c r="M533">
        <v>12</v>
      </c>
      <c r="N533" t="s">
        <v>34</v>
      </c>
      <c r="O533" t="s">
        <v>35</v>
      </c>
      <c r="Q533" t="s">
        <v>132</v>
      </c>
      <c r="R533">
        <v>20</v>
      </c>
      <c r="S533" t="s">
        <v>49</v>
      </c>
      <c r="T533" t="s">
        <v>164</v>
      </c>
      <c r="U533">
        <v>5</v>
      </c>
      <c r="V533" t="s">
        <v>62</v>
      </c>
      <c r="W533" t="s">
        <v>51</v>
      </c>
      <c r="X533" t="s">
        <v>52</v>
      </c>
      <c r="Y533" t="s">
        <v>53</v>
      </c>
    </row>
    <row r="534" spans="1:25">
      <c r="A534" t="s">
        <v>2011</v>
      </c>
      <c r="B534" t="s">
        <v>2012</v>
      </c>
      <c r="C534" t="s">
        <v>204</v>
      </c>
      <c r="D534">
        <v>50</v>
      </c>
      <c r="E534" t="s">
        <v>149</v>
      </c>
      <c r="F534" t="s">
        <v>29</v>
      </c>
      <c r="G534" t="s">
        <v>168</v>
      </c>
      <c r="H534" t="s">
        <v>1235</v>
      </c>
      <c r="I534" t="s">
        <v>916</v>
      </c>
      <c r="J534">
        <v>6</v>
      </c>
      <c r="K534" t="s">
        <v>1235</v>
      </c>
      <c r="L534" t="s">
        <v>759</v>
      </c>
      <c r="M534">
        <v>11</v>
      </c>
      <c r="N534" t="s">
        <v>34</v>
      </c>
      <c r="O534" t="s">
        <v>35</v>
      </c>
      <c r="Q534" t="s">
        <v>36</v>
      </c>
      <c r="R534">
        <v>40</v>
      </c>
      <c r="S534" t="s">
        <v>49</v>
      </c>
      <c r="T534" t="s">
        <v>50</v>
      </c>
      <c r="U534">
        <v>2</v>
      </c>
      <c r="V534" t="s">
        <v>39</v>
      </c>
      <c r="W534" t="s">
        <v>103</v>
      </c>
      <c r="X534" t="s">
        <v>41</v>
      </c>
      <c r="Y534" t="s">
        <v>53</v>
      </c>
    </row>
    <row r="535" spans="1:25">
      <c r="A535" t="s">
        <v>2013</v>
      </c>
      <c r="B535" t="s">
        <v>2014</v>
      </c>
      <c r="C535" t="s">
        <v>80</v>
      </c>
      <c r="D535">
        <v>21</v>
      </c>
      <c r="E535" t="s">
        <v>57</v>
      </c>
      <c r="F535" t="s">
        <v>29</v>
      </c>
      <c r="G535" t="s">
        <v>150</v>
      </c>
      <c r="H535" t="s">
        <v>59</v>
      </c>
      <c r="I535" t="s">
        <v>1545</v>
      </c>
      <c r="J535">
        <v>3</v>
      </c>
      <c r="K535" t="s">
        <v>59</v>
      </c>
      <c r="L535" t="s">
        <v>1546</v>
      </c>
      <c r="M535">
        <v>10</v>
      </c>
      <c r="N535" t="s">
        <v>34</v>
      </c>
      <c r="O535" t="s">
        <v>270</v>
      </c>
      <c r="P535" t="s">
        <v>677</v>
      </c>
      <c r="Q535" t="s">
        <v>36</v>
      </c>
      <c r="R535">
        <v>15</v>
      </c>
      <c r="S535" t="s">
        <v>37</v>
      </c>
      <c r="T535" t="s">
        <v>38</v>
      </c>
      <c r="U535">
        <v>5</v>
      </c>
      <c r="V535" t="s">
        <v>62</v>
      </c>
      <c r="W535" t="s">
        <v>51</v>
      </c>
      <c r="X535" t="s">
        <v>52</v>
      </c>
      <c r="Y535" t="s">
        <v>42</v>
      </c>
    </row>
    <row r="536" spans="1:25">
      <c r="A536" t="s">
        <v>2015</v>
      </c>
      <c r="B536" t="s">
        <v>2016</v>
      </c>
      <c r="C536" t="s">
        <v>204</v>
      </c>
      <c r="D536">
        <v>87</v>
      </c>
      <c r="E536" t="s">
        <v>149</v>
      </c>
      <c r="F536" t="s">
        <v>29</v>
      </c>
      <c r="G536" t="s">
        <v>83</v>
      </c>
      <c r="H536" t="s">
        <v>1503</v>
      </c>
      <c r="I536" t="s">
        <v>2017</v>
      </c>
      <c r="J536">
        <v>6</v>
      </c>
      <c r="K536" t="s">
        <v>1503</v>
      </c>
      <c r="L536" t="s">
        <v>591</v>
      </c>
      <c r="M536">
        <v>7</v>
      </c>
      <c r="N536" t="s">
        <v>34</v>
      </c>
      <c r="O536" t="s">
        <v>35</v>
      </c>
      <c r="Q536" t="s">
        <v>36</v>
      </c>
      <c r="R536">
        <v>40</v>
      </c>
      <c r="S536" t="s">
        <v>49</v>
      </c>
      <c r="T536" t="s">
        <v>38</v>
      </c>
      <c r="U536">
        <v>2</v>
      </c>
      <c r="V536" t="s">
        <v>62</v>
      </c>
      <c r="W536" t="s">
        <v>103</v>
      </c>
      <c r="X536" t="s">
        <v>41</v>
      </c>
      <c r="Y536" t="s">
        <v>42</v>
      </c>
    </row>
    <row r="537" spans="1:25">
      <c r="A537" t="s">
        <v>2018</v>
      </c>
      <c r="B537" t="s">
        <v>2019</v>
      </c>
      <c r="C537" t="s">
        <v>27</v>
      </c>
      <c r="D537">
        <v>22</v>
      </c>
      <c r="E537" t="s">
        <v>92</v>
      </c>
      <c r="F537" t="s">
        <v>29</v>
      </c>
      <c r="G537" t="s">
        <v>58</v>
      </c>
      <c r="H537" t="s">
        <v>31</v>
      </c>
      <c r="I537" t="s">
        <v>2020</v>
      </c>
      <c r="J537">
        <v>24</v>
      </c>
      <c r="K537" t="s">
        <v>500</v>
      </c>
      <c r="L537" t="s">
        <v>1970</v>
      </c>
      <c r="M537">
        <v>26</v>
      </c>
      <c r="N537" t="s">
        <v>34</v>
      </c>
      <c r="O537" t="s">
        <v>35</v>
      </c>
      <c r="Q537" t="s">
        <v>36</v>
      </c>
      <c r="R537">
        <v>50</v>
      </c>
      <c r="S537" t="s">
        <v>77</v>
      </c>
      <c r="T537" t="s">
        <v>50</v>
      </c>
      <c r="U537">
        <v>3</v>
      </c>
      <c r="V537" t="s">
        <v>70</v>
      </c>
      <c r="W537" t="s">
        <v>40</v>
      </c>
      <c r="X537" t="s">
        <v>109</v>
      </c>
      <c r="Y537" t="s">
        <v>71</v>
      </c>
    </row>
    <row r="538" spans="1:25">
      <c r="A538" t="s">
        <v>2021</v>
      </c>
      <c r="B538" t="s">
        <v>2022</v>
      </c>
      <c r="C538" t="s">
        <v>80</v>
      </c>
      <c r="D538">
        <v>25</v>
      </c>
      <c r="E538" t="s">
        <v>173</v>
      </c>
      <c r="F538" t="s">
        <v>29</v>
      </c>
      <c r="G538" t="s">
        <v>168</v>
      </c>
      <c r="H538" t="s">
        <v>1097</v>
      </c>
      <c r="I538" t="s">
        <v>94</v>
      </c>
      <c r="J538">
        <v>4</v>
      </c>
      <c r="K538" t="s">
        <v>728</v>
      </c>
      <c r="L538" t="s">
        <v>259</v>
      </c>
      <c r="M538">
        <v>12</v>
      </c>
      <c r="N538" t="s">
        <v>34</v>
      </c>
      <c r="O538" t="s">
        <v>35</v>
      </c>
      <c r="Q538" t="s">
        <v>36</v>
      </c>
      <c r="R538">
        <v>25</v>
      </c>
      <c r="S538" t="s">
        <v>37</v>
      </c>
      <c r="T538" t="s">
        <v>38</v>
      </c>
      <c r="U538">
        <v>2</v>
      </c>
      <c r="V538" t="s">
        <v>70</v>
      </c>
      <c r="W538" t="s">
        <v>51</v>
      </c>
      <c r="X538" t="s">
        <v>41</v>
      </c>
      <c r="Y538" t="s">
        <v>71</v>
      </c>
    </row>
    <row r="539" spans="1:25">
      <c r="A539" t="s">
        <v>2023</v>
      </c>
      <c r="B539" t="s">
        <v>2024</v>
      </c>
      <c r="C539" t="s">
        <v>80</v>
      </c>
      <c r="D539">
        <v>75</v>
      </c>
      <c r="E539" t="s">
        <v>81</v>
      </c>
      <c r="F539" t="s">
        <v>82</v>
      </c>
      <c r="G539" t="s">
        <v>83</v>
      </c>
      <c r="H539" t="s">
        <v>236</v>
      </c>
      <c r="I539" t="s">
        <v>1274</v>
      </c>
      <c r="J539">
        <v>8</v>
      </c>
      <c r="K539" t="s">
        <v>473</v>
      </c>
      <c r="L539" t="s">
        <v>2025</v>
      </c>
      <c r="M539">
        <v>15</v>
      </c>
      <c r="N539" t="s">
        <v>34</v>
      </c>
      <c r="O539" t="s">
        <v>35</v>
      </c>
      <c r="Q539" t="s">
        <v>36</v>
      </c>
      <c r="R539">
        <v>20</v>
      </c>
      <c r="S539" t="s">
        <v>49</v>
      </c>
      <c r="T539" t="s">
        <v>38</v>
      </c>
      <c r="U539">
        <v>5</v>
      </c>
      <c r="V539" t="s">
        <v>89</v>
      </c>
      <c r="W539" t="s">
        <v>165</v>
      </c>
      <c r="X539" t="s">
        <v>52</v>
      </c>
      <c r="Y539" t="s">
        <v>53</v>
      </c>
    </row>
    <row r="540" spans="1:25">
      <c r="A540" t="s">
        <v>2026</v>
      </c>
      <c r="B540" t="s">
        <v>2027</v>
      </c>
      <c r="C540" t="s">
        <v>80</v>
      </c>
      <c r="D540">
        <v>14</v>
      </c>
      <c r="E540" t="s">
        <v>28</v>
      </c>
      <c r="F540" t="s">
        <v>29</v>
      </c>
      <c r="G540" t="s">
        <v>30</v>
      </c>
      <c r="H540" t="s">
        <v>194</v>
      </c>
      <c r="I540" t="s">
        <v>1744</v>
      </c>
      <c r="J540">
        <v>5</v>
      </c>
      <c r="K540" t="s">
        <v>194</v>
      </c>
      <c r="L540" t="s">
        <v>2001</v>
      </c>
      <c r="M540">
        <v>8</v>
      </c>
      <c r="N540" t="s">
        <v>34</v>
      </c>
      <c r="O540" t="s">
        <v>35</v>
      </c>
      <c r="Q540" t="s">
        <v>36</v>
      </c>
      <c r="R540">
        <v>35</v>
      </c>
      <c r="S540" t="s">
        <v>49</v>
      </c>
      <c r="T540" t="s">
        <v>50</v>
      </c>
      <c r="U540">
        <v>1</v>
      </c>
      <c r="V540" t="s">
        <v>39</v>
      </c>
      <c r="W540" t="s">
        <v>103</v>
      </c>
      <c r="X540" t="s">
        <v>41</v>
      </c>
      <c r="Y540" t="s">
        <v>71</v>
      </c>
    </row>
    <row r="541" spans="1:25">
      <c r="A541" t="s">
        <v>2028</v>
      </c>
      <c r="B541" t="s">
        <v>2029</v>
      </c>
      <c r="C541" t="s">
        <v>27</v>
      </c>
      <c r="D541">
        <v>66</v>
      </c>
      <c r="E541" t="s">
        <v>92</v>
      </c>
      <c r="F541" t="s">
        <v>29</v>
      </c>
      <c r="G541" t="s">
        <v>93</v>
      </c>
      <c r="H541" t="s">
        <v>464</v>
      </c>
      <c r="I541" t="s">
        <v>1634</v>
      </c>
      <c r="J541">
        <v>24</v>
      </c>
      <c r="K541" t="s">
        <v>1240</v>
      </c>
      <c r="L541" t="s">
        <v>2030</v>
      </c>
      <c r="M541">
        <v>27</v>
      </c>
      <c r="N541" t="s">
        <v>34</v>
      </c>
      <c r="O541" t="s">
        <v>35</v>
      </c>
      <c r="Q541" t="s">
        <v>36</v>
      </c>
      <c r="R541">
        <v>50</v>
      </c>
      <c r="S541" t="s">
        <v>37</v>
      </c>
      <c r="T541" t="s">
        <v>88</v>
      </c>
      <c r="U541">
        <v>2</v>
      </c>
      <c r="V541" t="s">
        <v>62</v>
      </c>
      <c r="W541" t="s">
        <v>51</v>
      </c>
      <c r="X541" t="s">
        <v>109</v>
      </c>
      <c r="Y541" t="s">
        <v>71</v>
      </c>
    </row>
    <row r="542" spans="1:25">
      <c r="A542" t="s">
        <v>2031</v>
      </c>
      <c r="B542" t="s">
        <v>2032</v>
      </c>
      <c r="C542" t="s">
        <v>204</v>
      </c>
      <c r="D542">
        <v>26</v>
      </c>
      <c r="E542" t="s">
        <v>28</v>
      </c>
      <c r="F542" t="s">
        <v>29</v>
      </c>
      <c r="G542" t="s">
        <v>93</v>
      </c>
      <c r="H542" t="s">
        <v>652</v>
      </c>
      <c r="I542" t="s">
        <v>1218</v>
      </c>
      <c r="J542">
        <v>5</v>
      </c>
      <c r="K542" t="s">
        <v>652</v>
      </c>
      <c r="L542" t="s">
        <v>2033</v>
      </c>
      <c r="M542">
        <v>6</v>
      </c>
      <c r="N542" t="s">
        <v>34</v>
      </c>
      <c r="O542" t="s">
        <v>35</v>
      </c>
      <c r="Q542" t="s">
        <v>36</v>
      </c>
      <c r="R542">
        <v>35</v>
      </c>
      <c r="S542" t="s">
        <v>37</v>
      </c>
      <c r="T542" t="s">
        <v>69</v>
      </c>
      <c r="U542">
        <v>3</v>
      </c>
      <c r="V542" t="s">
        <v>70</v>
      </c>
      <c r="W542" t="s">
        <v>103</v>
      </c>
      <c r="X542" t="s">
        <v>41</v>
      </c>
      <c r="Y542" t="s">
        <v>42</v>
      </c>
    </row>
    <row r="543" spans="1:25">
      <c r="A543" t="s">
        <v>2034</v>
      </c>
      <c r="B543" t="s">
        <v>2035</v>
      </c>
      <c r="C543" t="s">
        <v>56</v>
      </c>
      <c r="D543">
        <v>22</v>
      </c>
      <c r="E543" t="s">
        <v>173</v>
      </c>
      <c r="F543" t="s">
        <v>29</v>
      </c>
      <c r="G543" t="s">
        <v>168</v>
      </c>
      <c r="H543" t="s">
        <v>74</v>
      </c>
      <c r="I543" t="s">
        <v>100</v>
      </c>
      <c r="J543">
        <v>4</v>
      </c>
      <c r="K543" t="s">
        <v>74</v>
      </c>
      <c r="L543" t="s">
        <v>2036</v>
      </c>
      <c r="M543">
        <v>4</v>
      </c>
      <c r="N543" t="s">
        <v>68</v>
      </c>
      <c r="O543" t="s">
        <v>35</v>
      </c>
      <c r="Q543" t="s">
        <v>36</v>
      </c>
      <c r="R543">
        <v>25</v>
      </c>
      <c r="S543" t="s">
        <v>37</v>
      </c>
      <c r="T543" t="s">
        <v>88</v>
      </c>
      <c r="U543">
        <v>2</v>
      </c>
      <c r="V543" t="s">
        <v>62</v>
      </c>
      <c r="W543" t="s">
        <v>165</v>
      </c>
      <c r="X543" t="s">
        <v>41</v>
      </c>
      <c r="Y543" t="s">
        <v>42</v>
      </c>
    </row>
    <row r="544" spans="1:25">
      <c r="A544" t="s">
        <v>2037</v>
      </c>
      <c r="B544" t="s">
        <v>2038</v>
      </c>
      <c r="C544" t="s">
        <v>56</v>
      </c>
      <c r="D544">
        <v>28</v>
      </c>
      <c r="E544" t="s">
        <v>149</v>
      </c>
      <c r="F544" t="s">
        <v>29</v>
      </c>
      <c r="G544" t="s">
        <v>93</v>
      </c>
      <c r="H544" t="s">
        <v>572</v>
      </c>
      <c r="I544" t="s">
        <v>1592</v>
      </c>
      <c r="J544">
        <v>6</v>
      </c>
      <c r="K544" t="s">
        <v>300</v>
      </c>
      <c r="L544" t="s">
        <v>2039</v>
      </c>
      <c r="M544">
        <v>14</v>
      </c>
      <c r="N544" t="s">
        <v>34</v>
      </c>
      <c r="O544" t="s">
        <v>35</v>
      </c>
      <c r="Q544" t="s">
        <v>36</v>
      </c>
      <c r="R544">
        <v>40</v>
      </c>
      <c r="S544" t="s">
        <v>77</v>
      </c>
      <c r="T544" t="s">
        <v>164</v>
      </c>
      <c r="U544">
        <v>2</v>
      </c>
      <c r="V544" t="s">
        <v>39</v>
      </c>
      <c r="W544" t="s">
        <v>103</v>
      </c>
      <c r="X544" t="s">
        <v>52</v>
      </c>
      <c r="Y544" t="s">
        <v>53</v>
      </c>
    </row>
    <row r="545" spans="1:25">
      <c r="A545" t="s">
        <v>2040</v>
      </c>
      <c r="B545" t="s">
        <v>2041</v>
      </c>
      <c r="C545" t="s">
        <v>27</v>
      </c>
      <c r="D545">
        <v>71</v>
      </c>
      <c r="E545" t="s">
        <v>57</v>
      </c>
      <c r="F545" t="s">
        <v>29</v>
      </c>
      <c r="G545" t="s">
        <v>58</v>
      </c>
      <c r="H545" t="s">
        <v>1283</v>
      </c>
      <c r="I545" t="s">
        <v>610</v>
      </c>
      <c r="J545">
        <v>3</v>
      </c>
      <c r="K545" t="s">
        <v>979</v>
      </c>
      <c r="L545" t="s">
        <v>2042</v>
      </c>
      <c r="M545">
        <v>9</v>
      </c>
      <c r="N545" t="s">
        <v>34</v>
      </c>
      <c r="O545" t="s">
        <v>35</v>
      </c>
      <c r="Q545" t="s">
        <v>36</v>
      </c>
      <c r="R545">
        <v>15</v>
      </c>
      <c r="S545" t="s">
        <v>49</v>
      </c>
      <c r="T545" t="s">
        <v>96</v>
      </c>
      <c r="U545">
        <v>2</v>
      </c>
      <c r="V545" t="s">
        <v>62</v>
      </c>
      <c r="W545" t="s">
        <v>103</v>
      </c>
      <c r="X545" t="s">
        <v>52</v>
      </c>
      <c r="Y545" t="s">
        <v>53</v>
      </c>
    </row>
    <row r="546" spans="1:25">
      <c r="A546" t="s">
        <v>2043</v>
      </c>
      <c r="B546" t="s">
        <v>2044</v>
      </c>
      <c r="C546" t="s">
        <v>56</v>
      </c>
      <c r="D546">
        <v>70</v>
      </c>
      <c r="E546" t="s">
        <v>28</v>
      </c>
      <c r="F546" t="s">
        <v>29</v>
      </c>
      <c r="G546" t="s">
        <v>30</v>
      </c>
      <c r="H546" t="s">
        <v>473</v>
      </c>
      <c r="I546" t="s">
        <v>1630</v>
      </c>
      <c r="J546">
        <v>5</v>
      </c>
      <c r="K546" t="s">
        <v>475</v>
      </c>
      <c r="L546" t="s">
        <v>2045</v>
      </c>
      <c r="M546">
        <v>10</v>
      </c>
      <c r="N546" t="s">
        <v>34</v>
      </c>
      <c r="O546" t="s">
        <v>35</v>
      </c>
      <c r="Q546" t="s">
        <v>36</v>
      </c>
      <c r="R546">
        <v>35</v>
      </c>
      <c r="S546" t="s">
        <v>37</v>
      </c>
      <c r="T546" t="s">
        <v>164</v>
      </c>
      <c r="U546">
        <v>5</v>
      </c>
      <c r="V546" t="s">
        <v>39</v>
      </c>
      <c r="W546" t="s">
        <v>103</v>
      </c>
      <c r="X546" t="s">
        <v>41</v>
      </c>
      <c r="Y546" t="s">
        <v>53</v>
      </c>
    </row>
    <row r="547" spans="1:25">
      <c r="A547" t="s">
        <v>2046</v>
      </c>
      <c r="B547" t="s">
        <v>2047</v>
      </c>
      <c r="C547" t="s">
        <v>56</v>
      </c>
      <c r="D547">
        <v>31</v>
      </c>
      <c r="E547" t="s">
        <v>57</v>
      </c>
      <c r="F547" t="s">
        <v>29</v>
      </c>
      <c r="G547" t="s">
        <v>30</v>
      </c>
      <c r="H547" t="s">
        <v>652</v>
      </c>
      <c r="I547" t="s">
        <v>953</v>
      </c>
      <c r="J547">
        <v>3</v>
      </c>
      <c r="K547" t="s">
        <v>652</v>
      </c>
      <c r="L547" t="s">
        <v>2048</v>
      </c>
      <c r="M547">
        <v>5</v>
      </c>
      <c r="N547" t="s">
        <v>34</v>
      </c>
      <c r="O547" t="s">
        <v>35</v>
      </c>
      <c r="Q547" t="s">
        <v>36</v>
      </c>
      <c r="R547">
        <v>15</v>
      </c>
      <c r="S547" t="s">
        <v>49</v>
      </c>
      <c r="T547" t="s">
        <v>164</v>
      </c>
      <c r="U547">
        <v>1</v>
      </c>
      <c r="V547" t="s">
        <v>39</v>
      </c>
      <c r="W547" t="s">
        <v>40</v>
      </c>
      <c r="X547" t="s">
        <v>41</v>
      </c>
      <c r="Y547" t="s">
        <v>71</v>
      </c>
    </row>
    <row r="548" spans="1:25">
      <c r="A548" t="s">
        <v>2049</v>
      </c>
      <c r="B548" t="s">
        <v>2050</v>
      </c>
      <c r="C548" t="s">
        <v>80</v>
      </c>
      <c r="D548">
        <v>69</v>
      </c>
      <c r="E548" t="s">
        <v>81</v>
      </c>
      <c r="F548" t="s">
        <v>82</v>
      </c>
      <c r="G548" t="s">
        <v>83</v>
      </c>
      <c r="H548" t="s">
        <v>106</v>
      </c>
      <c r="I548" t="s">
        <v>2051</v>
      </c>
      <c r="J548">
        <v>8</v>
      </c>
      <c r="K548" t="s">
        <v>106</v>
      </c>
      <c r="L548" t="s">
        <v>768</v>
      </c>
      <c r="M548">
        <v>9</v>
      </c>
      <c r="N548" t="s">
        <v>34</v>
      </c>
      <c r="O548" t="s">
        <v>35</v>
      </c>
      <c r="Q548" t="s">
        <v>36</v>
      </c>
      <c r="R548">
        <v>20</v>
      </c>
      <c r="S548" t="s">
        <v>37</v>
      </c>
      <c r="T548" t="s">
        <v>38</v>
      </c>
      <c r="U548">
        <v>5</v>
      </c>
      <c r="V548" t="s">
        <v>39</v>
      </c>
      <c r="W548" t="s">
        <v>103</v>
      </c>
      <c r="X548" t="s">
        <v>109</v>
      </c>
      <c r="Y548" t="s">
        <v>71</v>
      </c>
    </row>
    <row r="549" spans="1:25">
      <c r="A549" t="s">
        <v>2052</v>
      </c>
      <c r="B549" t="s">
        <v>2053</v>
      </c>
      <c r="C549" t="s">
        <v>80</v>
      </c>
      <c r="D549">
        <v>9</v>
      </c>
      <c r="E549" t="s">
        <v>149</v>
      </c>
      <c r="F549" t="s">
        <v>29</v>
      </c>
      <c r="G549" t="s">
        <v>30</v>
      </c>
      <c r="H549" t="s">
        <v>267</v>
      </c>
      <c r="I549" t="s">
        <v>2054</v>
      </c>
      <c r="J549">
        <v>6</v>
      </c>
      <c r="K549" t="s">
        <v>267</v>
      </c>
      <c r="L549" t="s">
        <v>958</v>
      </c>
      <c r="M549">
        <v>6</v>
      </c>
      <c r="N549" t="s">
        <v>68</v>
      </c>
      <c r="O549" t="s">
        <v>35</v>
      </c>
      <c r="Q549" t="s">
        <v>36</v>
      </c>
      <c r="R549">
        <v>40</v>
      </c>
      <c r="S549" t="s">
        <v>49</v>
      </c>
      <c r="T549" t="s">
        <v>96</v>
      </c>
      <c r="U549">
        <v>5</v>
      </c>
      <c r="V549" t="s">
        <v>70</v>
      </c>
      <c r="W549" t="s">
        <v>103</v>
      </c>
      <c r="X549" t="s">
        <v>52</v>
      </c>
      <c r="Y549" t="s">
        <v>42</v>
      </c>
    </row>
    <row r="550" spans="1:25">
      <c r="A550" t="s">
        <v>2055</v>
      </c>
      <c r="B550" t="s">
        <v>2056</v>
      </c>
      <c r="C550" t="s">
        <v>204</v>
      </c>
      <c r="D550">
        <v>38</v>
      </c>
      <c r="E550" t="s">
        <v>28</v>
      </c>
      <c r="F550" t="s">
        <v>29</v>
      </c>
      <c r="G550" t="s">
        <v>30</v>
      </c>
      <c r="H550" t="s">
        <v>319</v>
      </c>
      <c r="I550" t="s">
        <v>1784</v>
      </c>
      <c r="J550">
        <v>5</v>
      </c>
      <c r="K550" t="s">
        <v>319</v>
      </c>
      <c r="L550" t="s">
        <v>2057</v>
      </c>
      <c r="M550">
        <v>13</v>
      </c>
      <c r="N550" t="s">
        <v>34</v>
      </c>
      <c r="O550" t="s">
        <v>35</v>
      </c>
      <c r="Q550" t="s">
        <v>36</v>
      </c>
      <c r="R550">
        <v>35</v>
      </c>
      <c r="S550" t="s">
        <v>49</v>
      </c>
      <c r="T550" t="s">
        <v>69</v>
      </c>
      <c r="U550">
        <v>3</v>
      </c>
      <c r="V550" t="s">
        <v>62</v>
      </c>
      <c r="W550" t="s">
        <v>51</v>
      </c>
      <c r="X550" t="s">
        <v>109</v>
      </c>
      <c r="Y550" t="s">
        <v>53</v>
      </c>
    </row>
    <row r="551" spans="1:25">
      <c r="A551" t="s">
        <v>2058</v>
      </c>
      <c r="B551" t="s">
        <v>2059</v>
      </c>
      <c r="C551" t="s">
        <v>27</v>
      </c>
      <c r="D551">
        <v>74</v>
      </c>
      <c r="E551" t="s">
        <v>28</v>
      </c>
      <c r="F551" t="s">
        <v>29</v>
      </c>
      <c r="G551" t="s">
        <v>30</v>
      </c>
      <c r="H551" t="s">
        <v>184</v>
      </c>
      <c r="I551" t="s">
        <v>2060</v>
      </c>
      <c r="J551">
        <v>5</v>
      </c>
      <c r="K551" t="s">
        <v>184</v>
      </c>
      <c r="L551" t="s">
        <v>2061</v>
      </c>
      <c r="M551">
        <v>8</v>
      </c>
      <c r="N551" t="s">
        <v>34</v>
      </c>
      <c r="O551" t="s">
        <v>35</v>
      </c>
      <c r="Q551" t="s">
        <v>36</v>
      </c>
      <c r="R551">
        <v>35</v>
      </c>
      <c r="S551" t="s">
        <v>77</v>
      </c>
      <c r="T551" t="s">
        <v>96</v>
      </c>
      <c r="U551">
        <v>3</v>
      </c>
      <c r="V551" t="s">
        <v>39</v>
      </c>
      <c r="W551" t="s">
        <v>103</v>
      </c>
      <c r="X551" t="s">
        <v>109</v>
      </c>
      <c r="Y551" t="s">
        <v>53</v>
      </c>
    </row>
    <row r="552" spans="1:25">
      <c r="A552" t="s">
        <v>2062</v>
      </c>
      <c r="B552" t="s">
        <v>2063</v>
      </c>
      <c r="C552" t="s">
        <v>27</v>
      </c>
      <c r="D552">
        <v>39</v>
      </c>
      <c r="E552" t="s">
        <v>149</v>
      </c>
      <c r="F552" t="s">
        <v>29</v>
      </c>
      <c r="G552" t="s">
        <v>30</v>
      </c>
      <c r="H552" t="s">
        <v>902</v>
      </c>
      <c r="I552" t="s">
        <v>2064</v>
      </c>
      <c r="J552">
        <v>6</v>
      </c>
      <c r="K552" t="s">
        <v>902</v>
      </c>
      <c r="L552" t="s">
        <v>1509</v>
      </c>
      <c r="M552">
        <v>5</v>
      </c>
      <c r="N552" t="s">
        <v>68</v>
      </c>
      <c r="O552" t="s">
        <v>35</v>
      </c>
      <c r="Q552" t="s">
        <v>36</v>
      </c>
      <c r="R552">
        <v>40</v>
      </c>
      <c r="S552" t="s">
        <v>49</v>
      </c>
      <c r="T552" t="s">
        <v>69</v>
      </c>
      <c r="U552">
        <v>4</v>
      </c>
      <c r="V552" t="s">
        <v>89</v>
      </c>
      <c r="W552" t="s">
        <v>103</v>
      </c>
      <c r="X552" t="s">
        <v>41</v>
      </c>
      <c r="Y552" t="s">
        <v>53</v>
      </c>
    </row>
    <row r="553" spans="1:25">
      <c r="A553" t="s">
        <v>2065</v>
      </c>
      <c r="B553" t="s">
        <v>2066</v>
      </c>
      <c r="C553" t="s">
        <v>80</v>
      </c>
      <c r="D553">
        <v>24</v>
      </c>
      <c r="E553" t="s">
        <v>28</v>
      </c>
      <c r="F553" t="s">
        <v>29</v>
      </c>
      <c r="G553" t="s">
        <v>30</v>
      </c>
      <c r="H553" t="s">
        <v>267</v>
      </c>
      <c r="I553" t="s">
        <v>1868</v>
      </c>
      <c r="J553">
        <v>5</v>
      </c>
      <c r="K553" t="s">
        <v>267</v>
      </c>
      <c r="L553" t="s">
        <v>1028</v>
      </c>
      <c r="M553">
        <v>11</v>
      </c>
      <c r="N553" t="s">
        <v>34</v>
      </c>
      <c r="O553" t="s">
        <v>35</v>
      </c>
      <c r="Q553" t="s">
        <v>36</v>
      </c>
      <c r="R553">
        <v>35</v>
      </c>
      <c r="S553" t="s">
        <v>49</v>
      </c>
      <c r="T553" t="s">
        <v>38</v>
      </c>
      <c r="U553">
        <v>2</v>
      </c>
      <c r="V553" t="s">
        <v>39</v>
      </c>
      <c r="W553" t="s">
        <v>165</v>
      </c>
      <c r="X553" t="s">
        <v>41</v>
      </c>
      <c r="Y553" t="s">
        <v>71</v>
      </c>
    </row>
    <row r="554" spans="1:25">
      <c r="A554" t="s">
        <v>2067</v>
      </c>
      <c r="B554" t="s">
        <v>2068</v>
      </c>
      <c r="C554" t="s">
        <v>56</v>
      </c>
      <c r="D554">
        <v>20</v>
      </c>
      <c r="E554" t="s">
        <v>28</v>
      </c>
      <c r="F554" t="s">
        <v>29</v>
      </c>
      <c r="G554" t="s">
        <v>30</v>
      </c>
      <c r="H554" t="s">
        <v>1092</v>
      </c>
      <c r="I554" t="s">
        <v>601</v>
      </c>
      <c r="J554">
        <v>5</v>
      </c>
      <c r="K554" t="s">
        <v>1092</v>
      </c>
      <c r="L554" t="s">
        <v>523</v>
      </c>
      <c r="M554">
        <v>13</v>
      </c>
      <c r="N554" t="s">
        <v>34</v>
      </c>
      <c r="O554" t="s">
        <v>35</v>
      </c>
      <c r="Q554" t="s">
        <v>36</v>
      </c>
      <c r="R554">
        <v>35</v>
      </c>
      <c r="S554" t="s">
        <v>49</v>
      </c>
      <c r="T554" t="s">
        <v>50</v>
      </c>
      <c r="U554">
        <v>2</v>
      </c>
      <c r="V554" t="s">
        <v>89</v>
      </c>
      <c r="W554" t="s">
        <v>165</v>
      </c>
      <c r="X554" t="s">
        <v>52</v>
      </c>
      <c r="Y554" t="s">
        <v>71</v>
      </c>
    </row>
    <row r="555" spans="1:25">
      <c r="A555" t="s">
        <v>2069</v>
      </c>
      <c r="B555" t="s">
        <v>2070</v>
      </c>
      <c r="C555" t="s">
        <v>204</v>
      </c>
      <c r="D555">
        <v>90</v>
      </c>
      <c r="E555" t="s">
        <v>92</v>
      </c>
      <c r="F555" t="s">
        <v>29</v>
      </c>
      <c r="G555" t="s">
        <v>150</v>
      </c>
      <c r="H555" t="s">
        <v>247</v>
      </c>
      <c r="I555" t="s">
        <v>1070</v>
      </c>
      <c r="J555">
        <v>24</v>
      </c>
      <c r="K555" t="s">
        <v>586</v>
      </c>
      <c r="L555" t="s">
        <v>939</v>
      </c>
      <c r="M555">
        <v>26</v>
      </c>
      <c r="N555" t="s">
        <v>34</v>
      </c>
      <c r="O555" t="s">
        <v>35</v>
      </c>
      <c r="Q555" t="s">
        <v>36</v>
      </c>
      <c r="R555">
        <v>50</v>
      </c>
      <c r="S555" t="s">
        <v>37</v>
      </c>
      <c r="T555" t="s">
        <v>50</v>
      </c>
      <c r="U555">
        <v>2</v>
      </c>
      <c r="V555" t="s">
        <v>62</v>
      </c>
      <c r="W555" t="s">
        <v>40</v>
      </c>
      <c r="X555" t="s">
        <v>41</v>
      </c>
      <c r="Y555" t="s">
        <v>42</v>
      </c>
    </row>
    <row r="556" spans="1:25">
      <c r="A556" t="s">
        <v>2071</v>
      </c>
      <c r="B556" t="s">
        <v>2072</v>
      </c>
      <c r="C556" t="s">
        <v>56</v>
      </c>
      <c r="D556">
        <v>83</v>
      </c>
      <c r="E556" t="s">
        <v>57</v>
      </c>
      <c r="F556" t="s">
        <v>29</v>
      </c>
      <c r="G556" t="s">
        <v>58</v>
      </c>
      <c r="H556" t="s">
        <v>537</v>
      </c>
      <c r="I556" t="s">
        <v>2073</v>
      </c>
      <c r="J556">
        <v>3</v>
      </c>
      <c r="K556" t="s">
        <v>537</v>
      </c>
      <c r="L556" t="s">
        <v>2074</v>
      </c>
      <c r="M556">
        <v>11</v>
      </c>
      <c r="N556" t="s">
        <v>34</v>
      </c>
      <c r="O556" t="s">
        <v>35</v>
      </c>
      <c r="Q556" t="s">
        <v>36</v>
      </c>
      <c r="R556">
        <v>15</v>
      </c>
      <c r="S556" t="s">
        <v>77</v>
      </c>
      <c r="T556" t="s">
        <v>96</v>
      </c>
      <c r="U556">
        <v>4</v>
      </c>
      <c r="V556" t="s">
        <v>70</v>
      </c>
      <c r="W556" t="s">
        <v>165</v>
      </c>
      <c r="X556" t="s">
        <v>41</v>
      </c>
      <c r="Y556" t="s">
        <v>42</v>
      </c>
    </row>
    <row r="557" spans="1:25">
      <c r="A557" t="s">
        <v>2075</v>
      </c>
      <c r="B557" t="s">
        <v>2076</v>
      </c>
      <c r="C557" t="s">
        <v>56</v>
      </c>
      <c r="D557">
        <v>16</v>
      </c>
      <c r="E557" t="s">
        <v>92</v>
      </c>
      <c r="F557" t="s">
        <v>29</v>
      </c>
      <c r="G557" t="s">
        <v>58</v>
      </c>
      <c r="H557" t="s">
        <v>287</v>
      </c>
      <c r="I557" t="s">
        <v>2077</v>
      </c>
      <c r="J557">
        <v>24</v>
      </c>
      <c r="K557" t="s">
        <v>1248</v>
      </c>
      <c r="L557" t="s">
        <v>176</v>
      </c>
      <c r="M557">
        <v>27</v>
      </c>
      <c r="N557" t="s">
        <v>34</v>
      </c>
      <c r="O557" t="s">
        <v>35</v>
      </c>
      <c r="Q557" t="s">
        <v>36</v>
      </c>
      <c r="R557">
        <v>50</v>
      </c>
      <c r="S557" t="s">
        <v>77</v>
      </c>
      <c r="T557" t="s">
        <v>88</v>
      </c>
      <c r="U557">
        <v>5</v>
      </c>
      <c r="V557" t="s">
        <v>70</v>
      </c>
      <c r="W557" t="s">
        <v>51</v>
      </c>
      <c r="X557" t="s">
        <v>52</v>
      </c>
      <c r="Y557" t="s">
        <v>42</v>
      </c>
    </row>
    <row r="558" spans="1:25">
      <c r="A558" t="s">
        <v>2078</v>
      </c>
      <c r="B558" t="s">
        <v>2079</v>
      </c>
      <c r="C558" t="s">
        <v>56</v>
      </c>
      <c r="D558">
        <v>55</v>
      </c>
      <c r="E558" t="s">
        <v>92</v>
      </c>
      <c r="F558" t="s">
        <v>29</v>
      </c>
      <c r="G558" t="s">
        <v>93</v>
      </c>
      <c r="H558" t="s">
        <v>337</v>
      </c>
      <c r="I558" t="s">
        <v>642</v>
      </c>
      <c r="J558">
        <v>24</v>
      </c>
      <c r="K558" t="s">
        <v>338</v>
      </c>
      <c r="L558" t="s">
        <v>140</v>
      </c>
      <c r="M558">
        <v>27</v>
      </c>
      <c r="N558" t="s">
        <v>34</v>
      </c>
      <c r="O558" t="s">
        <v>35</v>
      </c>
      <c r="Q558" t="s">
        <v>36</v>
      </c>
      <c r="R558">
        <v>50</v>
      </c>
      <c r="S558" t="s">
        <v>37</v>
      </c>
      <c r="T558" t="s">
        <v>50</v>
      </c>
      <c r="U558">
        <v>2</v>
      </c>
      <c r="V558" t="s">
        <v>89</v>
      </c>
      <c r="W558" t="s">
        <v>103</v>
      </c>
      <c r="X558" t="s">
        <v>41</v>
      </c>
      <c r="Y558" t="s">
        <v>53</v>
      </c>
    </row>
    <row r="559" spans="1:25">
      <c r="A559" t="s">
        <v>2080</v>
      </c>
      <c r="B559" t="s">
        <v>2081</v>
      </c>
      <c r="C559" t="s">
        <v>27</v>
      </c>
      <c r="D559">
        <v>7</v>
      </c>
      <c r="E559" t="s">
        <v>92</v>
      </c>
      <c r="F559" t="s">
        <v>29</v>
      </c>
      <c r="G559" t="s">
        <v>45</v>
      </c>
      <c r="H559" t="s">
        <v>1170</v>
      </c>
      <c r="I559" t="s">
        <v>2082</v>
      </c>
      <c r="J559">
        <v>24</v>
      </c>
      <c r="K559" t="s">
        <v>1053</v>
      </c>
      <c r="L559" t="s">
        <v>2083</v>
      </c>
      <c r="M559">
        <v>30</v>
      </c>
      <c r="N559" t="s">
        <v>34</v>
      </c>
      <c r="O559" t="s">
        <v>35</v>
      </c>
      <c r="Q559" t="s">
        <v>36</v>
      </c>
      <c r="R559">
        <v>50</v>
      </c>
      <c r="S559" t="s">
        <v>49</v>
      </c>
      <c r="T559" t="s">
        <v>38</v>
      </c>
      <c r="U559">
        <v>1</v>
      </c>
      <c r="V559" t="s">
        <v>70</v>
      </c>
      <c r="W559" t="s">
        <v>165</v>
      </c>
      <c r="X559" t="s">
        <v>52</v>
      </c>
      <c r="Y559" t="s">
        <v>71</v>
      </c>
    </row>
    <row r="560" spans="1:25">
      <c r="A560" t="s">
        <v>2084</v>
      </c>
      <c r="B560" t="s">
        <v>2085</v>
      </c>
      <c r="C560" t="s">
        <v>204</v>
      </c>
      <c r="D560">
        <v>41</v>
      </c>
      <c r="E560" t="s">
        <v>173</v>
      </c>
      <c r="F560" t="s">
        <v>29</v>
      </c>
      <c r="G560" t="s">
        <v>30</v>
      </c>
      <c r="H560" t="s">
        <v>189</v>
      </c>
      <c r="I560" t="s">
        <v>1605</v>
      </c>
      <c r="J560">
        <v>4</v>
      </c>
      <c r="K560" t="s">
        <v>1283</v>
      </c>
      <c r="L560" t="s">
        <v>2086</v>
      </c>
      <c r="M560">
        <v>11</v>
      </c>
      <c r="N560" t="s">
        <v>34</v>
      </c>
      <c r="O560" t="s">
        <v>35</v>
      </c>
      <c r="Q560" t="s">
        <v>36</v>
      </c>
      <c r="R560">
        <v>25</v>
      </c>
      <c r="S560" t="s">
        <v>77</v>
      </c>
      <c r="T560" t="s">
        <v>69</v>
      </c>
      <c r="U560">
        <v>2</v>
      </c>
      <c r="V560" t="s">
        <v>62</v>
      </c>
      <c r="W560" t="s">
        <v>165</v>
      </c>
      <c r="X560" t="s">
        <v>109</v>
      </c>
      <c r="Y560" t="s">
        <v>53</v>
      </c>
    </row>
    <row r="561" spans="1:25">
      <c r="A561" t="s">
        <v>2087</v>
      </c>
      <c r="B561" t="s">
        <v>2088</v>
      </c>
      <c r="C561" t="s">
        <v>56</v>
      </c>
      <c r="D561">
        <v>22</v>
      </c>
      <c r="E561" t="s">
        <v>149</v>
      </c>
      <c r="F561" t="s">
        <v>29</v>
      </c>
      <c r="G561" t="s">
        <v>168</v>
      </c>
      <c r="H561" t="s">
        <v>130</v>
      </c>
      <c r="I561" t="s">
        <v>743</v>
      </c>
      <c r="J561">
        <v>6</v>
      </c>
      <c r="K561" t="s">
        <v>405</v>
      </c>
      <c r="L561" t="s">
        <v>2089</v>
      </c>
      <c r="M561">
        <v>14</v>
      </c>
      <c r="N561" t="s">
        <v>34</v>
      </c>
      <c r="O561" t="s">
        <v>35</v>
      </c>
      <c r="Q561" t="s">
        <v>36</v>
      </c>
      <c r="R561">
        <v>40</v>
      </c>
      <c r="S561" t="s">
        <v>77</v>
      </c>
      <c r="T561" t="s">
        <v>38</v>
      </c>
      <c r="U561">
        <v>1</v>
      </c>
      <c r="V561" t="s">
        <v>62</v>
      </c>
      <c r="W561" t="s">
        <v>40</v>
      </c>
      <c r="X561" t="s">
        <v>41</v>
      </c>
      <c r="Y561" t="s">
        <v>53</v>
      </c>
    </row>
    <row r="562" spans="1:25">
      <c r="A562" t="s">
        <v>2090</v>
      </c>
      <c r="B562" t="s">
        <v>2091</v>
      </c>
      <c r="C562" t="s">
        <v>56</v>
      </c>
      <c r="D562">
        <v>85</v>
      </c>
      <c r="E562" t="s">
        <v>149</v>
      </c>
      <c r="F562" t="s">
        <v>29</v>
      </c>
      <c r="G562" t="s">
        <v>30</v>
      </c>
      <c r="H562" t="s">
        <v>542</v>
      </c>
      <c r="I562" t="s">
        <v>124</v>
      </c>
      <c r="J562">
        <v>6</v>
      </c>
      <c r="K562" t="s">
        <v>542</v>
      </c>
      <c r="L562" t="s">
        <v>1262</v>
      </c>
      <c r="M562">
        <v>8</v>
      </c>
      <c r="N562" t="s">
        <v>34</v>
      </c>
      <c r="O562" t="s">
        <v>35</v>
      </c>
      <c r="Q562" t="s">
        <v>36</v>
      </c>
      <c r="R562">
        <v>40</v>
      </c>
      <c r="S562" t="s">
        <v>37</v>
      </c>
      <c r="T562" t="s">
        <v>88</v>
      </c>
      <c r="U562">
        <v>4</v>
      </c>
      <c r="V562" t="s">
        <v>89</v>
      </c>
      <c r="W562" t="s">
        <v>51</v>
      </c>
      <c r="X562" t="s">
        <v>52</v>
      </c>
      <c r="Y562" t="s">
        <v>71</v>
      </c>
    </row>
    <row r="563" spans="1:25">
      <c r="A563" t="s">
        <v>2092</v>
      </c>
      <c r="B563" t="s">
        <v>2093</v>
      </c>
      <c r="C563" t="s">
        <v>27</v>
      </c>
      <c r="D563">
        <v>43</v>
      </c>
      <c r="E563" t="s">
        <v>173</v>
      </c>
      <c r="F563" t="s">
        <v>29</v>
      </c>
      <c r="G563" t="s">
        <v>168</v>
      </c>
      <c r="H563" t="s">
        <v>1069</v>
      </c>
      <c r="I563" t="s">
        <v>2094</v>
      </c>
      <c r="J563">
        <v>4</v>
      </c>
      <c r="K563" t="s">
        <v>1069</v>
      </c>
      <c r="L563" t="s">
        <v>136</v>
      </c>
      <c r="M563">
        <v>6</v>
      </c>
      <c r="N563" t="s">
        <v>34</v>
      </c>
      <c r="O563" t="s">
        <v>270</v>
      </c>
      <c r="P563" t="s">
        <v>271</v>
      </c>
      <c r="Q563" t="s">
        <v>36</v>
      </c>
      <c r="R563">
        <v>25</v>
      </c>
      <c r="S563" t="s">
        <v>49</v>
      </c>
      <c r="T563" t="s">
        <v>96</v>
      </c>
      <c r="U563">
        <v>3</v>
      </c>
      <c r="V563" t="s">
        <v>89</v>
      </c>
      <c r="W563" t="s">
        <v>165</v>
      </c>
      <c r="X563" t="s">
        <v>52</v>
      </c>
      <c r="Y563" t="s">
        <v>42</v>
      </c>
    </row>
    <row r="564" spans="1:25">
      <c r="A564" t="s">
        <v>2095</v>
      </c>
      <c r="B564" t="s">
        <v>2096</v>
      </c>
      <c r="C564" t="s">
        <v>204</v>
      </c>
      <c r="D564">
        <v>19</v>
      </c>
      <c r="E564" t="s">
        <v>92</v>
      </c>
      <c r="F564" t="s">
        <v>29</v>
      </c>
      <c r="G564" t="s">
        <v>93</v>
      </c>
      <c r="H564" t="s">
        <v>544</v>
      </c>
      <c r="I564" t="s">
        <v>527</v>
      </c>
      <c r="J564">
        <v>24</v>
      </c>
      <c r="K564" t="s">
        <v>784</v>
      </c>
      <c r="L564" t="s">
        <v>2082</v>
      </c>
      <c r="M564">
        <v>27</v>
      </c>
      <c r="N564" t="s">
        <v>34</v>
      </c>
      <c r="O564" t="s">
        <v>35</v>
      </c>
      <c r="Q564" t="s">
        <v>36</v>
      </c>
      <c r="R564">
        <v>50</v>
      </c>
      <c r="S564" t="s">
        <v>37</v>
      </c>
      <c r="T564" t="s">
        <v>164</v>
      </c>
      <c r="U564">
        <v>3</v>
      </c>
      <c r="V564" t="s">
        <v>62</v>
      </c>
      <c r="W564" t="s">
        <v>165</v>
      </c>
      <c r="X564" t="s">
        <v>109</v>
      </c>
      <c r="Y564" t="s">
        <v>71</v>
      </c>
    </row>
    <row r="565" spans="1:25">
      <c r="A565" t="s">
        <v>2097</v>
      </c>
      <c r="B565" t="s">
        <v>2098</v>
      </c>
      <c r="C565" t="s">
        <v>27</v>
      </c>
      <c r="D565">
        <v>13</v>
      </c>
      <c r="E565" t="s">
        <v>149</v>
      </c>
      <c r="F565" t="s">
        <v>29</v>
      </c>
      <c r="G565" t="s">
        <v>30</v>
      </c>
      <c r="H565" t="s">
        <v>1113</v>
      </c>
      <c r="I565" t="s">
        <v>2099</v>
      </c>
      <c r="J565">
        <v>6</v>
      </c>
      <c r="K565" t="s">
        <v>1113</v>
      </c>
      <c r="L565" t="s">
        <v>2100</v>
      </c>
      <c r="M565">
        <v>10</v>
      </c>
      <c r="N565" t="s">
        <v>34</v>
      </c>
      <c r="O565" t="s">
        <v>35</v>
      </c>
      <c r="Q565" t="s">
        <v>36</v>
      </c>
      <c r="R565">
        <v>40</v>
      </c>
      <c r="S565" t="s">
        <v>77</v>
      </c>
      <c r="T565" t="s">
        <v>38</v>
      </c>
      <c r="U565">
        <v>1</v>
      </c>
      <c r="V565" t="s">
        <v>89</v>
      </c>
      <c r="W565" t="s">
        <v>51</v>
      </c>
      <c r="X565" t="s">
        <v>109</v>
      </c>
      <c r="Y565" t="s">
        <v>53</v>
      </c>
    </row>
    <row r="566" spans="1:25">
      <c r="A566" t="s">
        <v>2101</v>
      </c>
      <c r="B566" t="s">
        <v>2102</v>
      </c>
      <c r="C566" t="s">
        <v>27</v>
      </c>
      <c r="D566">
        <v>20</v>
      </c>
      <c r="E566" t="s">
        <v>92</v>
      </c>
      <c r="F566" t="s">
        <v>29</v>
      </c>
      <c r="G566" t="s">
        <v>30</v>
      </c>
      <c r="H566" t="s">
        <v>500</v>
      </c>
      <c r="I566" t="s">
        <v>311</v>
      </c>
      <c r="J566">
        <v>24</v>
      </c>
      <c r="K566" t="s">
        <v>151</v>
      </c>
      <c r="L566" t="s">
        <v>1584</v>
      </c>
      <c r="M566">
        <v>25</v>
      </c>
      <c r="N566" t="s">
        <v>34</v>
      </c>
      <c r="O566" t="s">
        <v>270</v>
      </c>
      <c r="P566" t="s">
        <v>677</v>
      </c>
      <c r="Q566" t="s">
        <v>36</v>
      </c>
      <c r="R566">
        <v>50</v>
      </c>
      <c r="S566" t="s">
        <v>37</v>
      </c>
      <c r="T566" t="s">
        <v>50</v>
      </c>
      <c r="U566">
        <v>1</v>
      </c>
      <c r="V566" t="s">
        <v>70</v>
      </c>
      <c r="W566" t="s">
        <v>103</v>
      </c>
      <c r="X566" t="s">
        <v>52</v>
      </c>
      <c r="Y566" t="s">
        <v>42</v>
      </c>
    </row>
    <row r="567" spans="1:25">
      <c r="A567" t="s">
        <v>2103</v>
      </c>
      <c r="B567" t="s">
        <v>2104</v>
      </c>
      <c r="C567" t="s">
        <v>56</v>
      </c>
      <c r="D567">
        <v>76</v>
      </c>
      <c r="E567" t="s">
        <v>57</v>
      </c>
      <c r="F567" t="s">
        <v>29</v>
      </c>
      <c r="G567" t="s">
        <v>45</v>
      </c>
      <c r="H567" t="s">
        <v>135</v>
      </c>
      <c r="I567" t="s">
        <v>1896</v>
      </c>
      <c r="J567">
        <v>3</v>
      </c>
      <c r="K567" t="s">
        <v>135</v>
      </c>
      <c r="L567" t="s">
        <v>1487</v>
      </c>
      <c r="M567">
        <v>2</v>
      </c>
      <c r="N567" t="s">
        <v>68</v>
      </c>
      <c r="O567" t="s">
        <v>35</v>
      </c>
      <c r="Q567" t="s">
        <v>36</v>
      </c>
      <c r="R567">
        <v>15</v>
      </c>
      <c r="S567" t="s">
        <v>77</v>
      </c>
      <c r="T567" t="s">
        <v>69</v>
      </c>
      <c r="U567">
        <v>5</v>
      </c>
      <c r="V567" t="s">
        <v>39</v>
      </c>
      <c r="W567" t="s">
        <v>165</v>
      </c>
      <c r="X567" t="s">
        <v>109</v>
      </c>
      <c r="Y567" t="s">
        <v>42</v>
      </c>
    </row>
    <row r="568" spans="1:25">
      <c r="A568" t="s">
        <v>2105</v>
      </c>
      <c r="B568" t="s">
        <v>2106</v>
      </c>
      <c r="C568" t="s">
        <v>204</v>
      </c>
      <c r="D568">
        <v>13</v>
      </c>
      <c r="E568" t="s">
        <v>173</v>
      </c>
      <c r="F568" t="s">
        <v>29</v>
      </c>
      <c r="G568" t="s">
        <v>168</v>
      </c>
      <c r="H568" t="s">
        <v>396</v>
      </c>
      <c r="I568" t="s">
        <v>2107</v>
      </c>
      <c r="J568">
        <v>4</v>
      </c>
      <c r="K568" t="s">
        <v>396</v>
      </c>
      <c r="L568" t="s">
        <v>2108</v>
      </c>
      <c r="M568">
        <v>3</v>
      </c>
      <c r="N568" t="s">
        <v>68</v>
      </c>
      <c r="O568" t="s">
        <v>35</v>
      </c>
      <c r="Q568" t="s">
        <v>36</v>
      </c>
      <c r="R568">
        <v>25</v>
      </c>
      <c r="S568" t="s">
        <v>77</v>
      </c>
      <c r="T568" t="s">
        <v>88</v>
      </c>
      <c r="U568">
        <v>1</v>
      </c>
      <c r="V568" t="s">
        <v>39</v>
      </c>
      <c r="W568" t="s">
        <v>40</v>
      </c>
      <c r="X568" t="s">
        <v>109</v>
      </c>
      <c r="Y568" t="s">
        <v>42</v>
      </c>
    </row>
    <row r="569" spans="1:25">
      <c r="A569" t="s">
        <v>2109</v>
      </c>
      <c r="B569" t="s">
        <v>2110</v>
      </c>
      <c r="C569" t="s">
        <v>27</v>
      </c>
      <c r="D569">
        <v>20</v>
      </c>
      <c r="E569" t="s">
        <v>28</v>
      </c>
      <c r="F569" t="s">
        <v>29</v>
      </c>
      <c r="G569" t="s">
        <v>30</v>
      </c>
      <c r="H569" t="s">
        <v>2111</v>
      </c>
      <c r="I569" t="s">
        <v>1834</v>
      </c>
      <c r="J569">
        <v>5</v>
      </c>
      <c r="K569" t="s">
        <v>2111</v>
      </c>
      <c r="L569" t="s">
        <v>2112</v>
      </c>
      <c r="M569">
        <v>12</v>
      </c>
      <c r="N569" t="s">
        <v>34</v>
      </c>
      <c r="O569" t="s">
        <v>35</v>
      </c>
      <c r="Q569" t="s">
        <v>36</v>
      </c>
      <c r="R569">
        <v>35</v>
      </c>
      <c r="S569" t="s">
        <v>49</v>
      </c>
      <c r="T569" t="s">
        <v>38</v>
      </c>
      <c r="U569">
        <v>5</v>
      </c>
      <c r="V569" t="s">
        <v>62</v>
      </c>
      <c r="W569" t="s">
        <v>165</v>
      </c>
      <c r="X569" t="s">
        <v>109</v>
      </c>
      <c r="Y569" t="s">
        <v>42</v>
      </c>
    </row>
    <row r="570" spans="1:25">
      <c r="A570" t="s">
        <v>2113</v>
      </c>
      <c r="B570" t="s">
        <v>2114</v>
      </c>
      <c r="C570" t="s">
        <v>80</v>
      </c>
      <c r="D570">
        <v>63</v>
      </c>
      <c r="E570" t="s">
        <v>57</v>
      </c>
      <c r="F570" t="s">
        <v>29</v>
      </c>
      <c r="G570" t="s">
        <v>30</v>
      </c>
      <c r="H570" t="s">
        <v>615</v>
      </c>
      <c r="I570" t="s">
        <v>1023</v>
      </c>
      <c r="J570">
        <v>3</v>
      </c>
      <c r="K570" t="s">
        <v>615</v>
      </c>
      <c r="L570" t="s">
        <v>980</v>
      </c>
      <c r="M570">
        <v>2</v>
      </c>
      <c r="N570" t="s">
        <v>68</v>
      </c>
      <c r="O570" t="s">
        <v>35</v>
      </c>
      <c r="Q570" t="s">
        <v>36</v>
      </c>
      <c r="R570">
        <v>15</v>
      </c>
      <c r="S570" t="s">
        <v>37</v>
      </c>
      <c r="T570" t="s">
        <v>88</v>
      </c>
      <c r="U570">
        <v>3</v>
      </c>
      <c r="V570" t="s">
        <v>39</v>
      </c>
      <c r="W570" t="s">
        <v>103</v>
      </c>
      <c r="X570" t="s">
        <v>109</v>
      </c>
      <c r="Y570" t="s">
        <v>53</v>
      </c>
    </row>
    <row r="571" spans="1:25">
      <c r="A571" t="s">
        <v>2115</v>
      </c>
      <c r="B571" t="s">
        <v>2116</v>
      </c>
      <c r="C571" t="s">
        <v>80</v>
      </c>
      <c r="D571">
        <v>30</v>
      </c>
      <c r="E571" t="s">
        <v>173</v>
      </c>
      <c r="F571" t="s">
        <v>29</v>
      </c>
      <c r="G571" t="s">
        <v>83</v>
      </c>
      <c r="H571" t="s">
        <v>1213</v>
      </c>
      <c r="I571" t="s">
        <v>2117</v>
      </c>
      <c r="J571">
        <v>4</v>
      </c>
      <c r="K571" t="s">
        <v>1213</v>
      </c>
      <c r="L571" t="s">
        <v>2118</v>
      </c>
      <c r="M571">
        <v>4</v>
      </c>
      <c r="N571" t="s">
        <v>68</v>
      </c>
      <c r="O571" t="s">
        <v>35</v>
      </c>
      <c r="Q571" t="s">
        <v>36</v>
      </c>
      <c r="R571">
        <v>25</v>
      </c>
      <c r="S571" t="s">
        <v>77</v>
      </c>
      <c r="T571" t="s">
        <v>164</v>
      </c>
      <c r="U571">
        <v>3</v>
      </c>
      <c r="V571" t="s">
        <v>70</v>
      </c>
      <c r="W571" t="s">
        <v>51</v>
      </c>
      <c r="X571" t="s">
        <v>41</v>
      </c>
      <c r="Y571" t="s">
        <v>53</v>
      </c>
    </row>
    <row r="572" spans="1:25">
      <c r="A572" t="s">
        <v>2119</v>
      </c>
      <c r="B572" t="s">
        <v>2120</v>
      </c>
      <c r="C572" t="s">
        <v>27</v>
      </c>
      <c r="D572">
        <v>76</v>
      </c>
      <c r="E572" t="s">
        <v>149</v>
      </c>
      <c r="F572" t="s">
        <v>29</v>
      </c>
      <c r="G572" t="s">
        <v>30</v>
      </c>
      <c r="H572" t="s">
        <v>1804</v>
      </c>
      <c r="I572" t="s">
        <v>2121</v>
      </c>
      <c r="J572">
        <v>6</v>
      </c>
      <c r="K572" t="s">
        <v>319</v>
      </c>
      <c r="L572" t="s">
        <v>158</v>
      </c>
      <c r="M572">
        <v>10</v>
      </c>
      <c r="N572" t="s">
        <v>34</v>
      </c>
      <c r="O572" t="s">
        <v>35</v>
      </c>
      <c r="Q572" t="s">
        <v>36</v>
      </c>
      <c r="R572">
        <v>40</v>
      </c>
      <c r="S572" t="s">
        <v>77</v>
      </c>
      <c r="T572" t="s">
        <v>38</v>
      </c>
      <c r="U572">
        <v>3</v>
      </c>
      <c r="V572" t="s">
        <v>89</v>
      </c>
      <c r="W572" t="s">
        <v>103</v>
      </c>
      <c r="X572" t="s">
        <v>52</v>
      </c>
      <c r="Y572" t="s">
        <v>71</v>
      </c>
    </row>
    <row r="573" spans="1:25">
      <c r="A573" t="s">
        <v>2122</v>
      </c>
      <c r="B573" t="s">
        <v>2123</v>
      </c>
      <c r="C573" t="s">
        <v>56</v>
      </c>
      <c r="D573">
        <v>77</v>
      </c>
      <c r="E573" t="s">
        <v>149</v>
      </c>
      <c r="F573" t="s">
        <v>29</v>
      </c>
      <c r="G573" t="s">
        <v>58</v>
      </c>
      <c r="H573" t="s">
        <v>919</v>
      </c>
      <c r="I573" t="s">
        <v>1059</v>
      </c>
      <c r="J573">
        <v>6</v>
      </c>
      <c r="K573" t="s">
        <v>919</v>
      </c>
      <c r="L573" t="s">
        <v>2124</v>
      </c>
      <c r="M573">
        <v>13</v>
      </c>
      <c r="N573" t="s">
        <v>34</v>
      </c>
      <c r="O573" t="s">
        <v>35</v>
      </c>
      <c r="Q573" t="s">
        <v>36</v>
      </c>
      <c r="R573">
        <v>40</v>
      </c>
      <c r="S573" t="s">
        <v>49</v>
      </c>
      <c r="T573" t="s">
        <v>96</v>
      </c>
      <c r="U573">
        <v>1</v>
      </c>
      <c r="V573" t="s">
        <v>70</v>
      </c>
      <c r="W573" t="s">
        <v>51</v>
      </c>
      <c r="X573" t="s">
        <v>52</v>
      </c>
      <c r="Y573" t="s">
        <v>71</v>
      </c>
    </row>
    <row r="574" spans="1:25">
      <c r="A574" t="s">
        <v>2125</v>
      </c>
      <c r="B574" t="s">
        <v>2126</v>
      </c>
      <c r="C574" t="s">
        <v>56</v>
      </c>
      <c r="D574">
        <v>16</v>
      </c>
      <c r="E574" t="s">
        <v>92</v>
      </c>
      <c r="F574" t="s">
        <v>29</v>
      </c>
      <c r="G574" t="s">
        <v>93</v>
      </c>
      <c r="H574" t="s">
        <v>333</v>
      </c>
      <c r="I574" t="s">
        <v>1123</v>
      </c>
      <c r="J574">
        <v>24</v>
      </c>
      <c r="K574" t="s">
        <v>411</v>
      </c>
      <c r="L574" t="s">
        <v>2060</v>
      </c>
      <c r="M574">
        <v>27</v>
      </c>
      <c r="N574" t="s">
        <v>34</v>
      </c>
      <c r="O574" t="s">
        <v>35</v>
      </c>
      <c r="Q574" t="s">
        <v>36</v>
      </c>
      <c r="R574">
        <v>50</v>
      </c>
      <c r="S574" t="s">
        <v>37</v>
      </c>
      <c r="T574" t="s">
        <v>38</v>
      </c>
      <c r="U574">
        <v>4</v>
      </c>
      <c r="V574" t="s">
        <v>70</v>
      </c>
      <c r="W574" t="s">
        <v>51</v>
      </c>
      <c r="X574" t="s">
        <v>109</v>
      </c>
      <c r="Y574" t="s">
        <v>71</v>
      </c>
    </row>
    <row r="575" spans="1:25">
      <c r="A575" t="s">
        <v>2127</v>
      </c>
      <c r="B575" t="s">
        <v>2128</v>
      </c>
      <c r="C575" t="s">
        <v>204</v>
      </c>
      <c r="D575">
        <v>59</v>
      </c>
      <c r="E575" t="s">
        <v>92</v>
      </c>
      <c r="F575" t="s">
        <v>29</v>
      </c>
      <c r="G575" t="s">
        <v>93</v>
      </c>
      <c r="H575" t="s">
        <v>433</v>
      </c>
      <c r="I575" t="s">
        <v>1737</v>
      </c>
      <c r="J575">
        <v>24</v>
      </c>
      <c r="K575" t="s">
        <v>1638</v>
      </c>
      <c r="L575" t="s">
        <v>1437</v>
      </c>
      <c r="M575">
        <v>25</v>
      </c>
      <c r="N575" t="s">
        <v>34</v>
      </c>
      <c r="O575" t="s">
        <v>35</v>
      </c>
      <c r="Q575" t="s">
        <v>36</v>
      </c>
      <c r="R575">
        <v>50</v>
      </c>
      <c r="S575" t="s">
        <v>49</v>
      </c>
      <c r="T575" t="s">
        <v>88</v>
      </c>
      <c r="U575">
        <v>3</v>
      </c>
      <c r="V575" t="s">
        <v>62</v>
      </c>
      <c r="W575" t="s">
        <v>51</v>
      </c>
      <c r="X575" t="s">
        <v>52</v>
      </c>
      <c r="Y575" t="s">
        <v>71</v>
      </c>
    </row>
    <row r="576" spans="1:25">
      <c r="A576" t="s">
        <v>2129</v>
      </c>
      <c r="B576" t="s">
        <v>2130</v>
      </c>
      <c r="C576" t="s">
        <v>56</v>
      </c>
      <c r="D576">
        <v>81</v>
      </c>
      <c r="E576" t="s">
        <v>92</v>
      </c>
      <c r="F576" t="s">
        <v>29</v>
      </c>
      <c r="G576" t="s">
        <v>93</v>
      </c>
      <c r="H576" t="s">
        <v>700</v>
      </c>
      <c r="I576" t="s">
        <v>1545</v>
      </c>
      <c r="J576">
        <v>24</v>
      </c>
      <c r="K576" t="s">
        <v>712</v>
      </c>
      <c r="L576" t="s">
        <v>2131</v>
      </c>
      <c r="M576">
        <v>32</v>
      </c>
      <c r="N576" t="s">
        <v>34</v>
      </c>
      <c r="O576" t="s">
        <v>35</v>
      </c>
      <c r="Q576" t="s">
        <v>36</v>
      </c>
      <c r="R576">
        <v>50</v>
      </c>
      <c r="S576" t="s">
        <v>77</v>
      </c>
      <c r="T576" t="s">
        <v>88</v>
      </c>
      <c r="U576">
        <v>4</v>
      </c>
      <c r="V576" t="s">
        <v>39</v>
      </c>
      <c r="W576" t="s">
        <v>103</v>
      </c>
      <c r="X576" t="s">
        <v>41</v>
      </c>
      <c r="Y576" t="s">
        <v>53</v>
      </c>
    </row>
    <row r="577" spans="1:25">
      <c r="A577" t="s">
        <v>2132</v>
      </c>
      <c r="B577" t="s">
        <v>2133</v>
      </c>
      <c r="C577" t="s">
        <v>56</v>
      </c>
      <c r="D577">
        <v>68</v>
      </c>
      <c r="E577" t="s">
        <v>173</v>
      </c>
      <c r="F577" t="s">
        <v>29</v>
      </c>
      <c r="G577" t="s">
        <v>30</v>
      </c>
      <c r="H577" t="s">
        <v>31</v>
      </c>
      <c r="I577" t="s">
        <v>2134</v>
      </c>
      <c r="J577">
        <v>4</v>
      </c>
      <c r="K577" t="s">
        <v>31</v>
      </c>
      <c r="L577" t="s">
        <v>2135</v>
      </c>
      <c r="M577">
        <v>4</v>
      </c>
      <c r="N577" t="s">
        <v>68</v>
      </c>
      <c r="O577" t="s">
        <v>35</v>
      </c>
      <c r="Q577" t="s">
        <v>36</v>
      </c>
      <c r="R577">
        <v>25</v>
      </c>
      <c r="S577" t="s">
        <v>37</v>
      </c>
      <c r="T577" t="s">
        <v>50</v>
      </c>
      <c r="U577">
        <v>1</v>
      </c>
      <c r="V577" t="s">
        <v>70</v>
      </c>
      <c r="W577" t="s">
        <v>40</v>
      </c>
      <c r="X577" t="s">
        <v>41</v>
      </c>
      <c r="Y577" t="s">
        <v>71</v>
      </c>
    </row>
    <row r="578" spans="1:25">
      <c r="A578" t="s">
        <v>2136</v>
      </c>
      <c r="B578" t="s">
        <v>2137</v>
      </c>
      <c r="C578" t="s">
        <v>56</v>
      </c>
      <c r="D578">
        <v>90</v>
      </c>
      <c r="E578" t="s">
        <v>92</v>
      </c>
      <c r="F578" t="s">
        <v>29</v>
      </c>
      <c r="G578" t="s">
        <v>93</v>
      </c>
      <c r="H578" t="s">
        <v>1580</v>
      </c>
      <c r="I578" t="s">
        <v>958</v>
      </c>
      <c r="J578">
        <v>24</v>
      </c>
      <c r="K578" t="s">
        <v>1440</v>
      </c>
      <c r="L578" t="s">
        <v>1717</v>
      </c>
      <c r="M578">
        <v>29</v>
      </c>
      <c r="N578" t="s">
        <v>34</v>
      </c>
      <c r="O578" t="s">
        <v>35</v>
      </c>
      <c r="Q578" t="s">
        <v>36</v>
      </c>
      <c r="R578">
        <v>50</v>
      </c>
      <c r="S578" t="s">
        <v>49</v>
      </c>
      <c r="T578" t="s">
        <v>164</v>
      </c>
      <c r="U578">
        <v>1</v>
      </c>
      <c r="V578" t="s">
        <v>62</v>
      </c>
      <c r="W578" t="s">
        <v>40</v>
      </c>
      <c r="X578" t="s">
        <v>52</v>
      </c>
      <c r="Y578" t="s">
        <v>71</v>
      </c>
    </row>
    <row r="579" spans="1:25">
      <c r="A579" t="s">
        <v>2138</v>
      </c>
      <c r="B579" t="s">
        <v>2139</v>
      </c>
      <c r="C579" t="s">
        <v>27</v>
      </c>
      <c r="D579">
        <v>81</v>
      </c>
      <c r="E579" t="s">
        <v>81</v>
      </c>
      <c r="F579" t="s">
        <v>82</v>
      </c>
      <c r="G579" t="s">
        <v>30</v>
      </c>
      <c r="H579" t="s">
        <v>1293</v>
      </c>
      <c r="I579" t="s">
        <v>2051</v>
      </c>
      <c r="J579">
        <v>8</v>
      </c>
      <c r="K579" t="s">
        <v>1293</v>
      </c>
      <c r="L579" t="s">
        <v>2140</v>
      </c>
      <c r="M579">
        <v>8</v>
      </c>
      <c r="N579" t="s">
        <v>68</v>
      </c>
      <c r="O579" t="s">
        <v>270</v>
      </c>
      <c r="P579" t="s">
        <v>677</v>
      </c>
      <c r="Q579" t="s">
        <v>36</v>
      </c>
      <c r="R579">
        <v>20</v>
      </c>
      <c r="S579" t="s">
        <v>77</v>
      </c>
      <c r="T579" t="s">
        <v>88</v>
      </c>
      <c r="U579">
        <v>3</v>
      </c>
      <c r="V579" t="s">
        <v>70</v>
      </c>
      <c r="W579" t="s">
        <v>165</v>
      </c>
      <c r="X579" t="s">
        <v>109</v>
      </c>
      <c r="Y579" t="s">
        <v>42</v>
      </c>
    </row>
    <row r="580" spans="1:25">
      <c r="A580" t="s">
        <v>2141</v>
      </c>
      <c r="B580" t="s">
        <v>2142</v>
      </c>
      <c r="C580" t="s">
        <v>27</v>
      </c>
      <c r="D580">
        <v>17</v>
      </c>
      <c r="E580" t="s">
        <v>92</v>
      </c>
      <c r="F580" t="s">
        <v>29</v>
      </c>
      <c r="G580" t="s">
        <v>168</v>
      </c>
      <c r="H580" t="s">
        <v>513</v>
      </c>
      <c r="I580" t="s">
        <v>883</v>
      </c>
      <c r="J580">
        <v>24</v>
      </c>
      <c r="K580" t="s">
        <v>363</v>
      </c>
      <c r="L580" t="s">
        <v>596</v>
      </c>
      <c r="M580">
        <v>26</v>
      </c>
      <c r="N580" t="s">
        <v>34</v>
      </c>
      <c r="O580" t="s">
        <v>35</v>
      </c>
      <c r="Q580" t="s">
        <v>36</v>
      </c>
      <c r="R580">
        <v>50</v>
      </c>
      <c r="S580" t="s">
        <v>77</v>
      </c>
      <c r="T580" t="s">
        <v>96</v>
      </c>
      <c r="U580">
        <v>5</v>
      </c>
      <c r="V580" t="s">
        <v>39</v>
      </c>
      <c r="W580" t="s">
        <v>51</v>
      </c>
      <c r="X580" t="s">
        <v>52</v>
      </c>
      <c r="Y580" t="s">
        <v>42</v>
      </c>
    </row>
    <row r="581" spans="1:25">
      <c r="A581" t="s">
        <v>2143</v>
      </c>
      <c r="B581" t="s">
        <v>2144</v>
      </c>
      <c r="C581" t="s">
        <v>27</v>
      </c>
      <c r="D581">
        <v>85</v>
      </c>
      <c r="E581" t="s">
        <v>81</v>
      </c>
      <c r="F581" t="s">
        <v>82</v>
      </c>
      <c r="G581" t="s">
        <v>93</v>
      </c>
      <c r="H581" t="s">
        <v>652</v>
      </c>
      <c r="I581" t="s">
        <v>860</v>
      </c>
      <c r="J581">
        <v>8</v>
      </c>
      <c r="K581" t="s">
        <v>1494</v>
      </c>
      <c r="L581" t="s">
        <v>2145</v>
      </c>
      <c r="M581">
        <v>12</v>
      </c>
      <c r="N581" t="s">
        <v>34</v>
      </c>
      <c r="O581" t="s">
        <v>35</v>
      </c>
      <c r="Q581" t="s">
        <v>36</v>
      </c>
      <c r="R581">
        <v>20</v>
      </c>
      <c r="S581" t="s">
        <v>37</v>
      </c>
      <c r="T581" t="s">
        <v>69</v>
      </c>
      <c r="U581">
        <v>1</v>
      </c>
      <c r="V581" t="s">
        <v>89</v>
      </c>
      <c r="W581" t="s">
        <v>165</v>
      </c>
      <c r="X581" t="s">
        <v>41</v>
      </c>
      <c r="Y581" t="s">
        <v>71</v>
      </c>
    </row>
    <row r="582" spans="1:25">
      <c r="A582" t="s">
        <v>2146</v>
      </c>
      <c r="B582" t="s">
        <v>2147</v>
      </c>
      <c r="C582" t="s">
        <v>204</v>
      </c>
      <c r="D582">
        <v>12</v>
      </c>
      <c r="E582" t="s">
        <v>92</v>
      </c>
      <c r="F582" t="s">
        <v>29</v>
      </c>
      <c r="G582" t="s">
        <v>93</v>
      </c>
      <c r="H582" t="s">
        <v>1170</v>
      </c>
      <c r="I582" t="s">
        <v>1698</v>
      </c>
      <c r="J582">
        <v>24</v>
      </c>
      <c r="K582" t="s">
        <v>1053</v>
      </c>
      <c r="L582" t="s">
        <v>1123</v>
      </c>
      <c r="M582">
        <v>27</v>
      </c>
      <c r="N582" t="s">
        <v>34</v>
      </c>
      <c r="O582" t="s">
        <v>270</v>
      </c>
      <c r="P582" t="s">
        <v>677</v>
      </c>
      <c r="Q582" t="s">
        <v>36</v>
      </c>
      <c r="R582">
        <v>50</v>
      </c>
      <c r="S582" t="s">
        <v>77</v>
      </c>
      <c r="T582" t="s">
        <v>38</v>
      </c>
      <c r="U582">
        <v>1</v>
      </c>
      <c r="V582" t="s">
        <v>89</v>
      </c>
      <c r="W582" t="s">
        <v>103</v>
      </c>
      <c r="X582" t="s">
        <v>109</v>
      </c>
      <c r="Y582" t="s">
        <v>53</v>
      </c>
    </row>
    <row r="583" spans="1:25">
      <c r="A583" t="s">
        <v>2148</v>
      </c>
      <c r="B583" t="s">
        <v>2149</v>
      </c>
      <c r="C583" t="s">
        <v>80</v>
      </c>
      <c r="D583">
        <v>59</v>
      </c>
      <c r="E583" t="s">
        <v>149</v>
      </c>
      <c r="F583" t="s">
        <v>29</v>
      </c>
      <c r="G583" t="s">
        <v>30</v>
      </c>
      <c r="H583" t="s">
        <v>232</v>
      </c>
      <c r="I583" t="s">
        <v>587</v>
      </c>
      <c r="J583">
        <v>6</v>
      </c>
      <c r="K583" t="s">
        <v>232</v>
      </c>
      <c r="L583" t="s">
        <v>588</v>
      </c>
      <c r="M583">
        <v>9</v>
      </c>
      <c r="N583" t="s">
        <v>34</v>
      </c>
      <c r="O583" t="s">
        <v>35</v>
      </c>
      <c r="Q583" t="s">
        <v>36</v>
      </c>
      <c r="R583">
        <v>40</v>
      </c>
      <c r="S583" t="s">
        <v>49</v>
      </c>
      <c r="T583" t="s">
        <v>50</v>
      </c>
      <c r="U583">
        <v>3</v>
      </c>
      <c r="V583" t="s">
        <v>70</v>
      </c>
      <c r="W583" t="s">
        <v>103</v>
      </c>
      <c r="X583" t="s">
        <v>41</v>
      </c>
      <c r="Y583" t="s">
        <v>42</v>
      </c>
    </row>
    <row r="584" spans="1:25">
      <c r="A584" t="s">
        <v>2150</v>
      </c>
      <c r="B584" t="s">
        <v>2151</v>
      </c>
      <c r="C584" t="s">
        <v>204</v>
      </c>
      <c r="D584">
        <v>87</v>
      </c>
      <c r="E584" t="s">
        <v>92</v>
      </c>
      <c r="F584" t="s">
        <v>29</v>
      </c>
      <c r="G584" t="s">
        <v>93</v>
      </c>
      <c r="H584" t="s">
        <v>411</v>
      </c>
      <c r="I584" t="s">
        <v>785</v>
      </c>
      <c r="J584">
        <v>24</v>
      </c>
      <c r="K584" t="s">
        <v>413</v>
      </c>
      <c r="L584" t="s">
        <v>656</v>
      </c>
      <c r="M584">
        <v>23</v>
      </c>
      <c r="N584" t="s">
        <v>68</v>
      </c>
      <c r="O584" t="s">
        <v>35</v>
      </c>
      <c r="Q584" t="s">
        <v>36</v>
      </c>
      <c r="R584">
        <v>50</v>
      </c>
      <c r="S584" t="s">
        <v>49</v>
      </c>
      <c r="T584" t="s">
        <v>69</v>
      </c>
      <c r="U584">
        <v>2</v>
      </c>
      <c r="V584" t="s">
        <v>39</v>
      </c>
      <c r="W584" t="s">
        <v>103</v>
      </c>
      <c r="X584" t="s">
        <v>41</v>
      </c>
      <c r="Y584" t="s">
        <v>42</v>
      </c>
    </row>
    <row r="585" spans="1:25">
      <c r="A585" t="s">
        <v>2152</v>
      </c>
      <c r="B585" t="s">
        <v>2153</v>
      </c>
      <c r="C585" t="s">
        <v>56</v>
      </c>
      <c r="D585">
        <v>45</v>
      </c>
      <c r="E585" t="s">
        <v>92</v>
      </c>
      <c r="F585" t="s">
        <v>29</v>
      </c>
      <c r="G585" t="s">
        <v>93</v>
      </c>
      <c r="H585" t="s">
        <v>342</v>
      </c>
      <c r="I585" t="s">
        <v>2154</v>
      </c>
      <c r="J585">
        <v>24</v>
      </c>
      <c r="K585" t="s">
        <v>344</v>
      </c>
      <c r="L585" t="s">
        <v>633</v>
      </c>
      <c r="M585">
        <v>31</v>
      </c>
      <c r="N585" t="s">
        <v>34</v>
      </c>
      <c r="O585" t="s">
        <v>35</v>
      </c>
      <c r="Q585" t="s">
        <v>36</v>
      </c>
      <c r="R585">
        <v>50</v>
      </c>
      <c r="S585" t="s">
        <v>77</v>
      </c>
      <c r="T585" t="s">
        <v>164</v>
      </c>
      <c r="U585">
        <v>1</v>
      </c>
      <c r="V585" t="s">
        <v>39</v>
      </c>
      <c r="W585" t="s">
        <v>51</v>
      </c>
      <c r="X585" t="s">
        <v>52</v>
      </c>
      <c r="Y585" t="s">
        <v>42</v>
      </c>
    </row>
    <row r="586" spans="1:25">
      <c r="A586" t="s">
        <v>2155</v>
      </c>
      <c r="B586" t="s">
        <v>2156</v>
      </c>
      <c r="C586" t="s">
        <v>80</v>
      </c>
      <c r="D586">
        <v>54</v>
      </c>
      <c r="E586" t="s">
        <v>28</v>
      </c>
      <c r="F586" t="s">
        <v>29</v>
      </c>
      <c r="G586" t="s">
        <v>30</v>
      </c>
      <c r="H586" t="s">
        <v>1638</v>
      </c>
      <c r="I586" t="s">
        <v>2157</v>
      </c>
      <c r="J586">
        <v>5</v>
      </c>
      <c r="K586" t="s">
        <v>1638</v>
      </c>
      <c r="L586" t="s">
        <v>568</v>
      </c>
      <c r="M586">
        <v>7</v>
      </c>
      <c r="N586" t="s">
        <v>34</v>
      </c>
      <c r="O586" t="s">
        <v>35</v>
      </c>
      <c r="Q586" t="s">
        <v>36</v>
      </c>
      <c r="R586">
        <v>35</v>
      </c>
      <c r="S586" t="s">
        <v>37</v>
      </c>
      <c r="T586" t="s">
        <v>88</v>
      </c>
      <c r="U586">
        <v>2</v>
      </c>
      <c r="V586" t="s">
        <v>62</v>
      </c>
      <c r="W586" t="s">
        <v>103</v>
      </c>
      <c r="X586" t="s">
        <v>109</v>
      </c>
      <c r="Y586" t="s">
        <v>42</v>
      </c>
    </row>
    <row r="587" spans="1:25">
      <c r="A587" t="s">
        <v>2158</v>
      </c>
      <c r="B587" t="s">
        <v>2159</v>
      </c>
      <c r="C587" t="s">
        <v>80</v>
      </c>
      <c r="D587">
        <v>65</v>
      </c>
      <c r="E587" t="s">
        <v>92</v>
      </c>
      <c r="F587" t="s">
        <v>29</v>
      </c>
      <c r="G587" t="s">
        <v>93</v>
      </c>
      <c r="H587" t="s">
        <v>537</v>
      </c>
      <c r="I587" t="s">
        <v>669</v>
      </c>
      <c r="J587">
        <v>24</v>
      </c>
      <c r="K587" t="s">
        <v>305</v>
      </c>
      <c r="L587" t="s">
        <v>246</v>
      </c>
      <c r="M587">
        <v>30</v>
      </c>
      <c r="N587" t="s">
        <v>34</v>
      </c>
      <c r="O587" t="s">
        <v>35</v>
      </c>
      <c r="Q587" t="s">
        <v>36</v>
      </c>
      <c r="R587">
        <v>50</v>
      </c>
      <c r="S587" t="s">
        <v>49</v>
      </c>
      <c r="T587" t="s">
        <v>38</v>
      </c>
      <c r="U587">
        <v>4</v>
      </c>
      <c r="V587" t="s">
        <v>70</v>
      </c>
      <c r="W587" t="s">
        <v>165</v>
      </c>
      <c r="X587" t="s">
        <v>52</v>
      </c>
      <c r="Y587" t="s">
        <v>42</v>
      </c>
    </row>
    <row r="588" spans="1:25">
      <c r="A588" t="s">
        <v>2160</v>
      </c>
      <c r="B588" t="s">
        <v>2161</v>
      </c>
      <c r="C588" t="s">
        <v>204</v>
      </c>
      <c r="D588">
        <v>41</v>
      </c>
      <c r="E588" t="s">
        <v>81</v>
      </c>
      <c r="F588" t="s">
        <v>82</v>
      </c>
      <c r="G588" t="s">
        <v>58</v>
      </c>
      <c r="H588" t="s">
        <v>388</v>
      </c>
      <c r="I588" t="s">
        <v>422</v>
      </c>
      <c r="J588">
        <v>8</v>
      </c>
      <c r="K588" t="s">
        <v>870</v>
      </c>
      <c r="L588" t="s">
        <v>376</v>
      </c>
      <c r="M588">
        <v>15</v>
      </c>
      <c r="N588" t="s">
        <v>34</v>
      </c>
      <c r="O588" t="s">
        <v>270</v>
      </c>
      <c r="P588" t="s">
        <v>620</v>
      </c>
      <c r="Q588" t="s">
        <v>36</v>
      </c>
      <c r="R588">
        <v>20</v>
      </c>
      <c r="S588" t="s">
        <v>49</v>
      </c>
      <c r="T588" t="s">
        <v>88</v>
      </c>
      <c r="U588">
        <v>5</v>
      </c>
      <c r="V588" t="s">
        <v>89</v>
      </c>
      <c r="W588" t="s">
        <v>40</v>
      </c>
      <c r="X588" t="s">
        <v>41</v>
      </c>
      <c r="Y588" t="s">
        <v>42</v>
      </c>
    </row>
    <row r="589" spans="1:25">
      <c r="A589" t="s">
        <v>2162</v>
      </c>
      <c r="B589" t="s">
        <v>2163</v>
      </c>
      <c r="C589" t="s">
        <v>204</v>
      </c>
      <c r="D589">
        <v>79</v>
      </c>
      <c r="E589" t="s">
        <v>149</v>
      </c>
      <c r="F589" t="s">
        <v>29</v>
      </c>
      <c r="G589" t="s">
        <v>45</v>
      </c>
      <c r="H589" t="s">
        <v>348</v>
      </c>
      <c r="I589" t="s">
        <v>989</v>
      </c>
      <c r="J589">
        <v>6</v>
      </c>
      <c r="K589" t="s">
        <v>348</v>
      </c>
      <c r="L589" t="s">
        <v>1335</v>
      </c>
      <c r="M589">
        <v>14</v>
      </c>
      <c r="N589" t="s">
        <v>34</v>
      </c>
      <c r="O589" t="s">
        <v>35</v>
      </c>
      <c r="Q589" t="s">
        <v>36</v>
      </c>
      <c r="R589">
        <v>40</v>
      </c>
      <c r="S589" t="s">
        <v>49</v>
      </c>
      <c r="T589" t="s">
        <v>38</v>
      </c>
      <c r="U589">
        <v>4</v>
      </c>
      <c r="V589" t="s">
        <v>39</v>
      </c>
      <c r="W589" t="s">
        <v>103</v>
      </c>
      <c r="X589" t="s">
        <v>41</v>
      </c>
      <c r="Y589" t="s">
        <v>42</v>
      </c>
    </row>
    <row r="590" spans="1:25">
      <c r="A590" t="s">
        <v>2164</v>
      </c>
      <c r="B590" t="s">
        <v>2165</v>
      </c>
      <c r="C590" t="s">
        <v>27</v>
      </c>
      <c r="D590">
        <v>89</v>
      </c>
      <c r="E590" t="s">
        <v>149</v>
      </c>
      <c r="F590" t="s">
        <v>29</v>
      </c>
      <c r="G590" t="s">
        <v>30</v>
      </c>
      <c r="H590" t="s">
        <v>700</v>
      </c>
      <c r="I590" t="s">
        <v>2166</v>
      </c>
      <c r="J590">
        <v>6</v>
      </c>
      <c r="K590" t="s">
        <v>700</v>
      </c>
      <c r="L590" t="s">
        <v>2167</v>
      </c>
      <c r="M590">
        <v>11</v>
      </c>
      <c r="N590" t="s">
        <v>34</v>
      </c>
      <c r="O590" t="s">
        <v>35</v>
      </c>
      <c r="Q590" t="s">
        <v>36</v>
      </c>
      <c r="R590">
        <v>40</v>
      </c>
      <c r="S590" t="s">
        <v>49</v>
      </c>
      <c r="T590" t="s">
        <v>69</v>
      </c>
      <c r="U590">
        <v>4</v>
      </c>
      <c r="V590" t="s">
        <v>39</v>
      </c>
      <c r="W590" t="s">
        <v>40</v>
      </c>
      <c r="X590" t="s">
        <v>52</v>
      </c>
      <c r="Y590" t="s">
        <v>42</v>
      </c>
    </row>
    <row r="591" spans="1:25">
      <c r="A591" t="s">
        <v>2168</v>
      </c>
      <c r="B591" t="s">
        <v>2169</v>
      </c>
      <c r="C591" t="s">
        <v>56</v>
      </c>
      <c r="D591">
        <v>22</v>
      </c>
      <c r="E591" t="s">
        <v>57</v>
      </c>
      <c r="F591" t="s">
        <v>29</v>
      </c>
      <c r="G591" t="s">
        <v>83</v>
      </c>
      <c r="H591" t="s">
        <v>870</v>
      </c>
      <c r="I591" t="s">
        <v>1093</v>
      </c>
      <c r="J591">
        <v>3</v>
      </c>
      <c r="K591" t="s">
        <v>870</v>
      </c>
      <c r="L591" t="s">
        <v>1871</v>
      </c>
      <c r="M591">
        <v>4</v>
      </c>
      <c r="N591" t="s">
        <v>34</v>
      </c>
      <c r="O591" t="s">
        <v>35</v>
      </c>
      <c r="Q591" t="s">
        <v>36</v>
      </c>
      <c r="R591">
        <v>15</v>
      </c>
      <c r="S591" t="s">
        <v>37</v>
      </c>
      <c r="T591" t="s">
        <v>164</v>
      </c>
      <c r="U591">
        <v>4</v>
      </c>
      <c r="V591" t="s">
        <v>62</v>
      </c>
      <c r="W591" t="s">
        <v>103</v>
      </c>
      <c r="X591" t="s">
        <v>109</v>
      </c>
      <c r="Y591" t="s">
        <v>42</v>
      </c>
    </row>
    <row r="592" spans="1:25">
      <c r="A592" t="s">
        <v>2170</v>
      </c>
      <c r="B592" t="s">
        <v>2171</v>
      </c>
      <c r="C592" t="s">
        <v>80</v>
      </c>
      <c r="D592">
        <v>60</v>
      </c>
      <c r="E592" t="s">
        <v>173</v>
      </c>
      <c r="F592" t="s">
        <v>29</v>
      </c>
      <c r="G592" t="s">
        <v>168</v>
      </c>
      <c r="H592" t="s">
        <v>319</v>
      </c>
      <c r="I592" t="s">
        <v>2172</v>
      </c>
      <c r="J592">
        <v>4</v>
      </c>
      <c r="K592" t="s">
        <v>319</v>
      </c>
      <c r="L592" t="s">
        <v>2173</v>
      </c>
      <c r="M592">
        <v>8</v>
      </c>
      <c r="N592" t="s">
        <v>34</v>
      </c>
      <c r="O592" t="s">
        <v>35</v>
      </c>
      <c r="Q592" t="s">
        <v>36</v>
      </c>
      <c r="R592">
        <v>25</v>
      </c>
      <c r="S592" t="s">
        <v>37</v>
      </c>
      <c r="T592" t="s">
        <v>38</v>
      </c>
      <c r="U592">
        <v>1</v>
      </c>
      <c r="V592" t="s">
        <v>89</v>
      </c>
      <c r="W592" t="s">
        <v>165</v>
      </c>
      <c r="X592" t="s">
        <v>52</v>
      </c>
      <c r="Y592" t="s">
        <v>42</v>
      </c>
    </row>
    <row r="593" spans="1:25">
      <c r="A593" t="s">
        <v>2174</v>
      </c>
      <c r="B593" t="s">
        <v>2175</v>
      </c>
      <c r="C593" t="s">
        <v>80</v>
      </c>
      <c r="D593">
        <v>33</v>
      </c>
      <c r="E593" t="s">
        <v>92</v>
      </c>
      <c r="F593" t="s">
        <v>29</v>
      </c>
      <c r="G593" t="s">
        <v>150</v>
      </c>
      <c r="H593" t="s">
        <v>123</v>
      </c>
      <c r="I593" t="s">
        <v>185</v>
      </c>
      <c r="J593">
        <v>24</v>
      </c>
      <c r="K593" t="s">
        <v>141</v>
      </c>
      <c r="L593" t="s">
        <v>185</v>
      </c>
      <c r="M593">
        <v>24</v>
      </c>
      <c r="N593" t="s">
        <v>68</v>
      </c>
      <c r="O593" t="s">
        <v>35</v>
      </c>
      <c r="Q593" t="s">
        <v>36</v>
      </c>
      <c r="R593">
        <v>50</v>
      </c>
      <c r="S593" t="s">
        <v>49</v>
      </c>
      <c r="T593" t="s">
        <v>38</v>
      </c>
      <c r="U593">
        <v>3</v>
      </c>
      <c r="V593" t="s">
        <v>70</v>
      </c>
      <c r="W593" t="s">
        <v>40</v>
      </c>
      <c r="X593" t="s">
        <v>52</v>
      </c>
      <c r="Y593" t="s">
        <v>71</v>
      </c>
    </row>
    <row r="594" spans="1:25">
      <c r="A594" t="s">
        <v>2176</v>
      </c>
      <c r="B594" t="s">
        <v>2177</v>
      </c>
      <c r="C594" t="s">
        <v>80</v>
      </c>
      <c r="D594">
        <v>89</v>
      </c>
      <c r="E594" t="s">
        <v>57</v>
      </c>
      <c r="F594" t="s">
        <v>29</v>
      </c>
      <c r="G594" t="s">
        <v>58</v>
      </c>
      <c r="H594" t="s">
        <v>112</v>
      </c>
      <c r="I594" t="s">
        <v>623</v>
      </c>
      <c r="J594">
        <v>3</v>
      </c>
      <c r="K594" t="s">
        <v>112</v>
      </c>
      <c r="L594" t="s">
        <v>2178</v>
      </c>
      <c r="M594">
        <v>7</v>
      </c>
      <c r="N594" t="s">
        <v>34</v>
      </c>
      <c r="O594" t="s">
        <v>35</v>
      </c>
      <c r="Q594" t="s">
        <v>132</v>
      </c>
      <c r="R594">
        <v>15</v>
      </c>
      <c r="S594" t="s">
        <v>77</v>
      </c>
      <c r="T594" t="s">
        <v>50</v>
      </c>
      <c r="U594">
        <v>3</v>
      </c>
      <c r="V594" t="s">
        <v>89</v>
      </c>
      <c r="W594" t="s">
        <v>165</v>
      </c>
      <c r="X594" t="s">
        <v>41</v>
      </c>
      <c r="Y594" t="s">
        <v>53</v>
      </c>
    </row>
    <row r="595" spans="1:25">
      <c r="A595" t="s">
        <v>2179</v>
      </c>
      <c r="B595" t="s">
        <v>2180</v>
      </c>
      <c r="C595" t="s">
        <v>204</v>
      </c>
      <c r="D595">
        <v>85</v>
      </c>
      <c r="E595" t="s">
        <v>173</v>
      </c>
      <c r="F595" t="s">
        <v>29</v>
      </c>
      <c r="G595" t="s">
        <v>168</v>
      </c>
      <c r="H595" t="s">
        <v>305</v>
      </c>
      <c r="I595" t="s">
        <v>747</v>
      </c>
      <c r="J595">
        <v>4</v>
      </c>
      <c r="K595" t="s">
        <v>305</v>
      </c>
      <c r="L595" t="s">
        <v>753</v>
      </c>
      <c r="M595">
        <v>9</v>
      </c>
      <c r="N595" t="s">
        <v>34</v>
      </c>
      <c r="O595" t="s">
        <v>35</v>
      </c>
      <c r="Q595" t="s">
        <v>36</v>
      </c>
      <c r="R595">
        <v>25</v>
      </c>
      <c r="S595" t="s">
        <v>37</v>
      </c>
      <c r="T595" t="s">
        <v>88</v>
      </c>
      <c r="U595">
        <v>2</v>
      </c>
      <c r="V595" t="s">
        <v>62</v>
      </c>
      <c r="W595" t="s">
        <v>40</v>
      </c>
      <c r="X595" t="s">
        <v>109</v>
      </c>
      <c r="Y595" t="s">
        <v>42</v>
      </c>
    </row>
    <row r="596" spans="1:25">
      <c r="A596" t="s">
        <v>2181</v>
      </c>
      <c r="B596" t="s">
        <v>2182</v>
      </c>
      <c r="C596" t="s">
        <v>204</v>
      </c>
      <c r="D596">
        <v>35</v>
      </c>
      <c r="E596" t="s">
        <v>173</v>
      </c>
      <c r="F596" t="s">
        <v>29</v>
      </c>
      <c r="G596" t="s">
        <v>168</v>
      </c>
      <c r="H596" t="s">
        <v>1248</v>
      </c>
      <c r="I596" t="s">
        <v>2183</v>
      </c>
      <c r="J596">
        <v>4</v>
      </c>
      <c r="K596" t="s">
        <v>1248</v>
      </c>
      <c r="L596" t="s">
        <v>2184</v>
      </c>
      <c r="M596">
        <v>3</v>
      </c>
      <c r="N596" t="s">
        <v>68</v>
      </c>
      <c r="O596" t="s">
        <v>35</v>
      </c>
      <c r="Q596" t="s">
        <v>36</v>
      </c>
      <c r="R596">
        <v>25</v>
      </c>
      <c r="S596" t="s">
        <v>49</v>
      </c>
      <c r="T596" t="s">
        <v>38</v>
      </c>
      <c r="U596">
        <v>1</v>
      </c>
      <c r="V596" t="s">
        <v>62</v>
      </c>
      <c r="W596" t="s">
        <v>103</v>
      </c>
      <c r="X596" t="s">
        <v>109</v>
      </c>
      <c r="Y596" t="s">
        <v>42</v>
      </c>
    </row>
    <row r="597" spans="1:25">
      <c r="A597" t="s">
        <v>2185</v>
      </c>
      <c r="B597" t="s">
        <v>2186</v>
      </c>
      <c r="C597" t="s">
        <v>80</v>
      </c>
      <c r="D597">
        <v>1</v>
      </c>
      <c r="E597" t="s">
        <v>57</v>
      </c>
      <c r="F597" t="s">
        <v>29</v>
      </c>
      <c r="G597" t="s">
        <v>58</v>
      </c>
      <c r="H597" t="s">
        <v>213</v>
      </c>
      <c r="I597" t="s">
        <v>493</v>
      </c>
      <c r="J597">
        <v>3</v>
      </c>
      <c r="K597" t="s">
        <v>213</v>
      </c>
      <c r="L597" t="s">
        <v>539</v>
      </c>
      <c r="M597">
        <v>9</v>
      </c>
      <c r="N597" t="s">
        <v>34</v>
      </c>
      <c r="O597" t="s">
        <v>35</v>
      </c>
      <c r="Q597" t="s">
        <v>36</v>
      </c>
      <c r="R597">
        <v>15</v>
      </c>
      <c r="S597" t="s">
        <v>37</v>
      </c>
      <c r="T597" t="s">
        <v>96</v>
      </c>
      <c r="U597">
        <v>1</v>
      </c>
      <c r="V597" t="s">
        <v>62</v>
      </c>
      <c r="W597" t="s">
        <v>165</v>
      </c>
      <c r="X597" t="s">
        <v>109</v>
      </c>
      <c r="Y597" t="s">
        <v>53</v>
      </c>
    </row>
    <row r="598" spans="1:25">
      <c r="A598" t="s">
        <v>2187</v>
      </c>
      <c r="B598" t="s">
        <v>2188</v>
      </c>
      <c r="C598" t="s">
        <v>80</v>
      </c>
      <c r="D598">
        <v>31</v>
      </c>
      <c r="E598" t="s">
        <v>81</v>
      </c>
      <c r="F598" t="s">
        <v>82</v>
      </c>
      <c r="G598" t="s">
        <v>83</v>
      </c>
      <c r="H598" t="s">
        <v>1266</v>
      </c>
      <c r="I598" t="s">
        <v>263</v>
      </c>
      <c r="J598">
        <v>8</v>
      </c>
      <c r="K598" t="s">
        <v>1266</v>
      </c>
      <c r="L598" t="s">
        <v>2189</v>
      </c>
      <c r="M598">
        <v>10</v>
      </c>
      <c r="N598" t="s">
        <v>34</v>
      </c>
      <c r="O598" t="s">
        <v>35</v>
      </c>
      <c r="Q598" t="s">
        <v>36</v>
      </c>
      <c r="R598">
        <v>20</v>
      </c>
      <c r="S598" t="s">
        <v>77</v>
      </c>
      <c r="T598" t="s">
        <v>69</v>
      </c>
      <c r="U598">
        <v>3</v>
      </c>
      <c r="V598" t="s">
        <v>39</v>
      </c>
      <c r="W598" t="s">
        <v>40</v>
      </c>
      <c r="X598" t="s">
        <v>109</v>
      </c>
      <c r="Y598" t="s">
        <v>42</v>
      </c>
    </row>
    <row r="599" spans="1:25">
      <c r="A599" t="s">
        <v>2190</v>
      </c>
      <c r="B599" t="s">
        <v>2191</v>
      </c>
      <c r="C599" t="s">
        <v>80</v>
      </c>
      <c r="D599">
        <v>86</v>
      </c>
      <c r="E599" t="s">
        <v>28</v>
      </c>
      <c r="F599" t="s">
        <v>29</v>
      </c>
      <c r="G599" t="s">
        <v>30</v>
      </c>
      <c r="H599" t="s">
        <v>762</v>
      </c>
      <c r="I599" t="s">
        <v>859</v>
      </c>
      <c r="J599">
        <v>5</v>
      </c>
      <c r="K599" t="s">
        <v>762</v>
      </c>
      <c r="L599" t="s">
        <v>2192</v>
      </c>
      <c r="M599">
        <v>7</v>
      </c>
      <c r="N599" t="s">
        <v>34</v>
      </c>
      <c r="O599" t="s">
        <v>35</v>
      </c>
      <c r="Q599" t="s">
        <v>36</v>
      </c>
      <c r="R599">
        <v>35</v>
      </c>
      <c r="S599" t="s">
        <v>37</v>
      </c>
      <c r="T599" t="s">
        <v>96</v>
      </c>
      <c r="U599">
        <v>4</v>
      </c>
      <c r="V599" t="s">
        <v>70</v>
      </c>
      <c r="W599" t="s">
        <v>51</v>
      </c>
      <c r="X599" t="s">
        <v>109</v>
      </c>
      <c r="Y599" t="s">
        <v>53</v>
      </c>
    </row>
    <row r="600" spans="1:25">
      <c r="A600" t="s">
        <v>63</v>
      </c>
      <c r="B600" t="s">
        <v>2193</v>
      </c>
      <c r="C600" t="s">
        <v>56</v>
      </c>
      <c r="D600">
        <v>150</v>
      </c>
      <c r="E600" t="s">
        <v>92</v>
      </c>
      <c r="F600" t="s">
        <v>29</v>
      </c>
      <c r="G600" t="s">
        <v>93</v>
      </c>
      <c r="H600" t="s">
        <v>446</v>
      </c>
      <c r="I600" t="s">
        <v>704</v>
      </c>
      <c r="J600">
        <v>24</v>
      </c>
      <c r="K600" t="s">
        <v>217</v>
      </c>
      <c r="L600" t="s">
        <v>2194</v>
      </c>
      <c r="M600">
        <v>32</v>
      </c>
      <c r="N600" t="s">
        <v>34</v>
      </c>
      <c r="O600" t="s">
        <v>35</v>
      </c>
      <c r="Q600" t="s">
        <v>36</v>
      </c>
      <c r="R600">
        <v>50</v>
      </c>
      <c r="S600" t="s">
        <v>37</v>
      </c>
      <c r="T600" t="s">
        <v>88</v>
      </c>
      <c r="U600">
        <v>5</v>
      </c>
      <c r="V600" t="s">
        <v>62</v>
      </c>
      <c r="W600" t="s">
        <v>40</v>
      </c>
      <c r="X600" t="s">
        <v>52</v>
      </c>
      <c r="Y600" t="s">
        <v>71</v>
      </c>
    </row>
    <row r="601" spans="1:25">
      <c r="A601" t="s">
        <v>2195</v>
      </c>
      <c r="B601" t="s">
        <v>2196</v>
      </c>
      <c r="C601" t="s">
        <v>80</v>
      </c>
      <c r="D601">
        <v>2</v>
      </c>
      <c r="E601" t="s">
        <v>28</v>
      </c>
      <c r="F601" t="s">
        <v>29</v>
      </c>
      <c r="G601" t="s">
        <v>45</v>
      </c>
      <c r="H601" t="s">
        <v>513</v>
      </c>
      <c r="I601" t="s">
        <v>229</v>
      </c>
      <c r="J601">
        <v>5</v>
      </c>
      <c r="K601" t="s">
        <v>513</v>
      </c>
      <c r="L601" t="s">
        <v>1154</v>
      </c>
      <c r="M601">
        <v>8</v>
      </c>
      <c r="N601" t="s">
        <v>34</v>
      </c>
      <c r="O601" t="s">
        <v>270</v>
      </c>
      <c r="P601" t="s">
        <v>391</v>
      </c>
      <c r="Q601" t="s">
        <v>36</v>
      </c>
      <c r="R601">
        <v>35</v>
      </c>
      <c r="S601" t="s">
        <v>49</v>
      </c>
      <c r="T601" t="s">
        <v>69</v>
      </c>
      <c r="U601">
        <v>2</v>
      </c>
      <c r="V601" t="s">
        <v>62</v>
      </c>
      <c r="W601" t="s">
        <v>165</v>
      </c>
      <c r="X601" t="s">
        <v>109</v>
      </c>
      <c r="Y601" t="s">
        <v>71</v>
      </c>
    </row>
    <row r="602" spans="1:25">
      <c r="A602" t="s">
        <v>2197</v>
      </c>
      <c r="B602" t="s">
        <v>2198</v>
      </c>
      <c r="C602" t="s">
        <v>80</v>
      </c>
      <c r="D602">
        <v>81</v>
      </c>
      <c r="E602" t="s">
        <v>57</v>
      </c>
      <c r="F602" t="s">
        <v>29</v>
      </c>
      <c r="G602" t="s">
        <v>58</v>
      </c>
      <c r="H602" t="s">
        <v>490</v>
      </c>
      <c r="I602" t="s">
        <v>1819</v>
      </c>
      <c r="J602">
        <v>3</v>
      </c>
      <c r="K602" t="s">
        <v>490</v>
      </c>
      <c r="L602" t="s">
        <v>1634</v>
      </c>
      <c r="M602">
        <v>4</v>
      </c>
      <c r="N602" t="s">
        <v>34</v>
      </c>
      <c r="O602" t="s">
        <v>35</v>
      </c>
      <c r="Q602" t="s">
        <v>36</v>
      </c>
      <c r="R602">
        <v>15</v>
      </c>
      <c r="S602" t="s">
        <v>77</v>
      </c>
      <c r="T602" t="s">
        <v>164</v>
      </c>
      <c r="U602">
        <v>4</v>
      </c>
      <c r="V602" t="s">
        <v>39</v>
      </c>
      <c r="W602" t="s">
        <v>103</v>
      </c>
      <c r="X602" t="s">
        <v>109</v>
      </c>
      <c r="Y602" t="s">
        <v>42</v>
      </c>
    </row>
    <row r="603" spans="1:25">
      <c r="A603" t="s">
        <v>2199</v>
      </c>
      <c r="B603" t="s">
        <v>2200</v>
      </c>
      <c r="C603" t="s">
        <v>204</v>
      </c>
      <c r="D603">
        <v>28</v>
      </c>
      <c r="E603" t="s">
        <v>28</v>
      </c>
      <c r="F603" t="s">
        <v>29</v>
      </c>
      <c r="G603" t="s">
        <v>30</v>
      </c>
      <c r="H603" t="s">
        <v>329</v>
      </c>
      <c r="I603" t="s">
        <v>2201</v>
      </c>
      <c r="J603">
        <v>5</v>
      </c>
      <c r="K603" t="s">
        <v>421</v>
      </c>
      <c r="L603" t="s">
        <v>2202</v>
      </c>
      <c r="M603">
        <v>12</v>
      </c>
      <c r="N603" t="s">
        <v>34</v>
      </c>
      <c r="O603" t="s">
        <v>35</v>
      </c>
      <c r="Q603" t="s">
        <v>36</v>
      </c>
      <c r="R603">
        <v>35</v>
      </c>
      <c r="S603" t="s">
        <v>77</v>
      </c>
      <c r="T603" t="s">
        <v>38</v>
      </c>
      <c r="U603">
        <v>5</v>
      </c>
      <c r="V603" t="s">
        <v>62</v>
      </c>
      <c r="W603" t="s">
        <v>103</v>
      </c>
      <c r="X603" t="s">
        <v>41</v>
      </c>
      <c r="Y603" t="s">
        <v>53</v>
      </c>
    </row>
    <row r="604" spans="1:25">
      <c r="A604" t="s">
        <v>2203</v>
      </c>
      <c r="B604" t="s">
        <v>2204</v>
      </c>
      <c r="C604" t="s">
        <v>56</v>
      </c>
      <c r="D604">
        <v>33</v>
      </c>
      <c r="E604" t="s">
        <v>81</v>
      </c>
      <c r="F604" t="s">
        <v>82</v>
      </c>
      <c r="G604" t="s">
        <v>83</v>
      </c>
      <c r="H604" t="s">
        <v>431</v>
      </c>
      <c r="I604" t="s">
        <v>268</v>
      </c>
      <c r="J604">
        <v>8</v>
      </c>
      <c r="K604" t="s">
        <v>433</v>
      </c>
      <c r="L604" t="s">
        <v>2205</v>
      </c>
      <c r="M604">
        <v>15</v>
      </c>
      <c r="N604" t="s">
        <v>34</v>
      </c>
      <c r="O604" t="s">
        <v>270</v>
      </c>
      <c r="P604" t="s">
        <v>620</v>
      </c>
      <c r="Q604" t="s">
        <v>36</v>
      </c>
      <c r="R604">
        <v>20</v>
      </c>
      <c r="S604" t="s">
        <v>77</v>
      </c>
      <c r="T604" t="s">
        <v>96</v>
      </c>
      <c r="U604">
        <v>5</v>
      </c>
      <c r="V604" t="s">
        <v>62</v>
      </c>
      <c r="W604" t="s">
        <v>40</v>
      </c>
      <c r="X604" t="s">
        <v>52</v>
      </c>
      <c r="Y604" t="s">
        <v>42</v>
      </c>
    </row>
    <row r="605" spans="1:25">
      <c r="A605" t="s">
        <v>2206</v>
      </c>
      <c r="B605" t="s">
        <v>2207</v>
      </c>
      <c r="C605" t="s">
        <v>27</v>
      </c>
      <c r="D605">
        <v>2</v>
      </c>
      <c r="E605" t="s">
        <v>81</v>
      </c>
      <c r="F605" t="s">
        <v>82</v>
      </c>
      <c r="G605" t="s">
        <v>150</v>
      </c>
      <c r="H605" t="s">
        <v>712</v>
      </c>
      <c r="I605" t="s">
        <v>1382</v>
      </c>
      <c r="J605">
        <v>8</v>
      </c>
      <c r="K605" t="s">
        <v>712</v>
      </c>
      <c r="L605" t="s">
        <v>439</v>
      </c>
      <c r="M605">
        <v>11</v>
      </c>
      <c r="N605" t="s">
        <v>34</v>
      </c>
      <c r="O605" t="s">
        <v>35</v>
      </c>
      <c r="Q605" t="s">
        <v>36</v>
      </c>
      <c r="R605">
        <v>20</v>
      </c>
      <c r="S605" t="s">
        <v>77</v>
      </c>
      <c r="T605" t="s">
        <v>69</v>
      </c>
      <c r="U605">
        <v>5</v>
      </c>
      <c r="V605" t="s">
        <v>89</v>
      </c>
      <c r="W605" t="s">
        <v>40</v>
      </c>
      <c r="X605" t="s">
        <v>41</v>
      </c>
      <c r="Y605" t="s">
        <v>71</v>
      </c>
    </row>
    <row r="606" spans="1:25">
      <c r="A606" t="s">
        <v>2208</v>
      </c>
      <c r="B606" t="s">
        <v>2209</v>
      </c>
      <c r="C606" t="s">
        <v>80</v>
      </c>
      <c r="D606">
        <v>15</v>
      </c>
      <c r="E606" t="s">
        <v>92</v>
      </c>
      <c r="F606" t="s">
        <v>29</v>
      </c>
      <c r="G606" t="s">
        <v>30</v>
      </c>
      <c r="H606" t="s">
        <v>46</v>
      </c>
      <c r="I606" t="s">
        <v>1495</v>
      </c>
      <c r="J606">
        <v>24</v>
      </c>
      <c r="K606" t="s">
        <v>1503</v>
      </c>
      <c r="L606" t="s">
        <v>181</v>
      </c>
      <c r="M606">
        <v>31</v>
      </c>
      <c r="N606" t="s">
        <v>34</v>
      </c>
      <c r="O606" t="s">
        <v>35</v>
      </c>
      <c r="Q606" t="s">
        <v>36</v>
      </c>
      <c r="R606">
        <v>50</v>
      </c>
      <c r="S606" t="s">
        <v>37</v>
      </c>
      <c r="T606" t="s">
        <v>164</v>
      </c>
      <c r="U606">
        <v>5</v>
      </c>
      <c r="V606" t="s">
        <v>39</v>
      </c>
      <c r="W606" t="s">
        <v>51</v>
      </c>
      <c r="X606" t="s">
        <v>109</v>
      </c>
      <c r="Y606" t="s">
        <v>42</v>
      </c>
    </row>
    <row r="607" spans="1:25">
      <c r="A607" t="s">
        <v>2210</v>
      </c>
      <c r="B607" t="s">
        <v>2211</v>
      </c>
      <c r="C607" t="s">
        <v>204</v>
      </c>
      <c r="D607">
        <v>14</v>
      </c>
      <c r="E607" t="s">
        <v>57</v>
      </c>
      <c r="F607" t="s">
        <v>29</v>
      </c>
      <c r="G607" t="s">
        <v>58</v>
      </c>
      <c r="H607" t="s">
        <v>475</v>
      </c>
      <c r="I607" t="s">
        <v>729</v>
      </c>
      <c r="J607">
        <v>3</v>
      </c>
      <c r="K607" t="s">
        <v>475</v>
      </c>
      <c r="L607" t="s">
        <v>840</v>
      </c>
      <c r="M607">
        <v>2</v>
      </c>
      <c r="N607" t="s">
        <v>68</v>
      </c>
      <c r="O607" t="s">
        <v>35</v>
      </c>
      <c r="Q607" t="s">
        <v>36</v>
      </c>
      <c r="R607">
        <v>15</v>
      </c>
      <c r="S607" t="s">
        <v>49</v>
      </c>
      <c r="T607" t="s">
        <v>50</v>
      </c>
      <c r="U607">
        <v>4</v>
      </c>
      <c r="V607" t="s">
        <v>70</v>
      </c>
      <c r="W607" t="s">
        <v>51</v>
      </c>
      <c r="X607" t="s">
        <v>109</v>
      </c>
      <c r="Y607" t="s">
        <v>42</v>
      </c>
    </row>
    <row r="608" spans="1:25">
      <c r="A608" t="s">
        <v>2212</v>
      </c>
      <c r="B608" t="s">
        <v>2213</v>
      </c>
      <c r="C608" t="s">
        <v>27</v>
      </c>
      <c r="D608">
        <v>38</v>
      </c>
      <c r="E608" t="s">
        <v>28</v>
      </c>
      <c r="F608" t="s">
        <v>29</v>
      </c>
      <c r="G608" t="s">
        <v>30</v>
      </c>
      <c r="H608" t="s">
        <v>1685</v>
      </c>
      <c r="I608" t="s">
        <v>2134</v>
      </c>
      <c r="J608">
        <v>5</v>
      </c>
      <c r="K608" t="s">
        <v>1685</v>
      </c>
      <c r="L608" t="s">
        <v>487</v>
      </c>
      <c r="M608">
        <v>6</v>
      </c>
      <c r="N608" t="s">
        <v>34</v>
      </c>
      <c r="O608" t="s">
        <v>35</v>
      </c>
      <c r="Q608" t="s">
        <v>36</v>
      </c>
      <c r="R608">
        <v>35</v>
      </c>
      <c r="S608" t="s">
        <v>49</v>
      </c>
      <c r="T608" t="s">
        <v>164</v>
      </c>
      <c r="U608">
        <v>4</v>
      </c>
      <c r="V608" t="s">
        <v>70</v>
      </c>
      <c r="W608" t="s">
        <v>103</v>
      </c>
      <c r="X608" t="s">
        <v>109</v>
      </c>
      <c r="Y608" t="s">
        <v>71</v>
      </c>
    </row>
    <row r="609" spans="1:25">
      <c r="A609" t="s">
        <v>2214</v>
      </c>
      <c r="B609" t="s">
        <v>2215</v>
      </c>
      <c r="C609" t="s">
        <v>204</v>
      </c>
      <c r="D609">
        <v>85</v>
      </c>
      <c r="E609" t="s">
        <v>81</v>
      </c>
      <c r="F609" t="s">
        <v>82</v>
      </c>
      <c r="G609" t="s">
        <v>83</v>
      </c>
      <c r="H609" t="s">
        <v>537</v>
      </c>
      <c r="I609" t="s">
        <v>1355</v>
      </c>
      <c r="J609">
        <v>8</v>
      </c>
      <c r="K609" t="s">
        <v>305</v>
      </c>
      <c r="L609" t="s">
        <v>2216</v>
      </c>
      <c r="M609">
        <v>16</v>
      </c>
      <c r="N609" t="s">
        <v>34</v>
      </c>
      <c r="O609" t="s">
        <v>270</v>
      </c>
      <c r="P609" t="s">
        <v>391</v>
      </c>
      <c r="Q609" t="s">
        <v>132</v>
      </c>
      <c r="R609">
        <v>20</v>
      </c>
      <c r="S609" t="s">
        <v>49</v>
      </c>
      <c r="T609" t="s">
        <v>96</v>
      </c>
      <c r="U609">
        <v>2</v>
      </c>
      <c r="V609" t="s">
        <v>39</v>
      </c>
      <c r="W609" t="s">
        <v>103</v>
      </c>
      <c r="X609" t="s">
        <v>41</v>
      </c>
      <c r="Y609" t="s">
        <v>71</v>
      </c>
    </row>
    <row r="610" spans="1:25">
      <c r="A610" t="s">
        <v>2217</v>
      </c>
      <c r="B610" t="s">
        <v>2218</v>
      </c>
      <c r="C610" t="s">
        <v>204</v>
      </c>
      <c r="D610">
        <v>37</v>
      </c>
      <c r="E610" t="s">
        <v>149</v>
      </c>
      <c r="F610" t="s">
        <v>29</v>
      </c>
      <c r="G610" t="s">
        <v>30</v>
      </c>
      <c r="H610" t="s">
        <v>199</v>
      </c>
      <c r="I610" t="s">
        <v>334</v>
      </c>
      <c r="J610">
        <v>6</v>
      </c>
      <c r="K610" t="s">
        <v>199</v>
      </c>
      <c r="L610" t="s">
        <v>627</v>
      </c>
      <c r="M610">
        <v>14</v>
      </c>
      <c r="N610" t="s">
        <v>34</v>
      </c>
      <c r="O610" t="s">
        <v>35</v>
      </c>
      <c r="Q610" t="s">
        <v>36</v>
      </c>
      <c r="R610">
        <v>40</v>
      </c>
      <c r="S610" t="s">
        <v>77</v>
      </c>
      <c r="T610" t="s">
        <v>88</v>
      </c>
      <c r="U610">
        <v>5</v>
      </c>
      <c r="V610" t="s">
        <v>89</v>
      </c>
      <c r="W610" t="s">
        <v>51</v>
      </c>
      <c r="X610" t="s">
        <v>109</v>
      </c>
      <c r="Y610" t="s">
        <v>53</v>
      </c>
    </row>
    <row r="611" spans="1:25">
      <c r="A611" t="s">
        <v>2219</v>
      </c>
      <c r="B611" t="s">
        <v>2220</v>
      </c>
      <c r="C611" t="s">
        <v>80</v>
      </c>
      <c r="D611">
        <v>64</v>
      </c>
      <c r="E611" t="s">
        <v>173</v>
      </c>
      <c r="F611" t="s">
        <v>29</v>
      </c>
      <c r="G611" t="s">
        <v>168</v>
      </c>
      <c r="H611" t="s">
        <v>490</v>
      </c>
      <c r="I611" t="s">
        <v>808</v>
      </c>
      <c r="J611">
        <v>4</v>
      </c>
      <c r="K611" t="s">
        <v>490</v>
      </c>
      <c r="L611" t="s">
        <v>1388</v>
      </c>
      <c r="M611">
        <v>9</v>
      </c>
      <c r="N611" t="s">
        <v>34</v>
      </c>
      <c r="O611" t="s">
        <v>35</v>
      </c>
      <c r="Q611" t="s">
        <v>36</v>
      </c>
      <c r="R611">
        <v>25</v>
      </c>
      <c r="S611" t="s">
        <v>37</v>
      </c>
      <c r="T611" t="s">
        <v>38</v>
      </c>
      <c r="U611">
        <v>4</v>
      </c>
      <c r="V611" t="s">
        <v>70</v>
      </c>
      <c r="W611" t="s">
        <v>165</v>
      </c>
      <c r="X611" t="s">
        <v>41</v>
      </c>
      <c r="Y611" t="s">
        <v>71</v>
      </c>
    </row>
    <row r="612" spans="1:25">
      <c r="A612" t="s">
        <v>2221</v>
      </c>
      <c r="B612" t="s">
        <v>2222</v>
      </c>
      <c r="C612" t="s">
        <v>27</v>
      </c>
      <c r="D612">
        <v>1</v>
      </c>
      <c r="E612" t="s">
        <v>149</v>
      </c>
      <c r="F612" t="s">
        <v>29</v>
      </c>
      <c r="G612" t="s">
        <v>93</v>
      </c>
      <c r="H612" t="s">
        <v>211</v>
      </c>
      <c r="I612" t="s">
        <v>380</v>
      </c>
      <c r="J612">
        <v>6</v>
      </c>
      <c r="K612" t="s">
        <v>211</v>
      </c>
      <c r="L612" t="s">
        <v>2223</v>
      </c>
      <c r="M612">
        <v>11</v>
      </c>
      <c r="N612" t="s">
        <v>34</v>
      </c>
      <c r="O612" t="s">
        <v>35</v>
      </c>
      <c r="Q612" t="s">
        <v>36</v>
      </c>
      <c r="R612">
        <v>40</v>
      </c>
      <c r="S612" t="s">
        <v>49</v>
      </c>
      <c r="T612" t="s">
        <v>96</v>
      </c>
      <c r="U612">
        <v>2</v>
      </c>
      <c r="V612" t="s">
        <v>39</v>
      </c>
      <c r="W612" t="s">
        <v>165</v>
      </c>
      <c r="X612" t="s">
        <v>41</v>
      </c>
      <c r="Y612" t="s">
        <v>53</v>
      </c>
    </row>
    <row r="613" spans="1:25">
      <c r="A613" t="s">
        <v>2224</v>
      </c>
      <c r="B613" t="s">
        <v>2225</v>
      </c>
      <c r="C613" t="s">
        <v>204</v>
      </c>
      <c r="D613">
        <v>1</v>
      </c>
      <c r="E613" t="s">
        <v>149</v>
      </c>
      <c r="F613" t="s">
        <v>29</v>
      </c>
      <c r="G613" t="s">
        <v>30</v>
      </c>
      <c r="H613" t="s">
        <v>99</v>
      </c>
      <c r="I613" t="s">
        <v>2226</v>
      </c>
      <c r="J613">
        <v>6</v>
      </c>
      <c r="K613" t="s">
        <v>101</v>
      </c>
      <c r="L613" t="s">
        <v>2227</v>
      </c>
      <c r="M613">
        <v>10</v>
      </c>
      <c r="N613" t="s">
        <v>34</v>
      </c>
      <c r="O613" t="s">
        <v>35</v>
      </c>
      <c r="Q613" t="s">
        <v>132</v>
      </c>
      <c r="R613">
        <v>40</v>
      </c>
      <c r="S613" t="s">
        <v>49</v>
      </c>
      <c r="T613" t="s">
        <v>69</v>
      </c>
      <c r="U613">
        <v>4</v>
      </c>
      <c r="V613" t="s">
        <v>62</v>
      </c>
      <c r="W613" t="s">
        <v>103</v>
      </c>
      <c r="X613" t="s">
        <v>52</v>
      </c>
      <c r="Y613" t="s">
        <v>42</v>
      </c>
    </row>
    <row r="614" spans="1:25">
      <c r="A614" t="s">
        <v>2228</v>
      </c>
      <c r="B614" t="s">
        <v>2229</v>
      </c>
      <c r="C614" t="s">
        <v>56</v>
      </c>
      <c r="D614">
        <v>63</v>
      </c>
      <c r="E614" t="s">
        <v>81</v>
      </c>
      <c r="F614" t="s">
        <v>82</v>
      </c>
      <c r="G614" t="s">
        <v>83</v>
      </c>
      <c r="H614" t="s">
        <v>1053</v>
      </c>
      <c r="I614" t="s">
        <v>47</v>
      </c>
      <c r="J614">
        <v>8</v>
      </c>
      <c r="K614" t="s">
        <v>1074</v>
      </c>
      <c r="L614" t="s">
        <v>2230</v>
      </c>
      <c r="M614">
        <v>15</v>
      </c>
      <c r="N614" t="s">
        <v>34</v>
      </c>
      <c r="O614" t="s">
        <v>35</v>
      </c>
      <c r="Q614" t="s">
        <v>36</v>
      </c>
      <c r="R614">
        <v>20</v>
      </c>
      <c r="S614" t="s">
        <v>37</v>
      </c>
      <c r="T614" t="s">
        <v>88</v>
      </c>
      <c r="U614">
        <v>4</v>
      </c>
      <c r="V614" t="s">
        <v>89</v>
      </c>
      <c r="W614" t="s">
        <v>40</v>
      </c>
      <c r="X614" t="s">
        <v>52</v>
      </c>
      <c r="Y614" t="s">
        <v>42</v>
      </c>
    </row>
    <row r="615" spans="1:25">
      <c r="A615" t="s">
        <v>2231</v>
      </c>
      <c r="B615" t="s">
        <v>2232</v>
      </c>
      <c r="C615" t="s">
        <v>56</v>
      </c>
      <c r="D615">
        <v>35</v>
      </c>
      <c r="E615" t="s">
        <v>28</v>
      </c>
      <c r="F615" t="s">
        <v>29</v>
      </c>
      <c r="G615" t="s">
        <v>30</v>
      </c>
      <c r="H615" t="s">
        <v>251</v>
      </c>
      <c r="I615" t="s">
        <v>2233</v>
      </c>
      <c r="J615">
        <v>5</v>
      </c>
      <c r="K615" t="s">
        <v>251</v>
      </c>
      <c r="L615" t="s">
        <v>289</v>
      </c>
      <c r="M615">
        <v>6</v>
      </c>
      <c r="N615" t="s">
        <v>34</v>
      </c>
      <c r="O615" t="s">
        <v>35</v>
      </c>
      <c r="Q615" t="s">
        <v>36</v>
      </c>
      <c r="R615">
        <v>35</v>
      </c>
      <c r="S615" t="s">
        <v>49</v>
      </c>
      <c r="T615" t="s">
        <v>88</v>
      </c>
      <c r="U615">
        <v>5</v>
      </c>
      <c r="V615" t="s">
        <v>62</v>
      </c>
      <c r="W615" t="s">
        <v>51</v>
      </c>
      <c r="X615" t="s">
        <v>52</v>
      </c>
      <c r="Y615" t="s">
        <v>42</v>
      </c>
    </row>
    <row r="616" spans="1:25">
      <c r="A616" t="s">
        <v>2234</v>
      </c>
      <c r="B616" t="s">
        <v>2235</v>
      </c>
      <c r="C616" t="s">
        <v>27</v>
      </c>
      <c r="D616">
        <v>18</v>
      </c>
      <c r="E616" t="s">
        <v>28</v>
      </c>
      <c r="F616" t="s">
        <v>29</v>
      </c>
      <c r="G616" t="s">
        <v>83</v>
      </c>
      <c r="H616" t="s">
        <v>247</v>
      </c>
      <c r="I616" t="s">
        <v>561</v>
      </c>
      <c r="J616">
        <v>5</v>
      </c>
      <c r="K616" t="s">
        <v>247</v>
      </c>
      <c r="L616" t="s">
        <v>1089</v>
      </c>
      <c r="M616">
        <v>6</v>
      </c>
      <c r="N616" t="s">
        <v>34</v>
      </c>
      <c r="O616" t="s">
        <v>35</v>
      </c>
      <c r="Q616" t="s">
        <v>36</v>
      </c>
      <c r="R616">
        <v>35</v>
      </c>
      <c r="S616" t="s">
        <v>77</v>
      </c>
      <c r="T616" t="s">
        <v>96</v>
      </c>
      <c r="U616">
        <v>1</v>
      </c>
      <c r="V616" t="s">
        <v>62</v>
      </c>
      <c r="W616" t="s">
        <v>51</v>
      </c>
      <c r="X616" t="s">
        <v>52</v>
      </c>
      <c r="Y616" t="s">
        <v>71</v>
      </c>
    </row>
    <row r="617" spans="1:25">
      <c r="A617" t="s">
        <v>2236</v>
      </c>
      <c r="B617" t="s">
        <v>2237</v>
      </c>
      <c r="C617" t="s">
        <v>56</v>
      </c>
      <c r="D617">
        <v>10</v>
      </c>
      <c r="E617" t="s">
        <v>149</v>
      </c>
      <c r="F617" t="s">
        <v>29</v>
      </c>
      <c r="G617" t="s">
        <v>30</v>
      </c>
      <c r="H617" t="s">
        <v>707</v>
      </c>
      <c r="I617" t="s">
        <v>2238</v>
      </c>
      <c r="J617">
        <v>6</v>
      </c>
      <c r="K617" t="s">
        <v>707</v>
      </c>
      <c r="L617" t="s">
        <v>2239</v>
      </c>
      <c r="M617">
        <v>7</v>
      </c>
      <c r="N617" t="s">
        <v>34</v>
      </c>
      <c r="O617" t="s">
        <v>35</v>
      </c>
      <c r="Q617" t="s">
        <v>36</v>
      </c>
      <c r="R617">
        <v>40</v>
      </c>
      <c r="S617" t="s">
        <v>77</v>
      </c>
      <c r="T617" t="s">
        <v>88</v>
      </c>
      <c r="U617">
        <v>1</v>
      </c>
      <c r="V617" t="s">
        <v>70</v>
      </c>
      <c r="W617" t="s">
        <v>51</v>
      </c>
      <c r="X617" t="s">
        <v>52</v>
      </c>
      <c r="Y617" t="s">
        <v>53</v>
      </c>
    </row>
    <row r="618" spans="1:25">
      <c r="A618" t="s">
        <v>2240</v>
      </c>
      <c r="B618" t="s">
        <v>2241</v>
      </c>
      <c r="C618" t="s">
        <v>27</v>
      </c>
      <c r="D618">
        <v>87</v>
      </c>
      <c r="E618" t="s">
        <v>173</v>
      </c>
      <c r="F618" t="s">
        <v>29</v>
      </c>
      <c r="G618" t="s">
        <v>168</v>
      </c>
      <c r="H618" t="s">
        <v>1293</v>
      </c>
      <c r="I618" t="s">
        <v>948</v>
      </c>
      <c r="J618">
        <v>4</v>
      </c>
      <c r="K618" t="s">
        <v>1293</v>
      </c>
      <c r="L618" t="s">
        <v>2242</v>
      </c>
      <c r="M618">
        <v>10</v>
      </c>
      <c r="N618" t="s">
        <v>34</v>
      </c>
      <c r="O618" t="s">
        <v>35</v>
      </c>
      <c r="Q618" t="s">
        <v>36</v>
      </c>
      <c r="R618">
        <v>25</v>
      </c>
      <c r="S618" t="s">
        <v>49</v>
      </c>
      <c r="T618" t="s">
        <v>164</v>
      </c>
      <c r="U618">
        <v>2</v>
      </c>
      <c r="V618" t="s">
        <v>62</v>
      </c>
      <c r="W618" t="s">
        <v>40</v>
      </c>
      <c r="X618" t="s">
        <v>52</v>
      </c>
      <c r="Y618" t="s">
        <v>71</v>
      </c>
    </row>
    <row r="619" spans="1:25">
      <c r="A619" t="s">
        <v>2243</v>
      </c>
      <c r="B619" t="s">
        <v>2244</v>
      </c>
      <c r="C619" t="s">
        <v>80</v>
      </c>
      <c r="D619">
        <v>21</v>
      </c>
      <c r="E619" t="s">
        <v>28</v>
      </c>
      <c r="F619" t="s">
        <v>29</v>
      </c>
      <c r="G619" t="s">
        <v>83</v>
      </c>
      <c r="H619" t="s">
        <v>1494</v>
      </c>
      <c r="I619" t="s">
        <v>1259</v>
      </c>
      <c r="J619">
        <v>5</v>
      </c>
      <c r="K619" t="s">
        <v>910</v>
      </c>
      <c r="L619" t="s">
        <v>2245</v>
      </c>
      <c r="M619">
        <v>12</v>
      </c>
      <c r="N619" t="s">
        <v>34</v>
      </c>
      <c r="O619" t="s">
        <v>35</v>
      </c>
      <c r="Q619" t="s">
        <v>132</v>
      </c>
      <c r="R619">
        <v>35</v>
      </c>
      <c r="S619" t="s">
        <v>77</v>
      </c>
      <c r="T619" t="s">
        <v>164</v>
      </c>
      <c r="U619">
        <v>3</v>
      </c>
      <c r="V619" t="s">
        <v>70</v>
      </c>
      <c r="W619" t="s">
        <v>103</v>
      </c>
      <c r="X619" t="s">
        <v>109</v>
      </c>
      <c r="Y619" t="s">
        <v>42</v>
      </c>
    </row>
    <row r="620" spans="1:25">
      <c r="A620" t="s">
        <v>2246</v>
      </c>
      <c r="B620" t="s">
        <v>2247</v>
      </c>
      <c r="C620" t="s">
        <v>27</v>
      </c>
      <c r="D620">
        <v>55</v>
      </c>
      <c r="E620" t="s">
        <v>28</v>
      </c>
      <c r="F620" t="s">
        <v>29</v>
      </c>
      <c r="G620" t="s">
        <v>83</v>
      </c>
      <c r="H620" t="s">
        <v>262</v>
      </c>
      <c r="I620" t="s">
        <v>997</v>
      </c>
      <c r="J620">
        <v>5</v>
      </c>
      <c r="K620" t="s">
        <v>333</v>
      </c>
      <c r="L620" t="s">
        <v>2248</v>
      </c>
      <c r="M620">
        <v>13</v>
      </c>
      <c r="N620" t="s">
        <v>34</v>
      </c>
      <c r="O620" t="s">
        <v>35</v>
      </c>
      <c r="Q620" t="s">
        <v>36</v>
      </c>
      <c r="R620">
        <v>35</v>
      </c>
      <c r="S620" t="s">
        <v>49</v>
      </c>
      <c r="T620" t="s">
        <v>50</v>
      </c>
      <c r="U620">
        <v>5</v>
      </c>
      <c r="V620" t="s">
        <v>62</v>
      </c>
      <c r="W620" t="s">
        <v>103</v>
      </c>
      <c r="X620" t="s">
        <v>109</v>
      </c>
      <c r="Y620" t="s">
        <v>42</v>
      </c>
    </row>
    <row r="621" spans="1:25">
      <c r="A621" t="s">
        <v>2249</v>
      </c>
      <c r="B621" t="s">
        <v>2250</v>
      </c>
      <c r="C621" t="s">
        <v>56</v>
      </c>
      <c r="D621">
        <v>32</v>
      </c>
      <c r="E621" t="s">
        <v>149</v>
      </c>
      <c r="F621" t="s">
        <v>29</v>
      </c>
      <c r="G621" t="s">
        <v>30</v>
      </c>
      <c r="H621" t="s">
        <v>84</v>
      </c>
      <c r="I621" t="s">
        <v>1805</v>
      </c>
      <c r="J621">
        <v>6</v>
      </c>
      <c r="K621" t="s">
        <v>86</v>
      </c>
      <c r="L621" t="s">
        <v>2251</v>
      </c>
      <c r="M621">
        <v>9</v>
      </c>
      <c r="N621" t="s">
        <v>34</v>
      </c>
      <c r="O621" t="s">
        <v>35</v>
      </c>
      <c r="Q621" t="s">
        <v>36</v>
      </c>
      <c r="R621">
        <v>40</v>
      </c>
      <c r="S621" t="s">
        <v>49</v>
      </c>
      <c r="T621" t="s">
        <v>88</v>
      </c>
      <c r="U621">
        <v>3</v>
      </c>
      <c r="V621" t="s">
        <v>39</v>
      </c>
      <c r="W621" t="s">
        <v>103</v>
      </c>
      <c r="X621" t="s">
        <v>41</v>
      </c>
      <c r="Y621" t="s">
        <v>53</v>
      </c>
    </row>
    <row r="622" spans="1:25">
      <c r="A622" t="s">
        <v>2252</v>
      </c>
      <c r="B622" t="s">
        <v>2253</v>
      </c>
      <c r="C622" t="s">
        <v>80</v>
      </c>
      <c r="D622">
        <v>6</v>
      </c>
      <c r="E622" t="s">
        <v>57</v>
      </c>
      <c r="F622" t="s">
        <v>29</v>
      </c>
      <c r="G622" t="s">
        <v>168</v>
      </c>
      <c r="H622" t="s">
        <v>141</v>
      </c>
      <c r="I622" t="s">
        <v>1241</v>
      </c>
      <c r="J622">
        <v>3</v>
      </c>
      <c r="K622" t="s">
        <v>141</v>
      </c>
      <c r="L622" t="s">
        <v>1060</v>
      </c>
      <c r="M622">
        <v>6</v>
      </c>
      <c r="N622" t="s">
        <v>34</v>
      </c>
      <c r="O622" t="s">
        <v>35</v>
      </c>
      <c r="Q622" t="s">
        <v>36</v>
      </c>
      <c r="R622">
        <v>15</v>
      </c>
      <c r="S622" t="s">
        <v>77</v>
      </c>
      <c r="T622" t="s">
        <v>50</v>
      </c>
      <c r="U622">
        <v>5</v>
      </c>
      <c r="V622" t="s">
        <v>39</v>
      </c>
      <c r="W622" t="s">
        <v>51</v>
      </c>
      <c r="X622" t="s">
        <v>41</v>
      </c>
      <c r="Y622" t="s">
        <v>71</v>
      </c>
    </row>
    <row r="623" spans="1:25">
      <c r="A623" t="s">
        <v>2254</v>
      </c>
      <c r="B623" t="s">
        <v>2255</v>
      </c>
      <c r="C623" t="s">
        <v>27</v>
      </c>
      <c r="D623">
        <v>80</v>
      </c>
      <c r="E623" t="s">
        <v>81</v>
      </c>
      <c r="F623" t="s">
        <v>82</v>
      </c>
      <c r="G623" t="s">
        <v>168</v>
      </c>
      <c r="H623" t="s">
        <v>1248</v>
      </c>
      <c r="I623" t="s">
        <v>2183</v>
      </c>
      <c r="J623">
        <v>8</v>
      </c>
      <c r="K623" t="s">
        <v>342</v>
      </c>
      <c r="L623" t="s">
        <v>2256</v>
      </c>
      <c r="M623">
        <v>16</v>
      </c>
      <c r="N623" t="s">
        <v>34</v>
      </c>
      <c r="O623" t="s">
        <v>35</v>
      </c>
      <c r="Q623" t="s">
        <v>36</v>
      </c>
      <c r="R623">
        <v>20</v>
      </c>
      <c r="S623" t="s">
        <v>77</v>
      </c>
      <c r="T623" t="s">
        <v>69</v>
      </c>
      <c r="U623">
        <v>5</v>
      </c>
      <c r="V623" t="s">
        <v>89</v>
      </c>
      <c r="W623" t="s">
        <v>165</v>
      </c>
      <c r="X623" t="s">
        <v>41</v>
      </c>
      <c r="Y623" t="s">
        <v>71</v>
      </c>
    </row>
    <row r="624" spans="1:25">
      <c r="A624" t="s">
        <v>2257</v>
      </c>
      <c r="B624" t="s">
        <v>2258</v>
      </c>
      <c r="C624" t="s">
        <v>80</v>
      </c>
      <c r="D624">
        <v>29</v>
      </c>
      <c r="E624" t="s">
        <v>92</v>
      </c>
      <c r="F624" t="s">
        <v>29</v>
      </c>
      <c r="G624" t="s">
        <v>168</v>
      </c>
      <c r="H624" t="s">
        <v>1027</v>
      </c>
      <c r="I624" t="s">
        <v>2259</v>
      </c>
      <c r="J624">
        <v>24</v>
      </c>
      <c r="K624" t="s">
        <v>803</v>
      </c>
      <c r="L624" t="s">
        <v>2260</v>
      </c>
      <c r="M624">
        <v>31</v>
      </c>
      <c r="N624" t="s">
        <v>34</v>
      </c>
      <c r="O624" t="s">
        <v>35</v>
      </c>
      <c r="Q624" t="s">
        <v>36</v>
      </c>
      <c r="R624">
        <v>50</v>
      </c>
      <c r="S624" t="s">
        <v>77</v>
      </c>
      <c r="T624" t="s">
        <v>164</v>
      </c>
      <c r="U624">
        <v>1</v>
      </c>
      <c r="V624" t="s">
        <v>70</v>
      </c>
      <c r="W624" t="s">
        <v>51</v>
      </c>
      <c r="X624" t="s">
        <v>41</v>
      </c>
      <c r="Y624" t="s">
        <v>71</v>
      </c>
    </row>
    <row r="625" spans="1:25">
      <c r="A625" t="s">
        <v>2261</v>
      </c>
      <c r="B625" t="s">
        <v>2262</v>
      </c>
      <c r="C625" t="s">
        <v>80</v>
      </c>
      <c r="D625">
        <v>80</v>
      </c>
      <c r="E625" t="s">
        <v>81</v>
      </c>
      <c r="F625" t="s">
        <v>82</v>
      </c>
      <c r="G625" t="s">
        <v>83</v>
      </c>
      <c r="H625" t="s">
        <v>400</v>
      </c>
      <c r="I625" t="s">
        <v>2263</v>
      </c>
      <c r="J625">
        <v>8</v>
      </c>
      <c r="K625" t="s">
        <v>652</v>
      </c>
      <c r="L625" t="s">
        <v>2264</v>
      </c>
      <c r="M625">
        <v>13</v>
      </c>
      <c r="N625" t="s">
        <v>34</v>
      </c>
      <c r="O625" t="s">
        <v>35</v>
      </c>
      <c r="Q625" t="s">
        <v>36</v>
      </c>
      <c r="R625">
        <v>20</v>
      </c>
      <c r="S625" t="s">
        <v>77</v>
      </c>
      <c r="T625" t="s">
        <v>69</v>
      </c>
      <c r="U625">
        <v>3</v>
      </c>
      <c r="V625" t="s">
        <v>89</v>
      </c>
      <c r="W625" t="s">
        <v>51</v>
      </c>
      <c r="X625" t="s">
        <v>52</v>
      </c>
      <c r="Y625" t="s">
        <v>53</v>
      </c>
    </row>
    <row r="626" spans="1:25">
      <c r="A626" t="s">
        <v>2265</v>
      </c>
      <c r="B626" t="s">
        <v>2266</v>
      </c>
      <c r="C626" t="s">
        <v>80</v>
      </c>
      <c r="D626">
        <v>32</v>
      </c>
      <c r="E626" t="s">
        <v>28</v>
      </c>
      <c r="F626" t="s">
        <v>29</v>
      </c>
      <c r="G626" t="s">
        <v>30</v>
      </c>
      <c r="H626" t="s">
        <v>728</v>
      </c>
      <c r="I626" t="s">
        <v>2267</v>
      </c>
      <c r="J626">
        <v>5</v>
      </c>
      <c r="K626" t="s">
        <v>730</v>
      </c>
      <c r="L626" t="s">
        <v>2268</v>
      </c>
      <c r="M626">
        <v>8</v>
      </c>
      <c r="N626" t="s">
        <v>34</v>
      </c>
      <c r="O626" t="s">
        <v>35</v>
      </c>
      <c r="Q626" t="s">
        <v>36</v>
      </c>
      <c r="R626">
        <v>35</v>
      </c>
      <c r="S626" t="s">
        <v>77</v>
      </c>
      <c r="T626" t="s">
        <v>50</v>
      </c>
      <c r="U626">
        <v>2</v>
      </c>
      <c r="V626" t="s">
        <v>89</v>
      </c>
      <c r="W626" t="s">
        <v>103</v>
      </c>
      <c r="X626" t="s">
        <v>52</v>
      </c>
      <c r="Y626" t="s">
        <v>53</v>
      </c>
    </row>
    <row r="627" spans="1:25">
      <c r="A627" t="s">
        <v>2269</v>
      </c>
      <c r="B627" t="s">
        <v>2270</v>
      </c>
      <c r="C627" t="s">
        <v>27</v>
      </c>
      <c r="D627">
        <v>31</v>
      </c>
      <c r="E627" t="s">
        <v>92</v>
      </c>
      <c r="F627" t="s">
        <v>29</v>
      </c>
      <c r="G627" t="s">
        <v>93</v>
      </c>
      <c r="H627" t="s">
        <v>232</v>
      </c>
      <c r="I627" t="s">
        <v>2271</v>
      </c>
      <c r="J627">
        <v>24</v>
      </c>
      <c r="K627" t="s">
        <v>353</v>
      </c>
      <c r="L627" t="s">
        <v>2272</v>
      </c>
      <c r="M627">
        <v>26</v>
      </c>
      <c r="N627" t="s">
        <v>34</v>
      </c>
      <c r="O627" t="s">
        <v>35</v>
      </c>
      <c r="Q627" t="s">
        <v>36</v>
      </c>
      <c r="R627">
        <v>50</v>
      </c>
      <c r="S627" t="s">
        <v>77</v>
      </c>
      <c r="T627" t="s">
        <v>50</v>
      </c>
      <c r="U627">
        <v>5</v>
      </c>
      <c r="V627" t="s">
        <v>89</v>
      </c>
      <c r="W627" t="s">
        <v>165</v>
      </c>
      <c r="X627" t="s">
        <v>41</v>
      </c>
      <c r="Y627" t="s">
        <v>53</v>
      </c>
    </row>
    <row r="628" spans="1:25">
      <c r="A628" t="s">
        <v>2273</v>
      </c>
      <c r="B628" t="s">
        <v>2274</v>
      </c>
      <c r="C628" t="s">
        <v>204</v>
      </c>
      <c r="D628">
        <v>37</v>
      </c>
      <c r="E628" t="s">
        <v>92</v>
      </c>
      <c r="F628" t="s">
        <v>29</v>
      </c>
      <c r="G628" t="s">
        <v>30</v>
      </c>
      <c r="H628" t="s">
        <v>267</v>
      </c>
      <c r="I628" t="s">
        <v>452</v>
      </c>
      <c r="J628">
        <v>24</v>
      </c>
      <c r="K628" t="s">
        <v>291</v>
      </c>
      <c r="L628" t="s">
        <v>648</v>
      </c>
      <c r="M628">
        <v>28</v>
      </c>
      <c r="N628" t="s">
        <v>34</v>
      </c>
      <c r="O628" t="s">
        <v>35</v>
      </c>
      <c r="Q628" t="s">
        <v>36</v>
      </c>
      <c r="R628">
        <v>50</v>
      </c>
      <c r="S628" t="s">
        <v>77</v>
      </c>
      <c r="T628" t="s">
        <v>164</v>
      </c>
      <c r="U628">
        <v>3</v>
      </c>
      <c r="V628" t="s">
        <v>89</v>
      </c>
      <c r="W628" t="s">
        <v>165</v>
      </c>
      <c r="X628" t="s">
        <v>41</v>
      </c>
      <c r="Y628" t="s">
        <v>53</v>
      </c>
    </row>
    <row r="629" spans="1:25">
      <c r="A629" t="s">
        <v>2275</v>
      </c>
      <c r="B629" t="s">
        <v>2276</v>
      </c>
      <c r="C629" t="s">
        <v>27</v>
      </c>
      <c r="D629">
        <v>41</v>
      </c>
      <c r="E629" t="s">
        <v>92</v>
      </c>
      <c r="F629" t="s">
        <v>29</v>
      </c>
      <c r="G629" t="s">
        <v>93</v>
      </c>
      <c r="H629" t="s">
        <v>723</v>
      </c>
      <c r="I629" t="s">
        <v>2054</v>
      </c>
      <c r="J629">
        <v>24</v>
      </c>
      <c r="K629" t="s">
        <v>184</v>
      </c>
      <c r="L629" t="s">
        <v>883</v>
      </c>
      <c r="M629">
        <v>26</v>
      </c>
      <c r="N629" t="s">
        <v>34</v>
      </c>
      <c r="O629" t="s">
        <v>35</v>
      </c>
      <c r="Q629" t="s">
        <v>36</v>
      </c>
      <c r="R629">
        <v>50</v>
      </c>
      <c r="S629" t="s">
        <v>37</v>
      </c>
      <c r="T629" t="s">
        <v>38</v>
      </c>
      <c r="U629">
        <v>5</v>
      </c>
      <c r="V629" t="s">
        <v>62</v>
      </c>
      <c r="W629" t="s">
        <v>165</v>
      </c>
      <c r="X629" t="s">
        <v>41</v>
      </c>
      <c r="Y629" t="s">
        <v>53</v>
      </c>
    </row>
    <row r="630" spans="1:25">
      <c r="A630" t="s">
        <v>2277</v>
      </c>
      <c r="B630" t="s">
        <v>2278</v>
      </c>
      <c r="C630" t="s">
        <v>80</v>
      </c>
      <c r="D630">
        <v>54</v>
      </c>
      <c r="E630" t="s">
        <v>149</v>
      </c>
      <c r="F630" t="s">
        <v>29</v>
      </c>
      <c r="G630" t="s">
        <v>30</v>
      </c>
      <c r="H630" t="s">
        <v>544</v>
      </c>
      <c r="I630" t="s">
        <v>1456</v>
      </c>
      <c r="J630">
        <v>6</v>
      </c>
      <c r="K630" t="s">
        <v>544</v>
      </c>
      <c r="L630" t="s">
        <v>350</v>
      </c>
      <c r="M630">
        <v>9</v>
      </c>
      <c r="N630" t="s">
        <v>34</v>
      </c>
      <c r="O630" t="s">
        <v>35</v>
      </c>
      <c r="Q630" t="s">
        <v>36</v>
      </c>
      <c r="R630">
        <v>40</v>
      </c>
      <c r="S630" t="s">
        <v>49</v>
      </c>
      <c r="T630" t="s">
        <v>69</v>
      </c>
      <c r="U630">
        <v>4</v>
      </c>
      <c r="V630" t="s">
        <v>89</v>
      </c>
      <c r="W630" t="s">
        <v>165</v>
      </c>
      <c r="X630" t="s">
        <v>52</v>
      </c>
      <c r="Y630" t="s">
        <v>71</v>
      </c>
    </row>
    <row r="631" spans="1:25">
      <c r="A631" t="s">
        <v>2279</v>
      </c>
      <c r="B631" t="s">
        <v>2280</v>
      </c>
      <c r="C631" t="s">
        <v>204</v>
      </c>
      <c r="D631">
        <v>42</v>
      </c>
      <c r="E631" t="s">
        <v>81</v>
      </c>
      <c r="F631" t="s">
        <v>82</v>
      </c>
      <c r="G631" t="s">
        <v>30</v>
      </c>
      <c r="H631" t="s">
        <v>577</v>
      </c>
      <c r="I631" t="s">
        <v>2281</v>
      </c>
      <c r="J631">
        <v>8</v>
      </c>
      <c r="K631" t="s">
        <v>577</v>
      </c>
      <c r="L631" t="s">
        <v>1417</v>
      </c>
      <c r="M631">
        <v>8</v>
      </c>
      <c r="N631" t="s">
        <v>68</v>
      </c>
      <c r="O631" t="s">
        <v>35</v>
      </c>
      <c r="Q631" t="s">
        <v>36</v>
      </c>
      <c r="R631">
        <v>20</v>
      </c>
      <c r="S631" t="s">
        <v>77</v>
      </c>
      <c r="T631" t="s">
        <v>88</v>
      </c>
      <c r="U631">
        <v>5</v>
      </c>
      <c r="V631" t="s">
        <v>89</v>
      </c>
      <c r="W631" t="s">
        <v>40</v>
      </c>
      <c r="X631" t="s">
        <v>52</v>
      </c>
      <c r="Y631" t="s">
        <v>53</v>
      </c>
    </row>
    <row r="632" spans="1:25">
      <c r="A632" t="s">
        <v>2282</v>
      </c>
      <c r="B632" t="s">
        <v>2283</v>
      </c>
      <c r="C632" t="s">
        <v>27</v>
      </c>
      <c r="D632">
        <v>36</v>
      </c>
      <c r="E632" t="s">
        <v>57</v>
      </c>
      <c r="F632" t="s">
        <v>29</v>
      </c>
      <c r="G632" t="s">
        <v>58</v>
      </c>
      <c r="H632" t="s">
        <v>375</v>
      </c>
      <c r="I632" t="s">
        <v>283</v>
      </c>
      <c r="J632">
        <v>3</v>
      </c>
      <c r="K632" t="s">
        <v>375</v>
      </c>
      <c r="L632" t="s">
        <v>1369</v>
      </c>
      <c r="M632">
        <v>5</v>
      </c>
      <c r="N632" t="s">
        <v>34</v>
      </c>
      <c r="O632" t="s">
        <v>35</v>
      </c>
      <c r="Q632" t="s">
        <v>36</v>
      </c>
      <c r="R632">
        <v>15</v>
      </c>
      <c r="S632" t="s">
        <v>49</v>
      </c>
      <c r="T632" t="s">
        <v>50</v>
      </c>
      <c r="U632">
        <v>1</v>
      </c>
      <c r="V632" t="s">
        <v>89</v>
      </c>
      <c r="W632" t="s">
        <v>40</v>
      </c>
      <c r="X632" t="s">
        <v>41</v>
      </c>
      <c r="Y632" t="s">
        <v>42</v>
      </c>
    </row>
    <row r="633" spans="1:25">
      <c r="A633" t="s">
        <v>2284</v>
      </c>
      <c r="B633" t="s">
        <v>2285</v>
      </c>
      <c r="C633" t="s">
        <v>204</v>
      </c>
      <c r="D633">
        <v>10</v>
      </c>
      <c r="E633" t="s">
        <v>92</v>
      </c>
      <c r="F633" t="s">
        <v>29</v>
      </c>
      <c r="G633" t="s">
        <v>93</v>
      </c>
      <c r="H633" t="s">
        <v>245</v>
      </c>
      <c r="I633" t="s">
        <v>1205</v>
      </c>
      <c r="J633">
        <v>24</v>
      </c>
      <c r="K633" t="s">
        <v>247</v>
      </c>
      <c r="L633" t="s">
        <v>829</v>
      </c>
      <c r="M633">
        <v>29</v>
      </c>
      <c r="N633" t="s">
        <v>34</v>
      </c>
      <c r="O633" t="s">
        <v>35</v>
      </c>
      <c r="Q633" t="s">
        <v>36</v>
      </c>
      <c r="R633">
        <v>50</v>
      </c>
      <c r="S633" t="s">
        <v>77</v>
      </c>
      <c r="T633" t="s">
        <v>50</v>
      </c>
      <c r="U633">
        <v>2</v>
      </c>
      <c r="V633" t="s">
        <v>70</v>
      </c>
      <c r="W633" t="s">
        <v>40</v>
      </c>
      <c r="X633" t="s">
        <v>41</v>
      </c>
      <c r="Y633" t="s">
        <v>42</v>
      </c>
    </row>
    <row r="634" spans="1:25">
      <c r="A634" t="s">
        <v>2286</v>
      </c>
      <c r="B634" t="s">
        <v>2287</v>
      </c>
      <c r="C634" t="s">
        <v>204</v>
      </c>
      <c r="D634">
        <v>84</v>
      </c>
      <c r="E634" t="s">
        <v>81</v>
      </c>
      <c r="F634" t="s">
        <v>82</v>
      </c>
      <c r="G634" t="s">
        <v>83</v>
      </c>
      <c r="H634" t="s">
        <v>572</v>
      </c>
      <c r="I634" t="s">
        <v>2288</v>
      </c>
      <c r="J634">
        <v>8</v>
      </c>
      <c r="K634" t="s">
        <v>300</v>
      </c>
      <c r="L634" t="s">
        <v>2289</v>
      </c>
      <c r="M634">
        <v>16</v>
      </c>
      <c r="N634" t="s">
        <v>34</v>
      </c>
      <c r="O634" t="s">
        <v>35</v>
      </c>
      <c r="Q634" t="s">
        <v>36</v>
      </c>
      <c r="R634">
        <v>20</v>
      </c>
      <c r="S634" t="s">
        <v>37</v>
      </c>
      <c r="T634" t="s">
        <v>164</v>
      </c>
      <c r="U634">
        <v>1</v>
      </c>
      <c r="V634" t="s">
        <v>89</v>
      </c>
      <c r="W634" t="s">
        <v>51</v>
      </c>
      <c r="X634" t="s">
        <v>52</v>
      </c>
      <c r="Y634" t="s">
        <v>53</v>
      </c>
    </row>
    <row r="635" spans="1:25">
      <c r="A635" t="s">
        <v>2290</v>
      </c>
      <c r="B635" t="s">
        <v>2291</v>
      </c>
      <c r="C635" t="s">
        <v>56</v>
      </c>
      <c r="D635">
        <v>64</v>
      </c>
      <c r="E635" t="s">
        <v>149</v>
      </c>
      <c r="F635" t="s">
        <v>29</v>
      </c>
      <c r="G635" t="s">
        <v>168</v>
      </c>
      <c r="H635" t="s">
        <v>615</v>
      </c>
      <c r="I635" t="s">
        <v>2292</v>
      </c>
      <c r="J635">
        <v>6</v>
      </c>
      <c r="K635" t="s">
        <v>615</v>
      </c>
      <c r="L635" t="s">
        <v>1668</v>
      </c>
      <c r="M635">
        <v>12</v>
      </c>
      <c r="N635" t="s">
        <v>34</v>
      </c>
      <c r="O635" t="s">
        <v>35</v>
      </c>
      <c r="Q635" t="s">
        <v>36</v>
      </c>
      <c r="R635">
        <v>40</v>
      </c>
      <c r="S635" t="s">
        <v>77</v>
      </c>
      <c r="T635" t="s">
        <v>88</v>
      </c>
      <c r="U635">
        <v>2</v>
      </c>
      <c r="V635" t="s">
        <v>89</v>
      </c>
      <c r="W635" t="s">
        <v>51</v>
      </c>
      <c r="X635" t="s">
        <v>41</v>
      </c>
      <c r="Y635" t="s">
        <v>71</v>
      </c>
    </row>
    <row r="636" spans="1:25">
      <c r="A636" t="s">
        <v>2293</v>
      </c>
      <c r="B636" t="s">
        <v>2294</v>
      </c>
      <c r="C636" t="s">
        <v>27</v>
      </c>
      <c r="D636">
        <v>44</v>
      </c>
      <c r="E636" t="s">
        <v>173</v>
      </c>
      <c r="F636" t="s">
        <v>29</v>
      </c>
      <c r="G636" t="s">
        <v>168</v>
      </c>
      <c r="H636" t="s">
        <v>211</v>
      </c>
      <c r="I636" t="s">
        <v>2238</v>
      </c>
      <c r="J636">
        <v>4</v>
      </c>
      <c r="K636" t="s">
        <v>211</v>
      </c>
      <c r="L636" t="s">
        <v>181</v>
      </c>
      <c r="M636">
        <v>3</v>
      </c>
      <c r="N636" t="s">
        <v>68</v>
      </c>
      <c r="O636" t="s">
        <v>35</v>
      </c>
      <c r="Q636" t="s">
        <v>36</v>
      </c>
      <c r="R636">
        <v>25</v>
      </c>
      <c r="S636" t="s">
        <v>49</v>
      </c>
      <c r="T636" t="s">
        <v>88</v>
      </c>
      <c r="U636">
        <v>5</v>
      </c>
      <c r="V636" t="s">
        <v>39</v>
      </c>
      <c r="W636" t="s">
        <v>51</v>
      </c>
      <c r="X636" t="s">
        <v>52</v>
      </c>
      <c r="Y636" t="s">
        <v>53</v>
      </c>
    </row>
    <row r="637" spans="1:25">
      <c r="A637" t="s">
        <v>2295</v>
      </c>
      <c r="B637" t="s">
        <v>2296</v>
      </c>
      <c r="C637" t="s">
        <v>56</v>
      </c>
      <c r="D637">
        <v>87</v>
      </c>
      <c r="E637" t="s">
        <v>173</v>
      </c>
      <c r="F637" t="s">
        <v>29</v>
      </c>
      <c r="G637" t="s">
        <v>168</v>
      </c>
      <c r="H637" t="s">
        <v>437</v>
      </c>
      <c r="I637" t="s">
        <v>888</v>
      </c>
      <c r="J637">
        <v>4</v>
      </c>
      <c r="K637" t="s">
        <v>437</v>
      </c>
      <c r="L637" t="s">
        <v>1409</v>
      </c>
      <c r="M637">
        <v>8</v>
      </c>
      <c r="N637" t="s">
        <v>34</v>
      </c>
      <c r="O637" t="s">
        <v>35</v>
      </c>
      <c r="Q637" t="s">
        <v>36</v>
      </c>
      <c r="R637">
        <v>25</v>
      </c>
      <c r="S637" t="s">
        <v>49</v>
      </c>
      <c r="T637" t="s">
        <v>164</v>
      </c>
      <c r="U637">
        <v>5</v>
      </c>
      <c r="V637" t="s">
        <v>89</v>
      </c>
      <c r="W637" t="s">
        <v>40</v>
      </c>
      <c r="X637" t="s">
        <v>52</v>
      </c>
      <c r="Y637" t="s">
        <v>53</v>
      </c>
    </row>
    <row r="638" spans="1:25">
      <c r="A638" t="s">
        <v>2297</v>
      </c>
      <c r="B638" t="s">
        <v>2298</v>
      </c>
      <c r="C638" t="s">
        <v>204</v>
      </c>
      <c r="D638">
        <v>56</v>
      </c>
      <c r="E638" t="s">
        <v>92</v>
      </c>
      <c r="F638" t="s">
        <v>29</v>
      </c>
      <c r="G638" t="s">
        <v>93</v>
      </c>
      <c r="H638" t="s">
        <v>893</v>
      </c>
      <c r="I638" t="s">
        <v>129</v>
      </c>
      <c r="J638">
        <v>24</v>
      </c>
      <c r="K638" t="s">
        <v>189</v>
      </c>
      <c r="L638" t="s">
        <v>1619</v>
      </c>
      <c r="M638">
        <v>30</v>
      </c>
      <c r="N638" t="s">
        <v>34</v>
      </c>
      <c r="O638" t="s">
        <v>35</v>
      </c>
      <c r="Q638" t="s">
        <v>36</v>
      </c>
      <c r="R638">
        <v>50</v>
      </c>
      <c r="S638" t="s">
        <v>37</v>
      </c>
      <c r="T638" t="s">
        <v>96</v>
      </c>
      <c r="U638">
        <v>2</v>
      </c>
      <c r="V638" t="s">
        <v>70</v>
      </c>
      <c r="W638" t="s">
        <v>40</v>
      </c>
      <c r="X638" t="s">
        <v>52</v>
      </c>
      <c r="Y638" t="s">
        <v>71</v>
      </c>
    </row>
    <row r="639" spans="1:25">
      <c r="A639" t="s">
        <v>2299</v>
      </c>
      <c r="B639" t="s">
        <v>2300</v>
      </c>
      <c r="C639" t="s">
        <v>27</v>
      </c>
      <c r="D639">
        <v>23</v>
      </c>
      <c r="E639" t="s">
        <v>81</v>
      </c>
      <c r="F639" t="s">
        <v>82</v>
      </c>
      <c r="G639" t="s">
        <v>83</v>
      </c>
      <c r="H639" t="s">
        <v>1412</v>
      </c>
      <c r="I639" t="s">
        <v>1871</v>
      </c>
      <c r="J639">
        <v>8</v>
      </c>
      <c r="K639" t="s">
        <v>1412</v>
      </c>
      <c r="L639" t="s">
        <v>120</v>
      </c>
      <c r="M639">
        <v>9</v>
      </c>
      <c r="N639" t="s">
        <v>34</v>
      </c>
      <c r="O639" t="s">
        <v>35</v>
      </c>
      <c r="Q639" t="s">
        <v>36</v>
      </c>
      <c r="R639">
        <v>20</v>
      </c>
      <c r="S639" t="s">
        <v>37</v>
      </c>
      <c r="T639" t="s">
        <v>88</v>
      </c>
      <c r="U639">
        <v>2</v>
      </c>
      <c r="V639" t="s">
        <v>70</v>
      </c>
      <c r="W639" t="s">
        <v>51</v>
      </c>
      <c r="X639" t="s">
        <v>109</v>
      </c>
      <c r="Y639" t="s">
        <v>71</v>
      </c>
    </row>
    <row r="640" spans="1:25">
      <c r="A640" t="s">
        <v>2301</v>
      </c>
      <c r="B640" t="s">
        <v>2302</v>
      </c>
      <c r="C640" t="s">
        <v>204</v>
      </c>
      <c r="D640">
        <v>17</v>
      </c>
      <c r="E640" t="s">
        <v>81</v>
      </c>
      <c r="F640" t="s">
        <v>82</v>
      </c>
      <c r="G640" t="s">
        <v>30</v>
      </c>
      <c r="H640" t="s">
        <v>101</v>
      </c>
      <c r="I640" t="s">
        <v>2303</v>
      </c>
      <c r="J640">
        <v>8</v>
      </c>
      <c r="K640" t="s">
        <v>101</v>
      </c>
      <c r="L640" t="s">
        <v>2304</v>
      </c>
      <c r="M640">
        <v>13</v>
      </c>
      <c r="N640" t="s">
        <v>34</v>
      </c>
      <c r="O640" t="s">
        <v>35</v>
      </c>
      <c r="Q640" t="s">
        <v>36</v>
      </c>
      <c r="R640">
        <v>20</v>
      </c>
      <c r="S640" t="s">
        <v>37</v>
      </c>
      <c r="T640" t="s">
        <v>50</v>
      </c>
      <c r="U640">
        <v>4</v>
      </c>
      <c r="V640" t="s">
        <v>39</v>
      </c>
      <c r="W640" t="s">
        <v>51</v>
      </c>
      <c r="X640" t="s">
        <v>41</v>
      </c>
      <c r="Y640" t="s">
        <v>42</v>
      </c>
    </row>
    <row r="641" spans="1:25">
      <c r="A641" t="s">
        <v>2305</v>
      </c>
      <c r="B641" t="s">
        <v>2306</v>
      </c>
      <c r="C641" t="s">
        <v>80</v>
      </c>
      <c r="D641">
        <v>30</v>
      </c>
      <c r="E641" t="s">
        <v>149</v>
      </c>
      <c r="F641" t="s">
        <v>29</v>
      </c>
      <c r="G641" t="s">
        <v>30</v>
      </c>
      <c r="H641" t="s">
        <v>355</v>
      </c>
      <c r="I641" t="s">
        <v>1902</v>
      </c>
      <c r="J641">
        <v>6</v>
      </c>
      <c r="K641" t="s">
        <v>355</v>
      </c>
      <c r="L641" t="s">
        <v>2307</v>
      </c>
      <c r="M641">
        <v>11</v>
      </c>
      <c r="N641" t="s">
        <v>34</v>
      </c>
      <c r="O641" t="s">
        <v>35</v>
      </c>
      <c r="Q641" t="s">
        <v>36</v>
      </c>
      <c r="R641">
        <v>40</v>
      </c>
      <c r="S641" t="s">
        <v>49</v>
      </c>
      <c r="T641" t="s">
        <v>96</v>
      </c>
      <c r="U641">
        <v>1</v>
      </c>
      <c r="V641" t="s">
        <v>89</v>
      </c>
      <c r="W641" t="s">
        <v>103</v>
      </c>
      <c r="X641" t="s">
        <v>109</v>
      </c>
      <c r="Y641" t="s">
        <v>71</v>
      </c>
    </row>
    <row r="642" spans="1:25">
      <c r="A642" t="s">
        <v>2308</v>
      </c>
      <c r="B642" t="s">
        <v>2309</v>
      </c>
      <c r="C642" t="s">
        <v>56</v>
      </c>
      <c r="D642">
        <v>82</v>
      </c>
      <c r="E642" t="s">
        <v>92</v>
      </c>
      <c r="F642" t="s">
        <v>29</v>
      </c>
      <c r="G642" t="s">
        <v>45</v>
      </c>
      <c r="H642" t="s">
        <v>375</v>
      </c>
      <c r="I642" t="s">
        <v>2310</v>
      </c>
      <c r="J642">
        <v>24</v>
      </c>
      <c r="K642" t="s">
        <v>1625</v>
      </c>
      <c r="L642" t="s">
        <v>2311</v>
      </c>
      <c r="M642">
        <v>31</v>
      </c>
      <c r="N642" t="s">
        <v>34</v>
      </c>
      <c r="O642" t="s">
        <v>35</v>
      </c>
      <c r="Q642" t="s">
        <v>36</v>
      </c>
      <c r="R642">
        <v>50</v>
      </c>
      <c r="S642" t="s">
        <v>49</v>
      </c>
      <c r="T642" t="s">
        <v>38</v>
      </c>
      <c r="U642">
        <v>4</v>
      </c>
      <c r="V642" t="s">
        <v>89</v>
      </c>
      <c r="W642" t="s">
        <v>51</v>
      </c>
      <c r="X642" t="s">
        <v>52</v>
      </c>
      <c r="Y642" t="s">
        <v>42</v>
      </c>
    </row>
    <row r="643" spans="1:25">
      <c r="A643" t="s">
        <v>2312</v>
      </c>
      <c r="B643" t="s">
        <v>2313</v>
      </c>
      <c r="C643" t="s">
        <v>204</v>
      </c>
      <c r="D643">
        <v>76</v>
      </c>
      <c r="E643" t="s">
        <v>92</v>
      </c>
      <c r="F643" t="s">
        <v>29</v>
      </c>
      <c r="G643" t="s">
        <v>93</v>
      </c>
      <c r="H643" t="s">
        <v>384</v>
      </c>
      <c r="I643" t="s">
        <v>330</v>
      </c>
      <c r="J643">
        <v>24</v>
      </c>
      <c r="K643" t="s">
        <v>267</v>
      </c>
      <c r="L643" t="s">
        <v>176</v>
      </c>
      <c r="M643">
        <v>32</v>
      </c>
      <c r="N643" t="s">
        <v>34</v>
      </c>
      <c r="O643" t="s">
        <v>35</v>
      </c>
      <c r="Q643" t="s">
        <v>36</v>
      </c>
      <c r="R643">
        <v>50</v>
      </c>
      <c r="S643" t="s">
        <v>37</v>
      </c>
      <c r="T643" t="s">
        <v>38</v>
      </c>
      <c r="U643">
        <v>3</v>
      </c>
      <c r="V643" t="s">
        <v>89</v>
      </c>
      <c r="W643" t="s">
        <v>165</v>
      </c>
      <c r="X643" t="s">
        <v>41</v>
      </c>
      <c r="Y643" t="s">
        <v>42</v>
      </c>
    </row>
    <row r="644" spans="1:25">
      <c r="A644" t="s">
        <v>2314</v>
      </c>
      <c r="B644" t="s">
        <v>2315</v>
      </c>
      <c r="C644" t="s">
        <v>56</v>
      </c>
      <c r="D644">
        <v>50</v>
      </c>
      <c r="E644" t="s">
        <v>57</v>
      </c>
      <c r="F644" t="s">
        <v>29</v>
      </c>
      <c r="G644" t="s">
        <v>168</v>
      </c>
      <c r="H644" t="s">
        <v>556</v>
      </c>
      <c r="I644" t="s">
        <v>859</v>
      </c>
      <c r="J644">
        <v>3</v>
      </c>
      <c r="K644" t="s">
        <v>556</v>
      </c>
      <c r="L644" t="s">
        <v>860</v>
      </c>
      <c r="M644">
        <v>5</v>
      </c>
      <c r="N644" t="s">
        <v>34</v>
      </c>
      <c r="O644" t="s">
        <v>35</v>
      </c>
      <c r="Q644" t="s">
        <v>36</v>
      </c>
      <c r="R644">
        <v>15</v>
      </c>
      <c r="S644" t="s">
        <v>37</v>
      </c>
      <c r="T644" t="s">
        <v>96</v>
      </c>
      <c r="U644">
        <v>5</v>
      </c>
      <c r="V644" t="s">
        <v>89</v>
      </c>
      <c r="W644" t="s">
        <v>40</v>
      </c>
      <c r="X644" t="s">
        <v>52</v>
      </c>
      <c r="Y644" t="s">
        <v>71</v>
      </c>
    </row>
    <row r="645" spans="1:25">
      <c r="A645" t="s">
        <v>2316</v>
      </c>
      <c r="B645" t="s">
        <v>2317</v>
      </c>
      <c r="C645" t="s">
        <v>27</v>
      </c>
      <c r="D645">
        <v>32</v>
      </c>
      <c r="E645" t="s">
        <v>173</v>
      </c>
      <c r="F645" t="s">
        <v>29</v>
      </c>
      <c r="G645" t="s">
        <v>58</v>
      </c>
      <c r="H645" t="s">
        <v>526</v>
      </c>
      <c r="I645" t="s">
        <v>2154</v>
      </c>
      <c r="J645">
        <v>4</v>
      </c>
      <c r="K645" t="s">
        <v>526</v>
      </c>
      <c r="L645" t="s">
        <v>423</v>
      </c>
      <c r="M645">
        <v>12</v>
      </c>
      <c r="N645" t="s">
        <v>34</v>
      </c>
      <c r="O645" t="s">
        <v>35</v>
      </c>
      <c r="Q645" t="s">
        <v>36</v>
      </c>
      <c r="R645">
        <v>25</v>
      </c>
      <c r="S645" t="s">
        <v>37</v>
      </c>
      <c r="T645" t="s">
        <v>50</v>
      </c>
      <c r="U645">
        <v>3</v>
      </c>
      <c r="V645" t="s">
        <v>89</v>
      </c>
      <c r="W645" t="s">
        <v>165</v>
      </c>
      <c r="X645" t="s">
        <v>52</v>
      </c>
      <c r="Y645" t="s">
        <v>42</v>
      </c>
    </row>
    <row r="646" spans="1:25">
      <c r="A646" t="s">
        <v>2318</v>
      </c>
      <c r="B646" t="s">
        <v>2319</v>
      </c>
      <c r="C646" t="s">
        <v>27</v>
      </c>
      <c r="D646">
        <v>88</v>
      </c>
      <c r="E646" t="s">
        <v>149</v>
      </c>
      <c r="F646" t="s">
        <v>29</v>
      </c>
      <c r="G646" t="s">
        <v>93</v>
      </c>
      <c r="H646" t="s">
        <v>329</v>
      </c>
      <c r="I646" t="s">
        <v>1270</v>
      </c>
      <c r="J646">
        <v>6</v>
      </c>
      <c r="K646" t="s">
        <v>329</v>
      </c>
      <c r="L646" t="s">
        <v>737</v>
      </c>
      <c r="M646">
        <v>14</v>
      </c>
      <c r="N646" t="s">
        <v>34</v>
      </c>
      <c r="O646" t="s">
        <v>35</v>
      </c>
      <c r="Q646" t="s">
        <v>36</v>
      </c>
      <c r="R646">
        <v>40</v>
      </c>
      <c r="S646" t="s">
        <v>77</v>
      </c>
      <c r="T646" t="s">
        <v>38</v>
      </c>
      <c r="U646">
        <v>5</v>
      </c>
      <c r="V646" t="s">
        <v>70</v>
      </c>
      <c r="W646" t="s">
        <v>165</v>
      </c>
      <c r="X646" t="s">
        <v>52</v>
      </c>
      <c r="Y646" t="s">
        <v>53</v>
      </c>
    </row>
    <row r="647" spans="1:25">
      <c r="A647" t="s">
        <v>2320</v>
      </c>
      <c r="B647" t="s">
        <v>2321</v>
      </c>
      <c r="C647" t="s">
        <v>27</v>
      </c>
      <c r="D647">
        <v>39</v>
      </c>
      <c r="E647" t="s">
        <v>173</v>
      </c>
      <c r="F647" t="s">
        <v>29</v>
      </c>
      <c r="G647" t="s">
        <v>45</v>
      </c>
      <c r="H647" t="s">
        <v>893</v>
      </c>
      <c r="I647" t="s">
        <v>1487</v>
      </c>
      <c r="J647">
        <v>4</v>
      </c>
      <c r="K647" t="s">
        <v>893</v>
      </c>
      <c r="L647" t="s">
        <v>1488</v>
      </c>
      <c r="M647">
        <v>6</v>
      </c>
      <c r="N647" t="s">
        <v>34</v>
      </c>
      <c r="O647" t="s">
        <v>35</v>
      </c>
      <c r="Q647" t="s">
        <v>36</v>
      </c>
      <c r="R647">
        <v>25</v>
      </c>
      <c r="S647" t="s">
        <v>37</v>
      </c>
      <c r="T647" t="s">
        <v>88</v>
      </c>
      <c r="U647">
        <v>3</v>
      </c>
      <c r="V647" t="s">
        <v>89</v>
      </c>
      <c r="W647" t="s">
        <v>40</v>
      </c>
      <c r="X647" t="s">
        <v>41</v>
      </c>
      <c r="Y647" t="s">
        <v>53</v>
      </c>
    </row>
    <row r="648" spans="1:25">
      <c r="A648" t="s">
        <v>2322</v>
      </c>
      <c r="B648" t="s">
        <v>2323</v>
      </c>
      <c r="C648" t="s">
        <v>204</v>
      </c>
      <c r="D648">
        <v>29</v>
      </c>
      <c r="E648" t="s">
        <v>57</v>
      </c>
      <c r="F648" t="s">
        <v>29</v>
      </c>
      <c r="G648" t="s">
        <v>93</v>
      </c>
      <c r="H648" t="s">
        <v>1685</v>
      </c>
      <c r="I648" t="s">
        <v>2324</v>
      </c>
      <c r="J648">
        <v>3</v>
      </c>
      <c r="K648" t="s">
        <v>1685</v>
      </c>
      <c r="L648" t="s">
        <v>2325</v>
      </c>
      <c r="M648">
        <v>4</v>
      </c>
      <c r="N648" t="s">
        <v>34</v>
      </c>
      <c r="O648" t="s">
        <v>35</v>
      </c>
      <c r="Q648" t="s">
        <v>36</v>
      </c>
      <c r="R648">
        <v>15</v>
      </c>
      <c r="S648" t="s">
        <v>77</v>
      </c>
      <c r="T648" t="s">
        <v>69</v>
      </c>
      <c r="U648">
        <v>3</v>
      </c>
      <c r="V648" t="s">
        <v>70</v>
      </c>
      <c r="W648" t="s">
        <v>40</v>
      </c>
      <c r="X648" t="s">
        <v>52</v>
      </c>
      <c r="Y648" t="s">
        <v>71</v>
      </c>
    </row>
    <row r="649" spans="1:25">
      <c r="A649" t="s">
        <v>2326</v>
      </c>
      <c r="B649" t="s">
        <v>2327</v>
      </c>
      <c r="C649" t="s">
        <v>27</v>
      </c>
      <c r="D649">
        <v>63</v>
      </c>
      <c r="E649" t="s">
        <v>28</v>
      </c>
      <c r="F649" t="s">
        <v>29</v>
      </c>
      <c r="G649" t="s">
        <v>150</v>
      </c>
      <c r="H649" t="s">
        <v>232</v>
      </c>
      <c r="I649" t="s">
        <v>2328</v>
      </c>
      <c r="J649">
        <v>5</v>
      </c>
      <c r="K649" t="s">
        <v>353</v>
      </c>
      <c r="L649" t="s">
        <v>2329</v>
      </c>
      <c r="M649">
        <v>11</v>
      </c>
      <c r="N649" t="s">
        <v>34</v>
      </c>
      <c r="O649" t="s">
        <v>35</v>
      </c>
      <c r="Q649" t="s">
        <v>36</v>
      </c>
      <c r="R649">
        <v>35</v>
      </c>
      <c r="S649" t="s">
        <v>37</v>
      </c>
      <c r="T649" t="s">
        <v>96</v>
      </c>
      <c r="U649">
        <v>4</v>
      </c>
      <c r="V649" t="s">
        <v>89</v>
      </c>
      <c r="W649" t="s">
        <v>51</v>
      </c>
      <c r="X649" t="s">
        <v>41</v>
      </c>
      <c r="Y649" t="s">
        <v>71</v>
      </c>
    </row>
    <row r="650" spans="1:25">
      <c r="A650" t="s">
        <v>2330</v>
      </c>
      <c r="B650" t="s">
        <v>2331</v>
      </c>
      <c r="C650" t="s">
        <v>27</v>
      </c>
      <c r="D650">
        <v>49</v>
      </c>
      <c r="E650" t="s">
        <v>173</v>
      </c>
      <c r="F650" t="s">
        <v>29</v>
      </c>
      <c r="G650" t="s">
        <v>168</v>
      </c>
      <c r="H650" t="s">
        <v>910</v>
      </c>
      <c r="I650" t="s">
        <v>2332</v>
      </c>
      <c r="J650">
        <v>4</v>
      </c>
      <c r="K650" t="s">
        <v>910</v>
      </c>
      <c r="L650" t="s">
        <v>1504</v>
      </c>
      <c r="M650">
        <v>8</v>
      </c>
      <c r="N650" t="s">
        <v>34</v>
      </c>
      <c r="O650" t="s">
        <v>35</v>
      </c>
      <c r="Q650" t="s">
        <v>36</v>
      </c>
      <c r="R650">
        <v>25</v>
      </c>
      <c r="S650" t="s">
        <v>37</v>
      </c>
      <c r="T650" t="s">
        <v>50</v>
      </c>
      <c r="U650">
        <v>4</v>
      </c>
      <c r="V650" t="s">
        <v>70</v>
      </c>
      <c r="W650" t="s">
        <v>103</v>
      </c>
      <c r="X650" t="s">
        <v>109</v>
      </c>
      <c r="Y650" t="s">
        <v>71</v>
      </c>
    </row>
    <row r="651" spans="1:25">
      <c r="A651" t="s">
        <v>2333</v>
      </c>
      <c r="B651" t="s">
        <v>2334</v>
      </c>
      <c r="C651" t="s">
        <v>80</v>
      </c>
      <c r="D651">
        <v>5</v>
      </c>
      <c r="E651" t="s">
        <v>92</v>
      </c>
      <c r="F651" t="s">
        <v>29</v>
      </c>
      <c r="G651" t="s">
        <v>93</v>
      </c>
      <c r="H651" t="s">
        <v>384</v>
      </c>
      <c r="I651" t="s">
        <v>257</v>
      </c>
      <c r="J651">
        <v>24</v>
      </c>
      <c r="K651" t="s">
        <v>267</v>
      </c>
      <c r="L651" t="s">
        <v>94</v>
      </c>
      <c r="M651">
        <v>25</v>
      </c>
      <c r="N651" t="s">
        <v>34</v>
      </c>
      <c r="O651" t="s">
        <v>35</v>
      </c>
      <c r="Q651" t="s">
        <v>36</v>
      </c>
      <c r="R651">
        <v>50</v>
      </c>
      <c r="S651" t="s">
        <v>37</v>
      </c>
      <c r="T651" t="s">
        <v>164</v>
      </c>
      <c r="U651">
        <v>3</v>
      </c>
      <c r="V651" t="s">
        <v>39</v>
      </c>
      <c r="W651" t="s">
        <v>165</v>
      </c>
      <c r="X651" t="s">
        <v>52</v>
      </c>
      <c r="Y651" t="s">
        <v>53</v>
      </c>
    </row>
    <row r="652" spans="1:25">
      <c r="A652" t="s">
        <v>2335</v>
      </c>
      <c r="B652" t="s">
        <v>2336</v>
      </c>
      <c r="C652" t="s">
        <v>80</v>
      </c>
      <c r="D652">
        <v>39</v>
      </c>
      <c r="E652" t="s">
        <v>173</v>
      </c>
      <c r="F652" t="s">
        <v>29</v>
      </c>
      <c r="G652" t="s">
        <v>168</v>
      </c>
      <c r="H652" t="s">
        <v>431</v>
      </c>
      <c r="I652" t="s">
        <v>1001</v>
      </c>
      <c r="J652">
        <v>4</v>
      </c>
      <c r="K652" t="s">
        <v>431</v>
      </c>
      <c r="L652" t="s">
        <v>2337</v>
      </c>
      <c r="M652">
        <v>6</v>
      </c>
      <c r="N652" t="s">
        <v>34</v>
      </c>
      <c r="O652" t="s">
        <v>35</v>
      </c>
      <c r="Q652" t="s">
        <v>36</v>
      </c>
      <c r="R652">
        <v>25</v>
      </c>
      <c r="S652" t="s">
        <v>49</v>
      </c>
      <c r="T652" t="s">
        <v>50</v>
      </c>
      <c r="U652">
        <v>2</v>
      </c>
      <c r="V652" t="s">
        <v>70</v>
      </c>
      <c r="W652" t="s">
        <v>51</v>
      </c>
      <c r="X652" t="s">
        <v>41</v>
      </c>
      <c r="Y652" t="s">
        <v>71</v>
      </c>
    </row>
    <row r="653" spans="1:25">
      <c r="A653" t="s">
        <v>2338</v>
      </c>
      <c r="B653" t="s">
        <v>2339</v>
      </c>
      <c r="C653" t="s">
        <v>56</v>
      </c>
      <c r="D653">
        <v>52</v>
      </c>
      <c r="E653" t="s">
        <v>28</v>
      </c>
      <c r="F653" t="s">
        <v>29</v>
      </c>
      <c r="G653" t="s">
        <v>30</v>
      </c>
      <c r="H653" t="s">
        <v>161</v>
      </c>
      <c r="I653" t="s">
        <v>2226</v>
      </c>
      <c r="J653">
        <v>5</v>
      </c>
      <c r="K653" t="s">
        <v>823</v>
      </c>
      <c r="L653" t="s">
        <v>2340</v>
      </c>
      <c r="M653">
        <v>13</v>
      </c>
      <c r="N653" t="s">
        <v>34</v>
      </c>
      <c r="O653" t="s">
        <v>35</v>
      </c>
      <c r="Q653" t="s">
        <v>36</v>
      </c>
      <c r="R653">
        <v>35</v>
      </c>
      <c r="S653" t="s">
        <v>77</v>
      </c>
      <c r="T653" t="s">
        <v>69</v>
      </c>
      <c r="U653">
        <v>1</v>
      </c>
      <c r="V653" t="s">
        <v>62</v>
      </c>
      <c r="W653" t="s">
        <v>40</v>
      </c>
      <c r="X653" t="s">
        <v>52</v>
      </c>
      <c r="Y653" t="s">
        <v>42</v>
      </c>
    </row>
    <row r="654" spans="1:25">
      <c r="A654" t="s">
        <v>2341</v>
      </c>
      <c r="B654" t="s">
        <v>2342</v>
      </c>
      <c r="C654" t="s">
        <v>80</v>
      </c>
      <c r="D654">
        <v>12</v>
      </c>
      <c r="E654" t="s">
        <v>28</v>
      </c>
      <c r="F654" t="s">
        <v>29</v>
      </c>
      <c r="G654" t="s">
        <v>30</v>
      </c>
      <c r="H654" t="s">
        <v>400</v>
      </c>
      <c r="I654" t="s">
        <v>438</v>
      </c>
      <c r="J654">
        <v>5</v>
      </c>
      <c r="K654" t="s">
        <v>400</v>
      </c>
      <c r="L654" t="s">
        <v>439</v>
      </c>
      <c r="M654">
        <v>6</v>
      </c>
      <c r="N654" t="s">
        <v>34</v>
      </c>
      <c r="O654" t="s">
        <v>35</v>
      </c>
      <c r="Q654" t="s">
        <v>36</v>
      </c>
      <c r="R654">
        <v>35</v>
      </c>
      <c r="S654" t="s">
        <v>37</v>
      </c>
      <c r="T654" t="s">
        <v>69</v>
      </c>
      <c r="U654">
        <v>4</v>
      </c>
      <c r="V654" t="s">
        <v>39</v>
      </c>
      <c r="W654" t="s">
        <v>165</v>
      </c>
      <c r="X654" t="s">
        <v>109</v>
      </c>
      <c r="Y654" t="s">
        <v>53</v>
      </c>
    </row>
    <row r="655" spans="1:25">
      <c r="A655" t="s">
        <v>2343</v>
      </c>
      <c r="B655" t="s">
        <v>2344</v>
      </c>
      <c r="C655" t="s">
        <v>27</v>
      </c>
      <c r="D655">
        <v>32</v>
      </c>
      <c r="E655" t="s">
        <v>81</v>
      </c>
      <c r="F655" t="s">
        <v>82</v>
      </c>
      <c r="G655" t="s">
        <v>45</v>
      </c>
      <c r="H655" t="s">
        <v>828</v>
      </c>
      <c r="I655" t="s">
        <v>1011</v>
      </c>
      <c r="J655">
        <v>8</v>
      </c>
      <c r="K655" t="s">
        <v>828</v>
      </c>
      <c r="L655" t="s">
        <v>2345</v>
      </c>
      <c r="M655">
        <v>9</v>
      </c>
      <c r="N655" t="s">
        <v>34</v>
      </c>
      <c r="O655" t="s">
        <v>35</v>
      </c>
      <c r="Q655" t="s">
        <v>36</v>
      </c>
      <c r="R655">
        <v>20</v>
      </c>
      <c r="S655" t="s">
        <v>77</v>
      </c>
      <c r="T655" t="s">
        <v>38</v>
      </c>
      <c r="U655">
        <v>3</v>
      </c>
      <c r="V655" t="s">
        <v>70</v>
      </c>
      <c r="W655" t="s">
        <v>165</v>
      </c>
      <c r="X655" t="s">
        <v>52</v>
      </c>
      <c r="Y655" t="s">
        <v>53</v>
      </c>
    </row>
    <row r="656" spans="1:25">
      <c r="A656" t="s">
        <v>2346</v>
      </c>
      <c r="B656" t="s">
        <v>2347</v>
      </c>
      <c r="C656" t="s">
        <v>80</v>
      </c>
      <c r="D656">
        <v>26</v>
      </c>
      <c r="E656" t="s">
        <v>81</v>
      </c>
      <c r="F656" t="s">
        <v>82</v>
      </c>
      <c r="G656" t="s">
        <v>83</v>
      </c>
      <c r="H656" t="s">
        <v>300</v>
      </c>
      <c r="I656" t="s">
        <v>2348</v>
      </c>
      <c r="J656">
        <v>8</v>
      </c>
      <c r="K656" t="s">
        <v>300</v>
      </c>
      <c r="L656" t="s">
        <v>2349</v>
      </c>
      <c r="M656">
        <v>8</v>
      </c>
      <c r="N656" t="s">
        <v>68</v>
      </c>
      <c r="O656" t="s">
        <v>35</v>
      </c>
      <c r="Q656" t="s">
        <v>36</v>
      </c>
      <c r="R656">
        <v>20</v>
      </c>
      <c r="S656" t="s">
        <v>77</v>
      </c>
      <c r="T656" t="s">
        <v>38</v>
      </c>
      <c r="U656">
        <v>4</v>
      </c>
      <c r="V656" t="s">
        <v>89</v>
      </c>
      <c r="W656" t="s">
        <v>165</v>
      </c>
      <c r="X656" t="s">
        <v>41</v>
      </c>
      <c r="Y656" t="s">
        <v>42</v>
      </c>
    </row>
    <row r="657" spans="1:25">
      <c r="A657" t="s">
        <v>2350</v>
      </c>
      <c r="B657" t="s">
        <v>2351</v>
      </c>
      <c r="C657" t="s">
        <v>80</v>
      </c>
      <c r="D657">
        <v>18</v>
      </c>
      <c r="E657" t="s">
        <v>81</v>
      </c>
      <c r="F657" t="s">
        <v>82</v>
      </c>
      <c r="G657" t="s">
        <v>83</v>
      </c>
      <c r="H657" t="s">
        <v>135</v>
      </c>
      <c r="I657" t="s">
        <v>1153</v>
      </c>
      <c r="J657">
        <v>8</v>
      </c>
      <c r="K657" t="s">
        <v>135</v>
      </c>
      <c r="L657" t="s">
        <v>48</v>
      </c>
      <c r="M657">
        <v>8</v>
      </c>
      <c r="N657" t="s">
        <v>68</v>
      </c>
      <c r="O657" t="s">
        <v>35</v>
      </c>
      <c r="Q657" t="s">
        <v>36</v>
      </c>
      <c r="R657">
        <v>20</v>
      </c>
      <c r="S657" t="s">
        <v>37</v>
      </c>
      <c r="T657" t="s">
        <v>88</v>
      </c>
      <c r="U657">
        <v>2</v>
      </c>
      <c r="V657" t="s">
        <v>70</v>
      </c>
      <c r="W657" t="s">
        <v>51</v>
      </c>
      <c r="X657" t="s">
        <v>41</v>
      </c>
      <c r="Y657" t="s">
        <v>42</v>
      </c>
    </row>
    <row r="658" spans="1:25">
      <c r="A658" t="s">
        <v>2352</v>
      </c>
      <c r="B658" t="s">
        <v>2353</v>
      </c>
      <c r="C658" t="s">
        <v>80</v>
      </c>
      <c r="D658">
        <v>59</v>
      </c>
      <c r="E658" t="s">
        <v>173</v>
      </c>
      <c r="F658" t="s">
        <v>29</v>
      </c>
      <c r="G658" t="s">
        <v>168</v>
      </c>
      <c r="H658" t="s">
        <v>586</v>
      </c>
      <c r="I658" t="s">
        <v>1464</v>
      </c>
      <c r="J658">
        <v>4</v>
      </c>
      <c r="K658" t="s">
        <v>586</v>
      </c>
      <c r="L658" t="s">
        <v>2354</v>
      </c>
      <c r="M658">
        <v>9</v>
      </c>
      <c r="N658" t="s">
        <v>34</v>
      </c>
      <c r="O658" t="s">
        <v>35</v>
      </c>
      <c r="Q658" t="s">
        <v>36</v>
      </c>
      <c r="R658">
        <v>25</v>
      </c>
      <c r="S658" t="s">
        <v>77</v>
      </c>
      <c r="T658" t="s">
        <v>88</v>
      </c>
      <c r="U658">
        <v>3</v>
      </c>
      <c r="V658" t="s">
        <v>89</v>
      </c>
      <c r="W658" t="s">
        <v>165</v>
      </c>
      <c r="X658" t="s">
        <v>52</v>
      </c>
      <c r="Y658" t="s">
        <v>42</v>
      </c>
    </row>
    <row r="659" spans="1:25">
      <c r="A659" t="s">
        <v>2355</v>
      </c>
      <c r="B659" t="s">
        <v>2356</v>
      </c>
      <c r="C659" t="s">
        <v>27</v>
      </c>
      <c r="D659">
        <v>16</v>
      </c>
      <c r="E659" t="s">
        <v>57</v>
      </c>
      <c r="F659" t="s">
        <v>29</v>
      </c>
      <c r="G659" t="s">
        <v>93</v>
      </c>
      <c r="H659" t="s">
        <v>537</v>
      </c>
      <c r="I659" t="s">
        <v>2082</v>
      </c>
      <c r="J659">
        <v>3</v>
      </c>
      <c r="K659" t="s">
        <v>537</v>
      </c>
      <c r="L659" t="s">
        <v>2357</v>
      </c>
      <c r="M659">
        <v>4</v>
      </c>
      <c r="N659" t="s">
        <v>34</v>
      </c>
      <c r="O659" t="s">
        <v>35</v>
      </c>
      <c r="Q659" t="s">
        <v>36</v>
      </c>
      <c r="R659">
        <v>15</v>
      </c>
      <c r="S659" t="s">
        <v>77</v>
      </c>
      <c r="T659" t="s">
        <v>96</v>
      </c>
      <c r="U659">
        <v>5</v>
      </c>
      <c r="V659" t="s">
        <v>89</v>
      </c>
      <c r="W659" t="s">
        <v>51</v>
      </c>
      <c r="X659" t="s">
        <v>52</v>
      </c>
      <c r="Y659" t="s">
        <v>53</v>
      </c>
    </row>
    <row r="660" spans="1:25">
      <c r="A660" t="s">
        <v>2358</v>
      </c>
      <c r="B660" t="s">
        <v>2359</v>
      </c>
      <c r="C660" t="s">
        <v>204</v>
      </c>
      <c r="D660">
        <v>66</v>
      </c>
      <c r="E660" t="s">
        <v>92</v>
      </c>
      <c r="F660" t="s">
        <v>29</v>
      </c>
      <c r="G660" t="s">
        <v>83</v>
      </c>
      <c r="H660" t="s">
        <v>473</v>
      </c>
      <c r="I660" t="s">
        <v>2360</v>
      </c>
      <c r="J660">
        <v>24</v>
      </c>
      <c r="K660" t="s">
        <v>475</v>
      </c>
      <c r="L660" t="s">
        <v>2361</v>
      </c>
      <c r="M660">
        <v>29</v>
      </c>
      <c r="N660" t="s">
        <v>34</v>
      </c>
      <c r="O660" t="s">
        <v>35</v>
      </c>
      <c r="Q660" t="s">
        <v>36</v>
      </c>
      <c r="R660">
        <v>50</v>
      </c>
      <c r="S660" t="s">
        <v>37</v>
      </c>
      <c r="T660" t="s">
        <v>96</v>
      </c>
      <c r="U660">
        <v>4</v>
      </c>
      <c r="V660" t="s">
        <v>62</v>
      </c>
      <c r="W660" t="s">
        <v>40</v>
      </c>
      <c r="X660" t="s">
        <v>52</v>
      </c>
      <c r="Y660" t="s">
        <v>42</v>
      </c>
    </row>
    <row r="661" spans="1:25">
      <c r="A661" t="s">
        <v>2362</v>
      </c>
      <c r="B661" t="s">
        <v>2363</v>
      </c>
      <c r="C661" t="s">
        <v>80</v>
      </c>
      <c r="D661">
        <v>12</v>
      </c>
      <c r="E661" t="s">
        <v>92</v>
      </c>
      <c r="F661" t="s">
        <v>29</v>
      </c>
      <c r="G661" t="s">
        <v>83</v>
      </c>
      <c r="H661" t="s">
        <v>1516</v>
      </c>
      <c r="I661" t="s">
        <v>2364</v>
      </c>
      <c r="J661">
        <v>24</v>
      </c>
      <c r="K661" t="s">
        <v>577</v>
      </c>
      <c r="L661" t="s">
        <v>60</v>
      </c>
      <c r="M661">
        <v>26</v>
      </c>
      <c r="N661" t="s">
        <v>34</v>
      </c>
      <c r="O661" t="s">
        <v>35</v>
      </c>
      <c r="Q661" t="s">
        <v>36</v>
      </c>
      <c r="R661">
        <v>50</v>
      </c>
      <c r="S661" t="s">
        <v>37</v>
      </c>
      <c r="T661" t="s">
        <v>164</v>
      </c>
      <c r="U661">
        <v>2</v>
      </c>
      <c r="V661" t="s">
        <v>39</v>
      </c>
      <c r="W661" t="s">
        <v>103</v>
      </c>
      <c r="X661" t="s">
        <v>41</v>
      </c>
      <c r="Y661" t="s">
        <v>71</v>
      </c>
    </row>
    <row r="662" spans="1:25">
      <c r="A662" t="s">
        <v>2365</v>
      </c>
      <c r="B662" t="s">
        <v>2366</v>
      </c>
      <c r="C662" t="s">
        <v>27</v>
      </c>
      <c r="D662">
        <v>67</v>
      </c>
      <c r="E662" t="s">
        <v>173</v>
      </c>
      <c r="F662" t="s">
        <v>29</v>
      </c>
      <c r="G662" t="s">
        <v>150</v>
      </c>
      <c r="H662" t="s">
        <v>59</v>
      </c>
      <c r="I662" t="s">
        <v>2172</v>
      </c>
      <c r="J662">
        <v>4</v>
      </c>
      <c r="K662" t="s">
        <v>59</v>
      </c>
      <c r="L662" t="s">
        <v>2173</v>
      </c>
      <c r="M662">
        <v>8</v>
      </c>
      <c r="N662" t="s">
        <v>34</v>
      </c>
      <c r="O662" t="s">
        <v>35</v>
      </c>
      <c r="Q662" t="s">
        <v>36</v>
      </c>
      <c r="R662">
        <v>25</v>
      </c>
      <c r="S662" t="s">
        <v>37</v>
      </c>
      <c r="T662" t="s">
        <v>96</v>
      </c>
      <c r="U662">
        <v>3</v>
      </c>
      <c r="V662" t="s">
        <v>39</v>
      </c>
      <c r="W662" t="s">
        <v>103</v>
      </c>
      <c r="X662" t="s">
        <v>41</v>
      </c>
      <c r="Y662" t="s">
        <v>71</v>
      </c>
    </row>
    <row r="663" spans="1:25">
      <c r="A663" t="s">
        <v>2367</v>
      </c>
      <c r="B663" t="s">
        <v>2368</v>
      </c>
      <c r="C663" t="s">
        <v>27</v>
      </c>
      <c r="D663">
        <v>49</v>
      </c>
      <c r="E663" t="s">
        <v>57</v>
      </c>
      <c r="F663" t="s">
        <v>29</v>
      </c>
      <c r="G663" t="s">
        <v>58</v>
      </c>
      <c r="H663" t="s">
        <v>652</v>
      </c>
      <c r="I663" t="s">
        <v>2369</v>
      </c>
      <c r="J663">
        <v>3</v>
      </c>
      <c r="K663" t="s">
        <v>652</v>
      </c>
      <c r="L663" t="s">
        <v>1857</v>
      </c>
      <c r="M663">
        <v>6</v>
      </c>
      <c r="N663" t="s">
        <v>34</v>
      </c>
      <c r="O663" t="s">
        <v>35</v>
      </c>
      <c r="Q663" t="s">
        <v>36</v>
      </c>
      <c r="R663">
        <v>15</v>
      </c>
      <c r="S663" t="s">
        <v>49</v>
      </c>
      <c r="T663" t="s">
        <v>69</v>
      </c>
      <c r="U663">
        <v>3</v>
      </c>
      <c r="V663" t="s">
        <v>39</v>
      </c>
      <c r="W663" t="s">
        <v>51</v>
      </c>
      <c r="X663" t="s">
        <v>41</v>
      </c>
      <c r="Y663" t="s">
        <v>53</v>
      </c>
    </row>
    <row r="664" spans="1:25">
      <c r="A664" t="s">
        <v>2370</v>
      </c>
      <c r="B664" t="s">
        <v>2371</v>
      </c>
      <c r="C664" t="s">
        <v>27</v>
      </c>
      <c r="D664">
        <v>50</v>
      </c>
      <c r="E664" t="s">
        <v>149</v>
      </c>
      <c r="F664" t="s">
        <v>29</v>
      </c>
      <c r="G664" t="s">
        <v>83</v>
      </c>
      <c r="H664" t="s">
        <v>431</v>
      </c>
      <c r="I664" t="s">
        <v>626</v>
      </c>
      <c r="J664">
        <v>6</v>
      </c>
      <c r="K664" t="s">
        <v>431</v>
      </c>
      <c r="L664" t="s">
        <v>2372</v>
      </c>
      <c r="M664">
        <v>10</v>
      </c>
      <c r="N664" t="s">
        <v>34</v>
      </c>
      <c r="O664" t="s">
        <v>35</v>
      </c>
      <c r="Q664" t="s">
        <v>36</v>
      </c>
      <c r="R664">
        <v>40</v>
      </c>
      <c r="S664" t="s">
        <v>77</v>
      </c>
      <c r="T664" t="s">
        <v>96</v>
      </c>
      <c r="U664">
        <v>4</v>
      </c>
      <c r="V664" t="s">
        <v>70</v>
      </c>
      <c r="W664" t="s">
        <v>165</v>
      </c>
      <c r="X664" t="s">
        <v>52</v>
      </c>
      <c r="Y664" t="s">
        <v>71</v>
      </c>
    </row>
    <row r="665" spans="1:25">
      <c r="A665" t="s">
        <v>2373</v>
      </c>
      <c r="B665" t="s">
        <v>2374</v>
      </c>
      <c r="C665" t="s">
        <v>204</v>
      </c>
      <c r="D665">
        <v>59</v>
      </c>
      <c r="E665" t="s">
        <v>81</v>
      </c>
      <c r="F665" t="s">
        <v>82</v>
      </c>
      <c r="G665" t="s">
        <v>30</v>
      </c>
      <c r="H665" t="s">
        <v>803</v>
      </c>
      <c r="I665" t="s">
        <v>2375</v>
      </c>
      <c r="J665">
        <v>8</v>
      </c>
      <c r="K665" t="s">
        <v>222</v>
      </c>
      <c r="L665" t="s">
        <v>2376</v>
      </c>
      <c r="M665">
        <v>15</v>
      </c>
      <c r="N665" t="s">
        <v>34</v>
      </c>
      <c r="O665" t="s">
        <v>35</v>
      </c>
      <c r="Q665" t="s">
        <v>36</v>
      </c>
      <c r="S665" t="s">
        <v>37</v>
      </c>
      <c r="T665" t="s">
        <v>88</v>
      </c>
      <c r="U665">
        <v>4</v>
      </c>
      <c r="V665" t="s">
        <v>62</v>
      </c>
      <c r="W665" t="s">
        <v>51</v>
      </c>
      <c r="X665" t="s">
        <v>109</v>
      </c>
      <c r="Y665" t="s">
        <v>42</v>
      </c>
    </row>
    <row r="666" spans="1:25">
      <c r="A666" t="s">
        <v>2377</v>
      </c>
      <c r="B666" t="s">
        <v>2378</v>
      </c>
      <c r="C666" t="s">
        <v>80</v>
      </c>
      <c r="D666">
        <v>58</v>
      </c>
      <c r="E666" t="s">
        <v>81</v>
      </c>
      <c r="F666" t="s">
        <v>82</v>
      </c>
      <c r="G666" t="s">
        <v>83</v>
      </c>
      <c r="H666" t="s">
        <v>388</v>
      </c>
      <c r="I666" t="s">
        <v>460</v>
      </c>
      <c r="J666">
        <v>8</v>
      </c>
      <c r="K666" t="s">
        <v>388</v>
      </c>
      <c r="L666" t="s">
        <v>630</v>
      </c>
      <c r="M666">
        <v>12</v>
      </c>
      <c r="N666" t="s">
        <v>34</v>
      </c>
      <c r="O666" t="s">
        <v>35</v>
      </c>
      <c r="Q666" t="s">
        <v>36</v>
      </c>
      <c r="R666">
        <v>20</v>
      </c>
      <c r="S666" t="s">
        <v>37</v>
      </c>
      <c r="T666" t="s">
        <v>69</v>
      </c>
      <c r="U666">
        <v>2</v>
      </c>
      <c r="V666" t="s">
        <v>62</v>
      </c>
      <c r="W666" t="s">
        <v>165</v>
      </c>
      <c r="X666" t="s">
        <v>109</v>
      </c>
      <c r="Y666" t="s">
        <v>71</v>
      </c>
    </row>
    <row r="667" spans="1:25">
      <c r="A667" t="s">
        <v>2379</v>
      </c>
      <c r="B667" t="s">
        <v>2380</v>
      </c>
      <c r="C667" t="s">
        <v>56</v>
      </c>
      <c r="D667">
        <v>72</v>
      </c>
      <c r="E667" t="s">
        <v>28</v>
      </c>
      <c r="F667" t="s">
        <v>29</v>
      </c>
      <c r="G667" t="s">
        <v>58</v>
      </c>
      <c r="H667" t="s">
        <v>582</v>
      </c>
      <c r="I667" t="s">
        <v>1622</v>
      </c>
      <c r="J667">
        <v>5</v>
      </c>
      <c r="K667" t="s">
        <v>582</v>
      </c>
      <c r="L667" t="s">
        <v>2242</v>
      </c>
      <c r="M667">
        <v>6</v>
      </c>
      <c r="N667" t="s">
        <v>34</v>
      </c>
      <c r="O667" t="s">
        <v>35</v>
      </c>
      <c r="Q667" t="s">
        <v>36</v>
      </c>
      <c r="R667">
        <v>35</v>
      </c>
      <c r="S667" t="s">
        <v>49</v>
      </c>
      <c r="T667" t="s">
        <v>69</v>
      </c>
      <c r="U667">
        <v>2</v>
      </c>
      <c r="V667" t="s">
        <v>89</v>
      </c>
      <c r="W667" t="s">
        <v>165</v>
      </c>
      <c r="X667" t="s">
        <v>109</v>
      </c>
      <c r="Y667" t="s">
        <v>53</v>
      </c>
    </row>
    <row r="668" spans="1:25">
      <c r="A668" t="s">
        <v>2381</v>
      </c>
      <c r="B668" t="s">
        <v>2382</v>
      </c>
      <c r="C668" t="s">
        <v>56</v>
      </c>
      <c r="D668">
        <v>4</v>
      </c>
      <c r="E668" t="s">
        <v>149</v>
      </c>
      <c r="F668" t="s">
        <v>29</v>
      </c>
      <c r="G668" t="s">
        <v>30</v>
      </c>
      <c r="H668" t="s">
        <v>1069</v>
      </c>
      <c r="I668" t="s">
        <v>1671</v>
      </c>
      <c r="J668">
        <v>6</v>
      </c>
      <c r="K668" t="s">
        <v>707</v>
      </c>
      <c r="L668" t="s">
        <v>2383</v>
      </c>
      <c r="M668">
        <v>11</v>
      </c>
      <c r="N668" t="s">
        <v>34</v>
      </c>
      <c r="O668" t="s">
        <v>35</v>
      </c>
      <c r="Q668" t="s">
        <v>36</v>
      </c>
      <c r="R668">
        <v>40</v>
      </c>
      <c r="S668" t="s">
        <v>49</v>
      </c>
      <c r="T668" t="s">
        <v>38</v>
      </c>
      <c r="U668">
        <v>1</v>
      </c>
      <c r="V668" t="s">
        <v>39</v>
      </c>
      <c r="W668" t="s">
        <v>40</v>
      </c>
      <c r="X668" t="s">
        <v>41</v>
      </c>
      <c r="Y668" t="s">
        <v>53</v>
      </c>
    </row>
    <row r="669" spans="1:25">
      <c r="A669" t="s">
        <v>2384</v>
      </c>
      <c r="B669" t="s">
        <v>2385</v>
      </c>
      <c r="C669" t="s">
        <v>80</v>
      </c>
      <c r="D669">
        <v>83</v>
      </c>
      <c r="E669" t="s">
        <v>57</v>
      </c>
      <c r="F669" t="s">
        <v>29</v>
      </c>
      <c r="G669" t="s">
        <v>58</v>
      </c>
      <c r="H669" t="s">
        <v>1748</v>
      </c>
      <c r="I669" t="s">
        <v>470</v>
      </c>
      <c r="J669">
        <v>3</v>
      </c>
      <c r="K669" t="s">
        <v>1748</v>
      </c>
      <c r="L669" t="s">
        <v>645</v>
      </c>
      <c r="M669">
        <v>8</v>
      </c>
      <c r="N669" t="s">
        <v>34</v>
      </c>
      <c r="O669" t="s">
        <v>270</v>
      </c>
      <c r="P669" t="s">
        <v>271</v>
      </c>
      <c r="Q669" t="s">
        <v>36</v>
      </c>
      <c r="R669">
        <v>15</v>
      </c>
      <c r="S669" t="s">
        <v>37</v>
      </c>
      <c r="T669" t="s">
        <v>96</v>
      </c>
      <c r="U669">
        <v>2</v>
      </c>
      <c r="V669" t="s">
        <v>62</v>
      </c>
      <c r="W669" t="s">
        <v>51</v>
      </c>
      <c r="X669" t="s">
        <v>52</v>
      </c>
      <c r="Y669" t="s">
        <v>53</v>
      </c>
    </row>
    <row r="670" spans="1:25">
      <c r="A670" t="s">
        <v>2386</v>
      </c>
      <c r="B670" t="s">
        <v>2387</v>
      </c>
      <c r="C670" t="s">
        <v>204</v>
      </c>
      <c r="D670">
        <v>45</v>
      </c>
      <c r="E670" t="s">
        <v>173</v>
      </c>
      <c r="F670" t="s">
        <v>29</v>
      </c>
      <c r="G670" t="s">
        <v>30</v>
      </c>
      <c r="H670" t="s">
        <v>707</v>
      </c>
      <c r="I670" t="s">
        <v>2388</v>
      </c>
      <c r="J670">
        <v>4</v>
      </c>
      <c r="K670" t="s">
        <v>707</v>
      </c>
      <c r="L670" t="s">
        <v>2389</v>
      </c>
      <c r="M670">
        <v>9</v>
      </c>
      <c r="N670" t="s">
        <v>34</v>
      </c>
      <c r="O670" t="s">
        <v>35</v>
      </c>
      <c r="Q670" t="s">
        <v>36</v>
      </c>
      <c r="R670">
        <v>25</v>
      </c>
      <c r="S670" t="s">
        <v>77</v>
      </c>
      <c r="T670" t="s">
        <v>96</v>
      </c>
      <c r="U670">
        <v>4</v>
      </c>
      <c r="V670" t="s">
        <v>62</v>
      </c>
      <c r="W670" t="s">
        <v>40</v>
      </c>
      <c r="X670" t="s">
        <v>41</v>
      </c>
      <c r="Y670" t="s">
        <v>53</v>
      </c>
    </row>
    <row r="671" spans="1:25">
      <c r="A671" t="s">
        <v>2390</v>
      </c>
      <c r="B671" t="s">
        <v>2391</v>
      </c>
      <c r="C671" t="s">
        <v>56</v>
      </c>
      <c r="D671">
        <v>21</v>
      </c>
      <c r="E671" t="s">
        <v>28</v>
      </c>
      <c r="F671" t="s">
        <v>29</v>
      </c>
      <c r="G671" t="s">
        <v>30</v>
      </c>
      <c r="H671" t="s">
        <v>333</v>
      </c>
      <c r="I671" t="s">
        <v>1568</v>
      </c>
      <c r="J671">
        <v>5</v>
      </c>
      <c r="K671" t="s">
        <v>333</v>
      </c>
      <c r="L671" t="s">
        <v>2392</v>
      </c>
      <c r="M671">
        <v>13</v>
      </c>
      <c r="N671" t="s">
        <v>34</v>
      </c>
      <c r="O671" t="s">
        <v>270</v>
      </c>
      <c r="P671" t="s">
        <v>391</v>
      </c>
      <c r="Q671" t="s">
        <v>36</v>
      </c>
      <c r="R671">
        <v>35</v>
      </c>
      <c r="S671" t="s">
        <v>77</v>
      </c>
      <c r="T671" t="s">
        <v>88</v>
      </c>
      <c r="U671">
        <v>4</v>
      </c>
      <c r="V671" t="s">
        <v>70</v>
      </c>
      <c r="W671" t="s">
        <v>51</v>
      </c>
      <c r="X671" t="s">
        <v>109</v>
      </c>
      <c r="Y671" t="s">
        <v>53</v>
      </c>
    </row>
    <row r="672" spans="1:25">
      <c r="A672" t="s">
        <v>2393</v>
      </c>
      <c r="B672" t="s">
        <v>2394</v>
      </c>
      <c r="C672" t="s">
        <v>204</v>
      </c>
      <c r="D672">
        <v>2</v>
      </c>
      <c r="E672" t="s">
        <v>28</v>
      </c>
      <c r="F672" t="s">
        <v>29</v>
      </c>
      <c r="G672" t="s">
        <v>83</v>
      </c>
      <c r="H672" t="s">
        <v>112</v>
      </c>
      <c r="I672" t="s">
        <v>422</v>
      </c>
      <c r="J672">
        <v>5</v>
      </c>
      <c r="K672" t="s">
        <v>112</v>
      </c>
      <c r="L672" t="s">
        <v>1676</v>
      </c>
      <c r="M672">
        <v>7</v>
      </c>
      <c r="N672" t="s">
        <v>34</v>
      </c>
      <c r="O672" t="s">
        <v>35</v>
      </c>
      <c r="Q672" t="s">
        <v>36</v>
      </c>
      <c r="R672">
        <v>35</v>
      </c>
      <c r="S672" t="s">
        <v>77</v>
      </c>
      <c r="T672" t="s">
        <v>96</v>
      </c>
      <c r="U672">
        <v>1</v>
      </c>
      <c r="V672" t="s">
        <v>39</v>
      </c>
      <c r="W672" t="s">
        <v>165</v>
      </c>
      <c r="X672" t="s">
        <v>41</v>
      </c>
      <c r="Y672" t="s">
        <v>71</v>
      </c>
    </row>
    <row r="673" spans="1:25">
      <c r="A673" t="s">
        <v>2395</v>
      </c>
      <c r="B673" t="s">
        <v>2396</v>
      </c>
      <c r="C673" t="s">
        <v>27</v>
      </c>
      <c r="D673">
        <v>57</v>
      </c>
      <c r="E673" t="s">
        <v>57</v>
      </c>
      <c r="F673" t="s">
        <v>29</v>
      </c>
      <c r="G673" t="s">
        <v>168</v>
      </c>
      <c r="H673" t="s">
        <v>59</v>
      </c>
      <c r="I673" t="s">
        <v>2397</v>
      </c>
      <c r="J673">
        <v>3</v>
      </c>
      <c r="K673" t="s">
        <v>59</v>
      </c>
      <c r="L673" t="s">
        <v>2398</v>
      </c>
      <c r="M673">
        <v>7</v>
      </c>
      <c r="N673" t="s">
        <v>34</v>
      </c>
      <c r="O673" t="s">
        <v>35</v>
      </c>
      <c r="Q673" t="s">
        <v>36</v>
      </c>
      <c r="R673">
        <v>15</v>
      </c>
      <c r="S673" t="s">
        <v>37</v>
      </c>
      <c r="T673" t="s">
        <v>164</v>
      </c>
      <c r="U673">
        <v>1</v>
      </c>
      <c r="V673" t="s">
        <v>70</v>
      </c>
      <c r="W673" t="s">
        <v>51</v>
      </c>
      <c r="X673" t="s">
        <v>52</v>
      </c>
      <c r="Y673" t="s">
        <v>42</v>
      </c>
    </row>
    <row r="674" spans="1:25">
      <c r="A674" t="s">
        <v>2399</v>
      </c>
      <c r="B674" t="s">
        <v>2400</v>
      </c>
      <c r="C674" t="s">
        <v>204</v>
      </c>
      <c r="D674">
        <v>19</v>
      </c>
      <c r="E674" t="s">
        <v>57</v>
      </c>
      <c r="F674" t="s">
        <v>29</v>
      </c>
      <c r="G674" t="s">
        <v>45</v>
      </c>
      <c r="H674" t="s">
        <v>1027</v>
      </c>
      <c r="I674" t="s">
        <v>1701</v>
      </c>
      <c r="J674">
        <v>3</v>
      </c>
      <c r="K674" t="s">
        <v>1027</v>
      </c>
      <c r="L674" t="s">
        <v>1794</v>
      </c>
      <c r="M674">
        <v>8</v>
      </c>
      <c r="N674" t="s">
        <v>34</v>
      </c>
      <c r="O674" t="s">
        <v>35</v>
      </c>
      <c r="Q674" t="s">
        <v>36</v>
      </c>
      <c r="R674">
        <v>15</v>
      </c>
      <c r="S674" t="s">
        <v>37</v>
      </c>
      <c r="T674" t="s">
        <v>96</v>
      </c>
      <c r="U674">
        <v>4</v>
      </c>
      <c r="V674" t="s">
        <v>70</v>
      </c>
      <c r="W674" t="s">
        <v>103</v>
      </c>
      <c r="X674" t="s">
        <v>109</v>
      </c>
      <c r="Y674" t="s">
        <v>71</v>
      </c>
    </row>
    <row r="675" spans="1:25">
      <c r="A675" t="s">
        <v>2401</v>
      </c>
      <c r="B675" t="s">
        <v>2402</v>
      </c>
      <c r="C675" t="s">
        <v>204</v>
      </c>
      <c r="D675">
        <v>64</v>
      </c>
      <c r="E675" t="s">
        <v>92</v>
      </c>
      <c r="F675" t="s">
        <v>29</v>
      </c>
      <c r="G675" t="s">
        <v>93</v>
      </c>
      <c r="H675" t="s">
        <v>1283</v>
      </c>
      <c r="I675" t="s">
        <v>2403</v>
      </c>
      <c r="J675">
        <v>24</v>
      </c>
      <c r="K675" t="s">
        <v>979</v>
      </c>
      <c r="L675" t="s">
        <v>958</v>
      </c>
      <c r="M675">
        <v>31</v>
      </c>
      <c r="N675" t="s">
        <v>34</v>
      </c>
      <c r="O675" t="s">
        <v>35</v>
      </c>
      <c r="Q675" t="s">
        <v>36</v>
      </c>
      <c r="R675">
        <v>50</v>
      </c>
      <c r="S675" t="s">
        <v>37</v>
      </c>
      <c r="T675" t="s">
        <v>96</v>
      </c>
      <c r="U675">
        <v>1</v>
      </c>
      <c r="V675" t="s">
        <v>70</v>
      </c>
      <c r="W675" t="s">
        <v>103</v>
      </c>
      <c r="X675" t="s">
        <v>41</v>
      </c>
      <c r="Y675" t="s">
        <v>42</v>
      </c>
    </row>
    <row r="676" spans="1:25">
      <c r="A676" t="s">
        <v>2404</v>
      </c>
      <c r="B676" t="s">
        <v>2405</v>
      </c>
      <c r="C676" t="s">
        <v>56</v>
      </c>
      <c r="D676">
        <v>53</v>
      </c>
      <c r="E676" t="s">
        <v>92</v>
      </c>
      <c r="F676" t="s">
        <v>29</v>
      </c>
      <c r="G676" t="s">
        <v>93</v>
      </c>
      <c r="H676" t="s">
        <v>1097</v>
      </c>
      <c r="I676" t="s">
        <v>1037</v>
      </c>
      <c r="J676">
        <v>24</v>
      </c>
      <c r="K676" t="s">
        <v>728</v>
      </c>
      <c r="L676" t="s">
        <v>2406</v>
      </c>
      <c r="M676">
        <v>32</v>
      </c>
      <c r="N676" t="s">
        <v>34</v>
      </c>
      <c r="O676" t="s">
        <v>35</v>
      </c>
      <c r="Q676" t="s">
        <v>36</v>
      </c>
      <c r="R676">
        <v>50</v>
      </c>
      <c r="S676" t="s">
        <v>37</v>
      </c>
      <c r="T676" t="s">
        <v>164</v>
      </c>
      <c r="U676">
        <v>1</v>
      </c>
      <c r="V676" t="s">
        <v>70</v>
      </c>
      <c r="W676" t="s">
        <v>103</v>
      </c>
      <c r="X676" t="s">
        <v>41</v>
      </c>
      <c r="Y676" t="s">
        <v>71</v>
      </c>
    </row>
    <row r="677" spans="1:25">
      <c r="A677" t="s">
        <v>2407</v>
      </c>
      <c r="B677" t="s">
        <v>2408</v>
      </c>
      <c r="C677" t="s">
        <v>80</v>
      </c>
      <c r="D677">
        <v>5</v>
      </c>
      <c r="E677" t="s">
        <v>92</v>
      </c>
      <c r="F677" t="s">
        <v>29</v>
      </c>
      <c r="G677" t="s">
        <v>93</v>
      </c>
      <c r="H677" t="s">
        <v>338</v>
      </c>
      <c r="I677" t="s">
        <v>185</v>
      </c>
      <c r="J677">
        <v>24</v>
      </c>
      <c r="K677" t="s">
        <v>615</v>
      </c>
      <c r="L677" t="s">
        <v>1573</v>
      </c>
      <c r="M677">
        <v>30</v>
      </c>
      <c r="N677" t="s">
        <v>34</v>
      </c>
      <c r="O677" t="s">
        <v>35</v>
      </c>
      <c r="Q677" t="s">
        <v>36</v>
      </c>
      <c r="R677">
        <v>50</v>
      </c>
      <c r="S677" t="s">
        <v>77</v>
      </c>
      <c r="T677" t="s">
        <v>38</v>
      </c>
      <c r="U677">
        <v>2</v>
      </c>
      <c r="V677" t="s">
        <v>39</v>
      </c>
      <c r="W677" t="s">
        <v>40</v>
      </c>
      <c r="X677" t="s">
        <v>41</v>
      </c>
      <c r="Y677" t="s">
        <v>42</v>
      </c>
    </row>
    <row r="678" spans="1:25">
      <c r="A678" t="s">
        <v>2409</v>
      </c>
      <c r="B678" t="s">
        <v>2410</v>
      </c>
      <c r="C678" t="s">
        <v>27</v>
      </c>
      <c r="D678">
        <v>76</v>
      </c>
      <c r="E678" t="s">
        <v>81</v>
      </c>
      <c r="F678" t="s">
        <v>82</v>
      </c>
      <c r="G678" t="s">
        <v>83</v>
      </c>
      <c r="H678" t="s">
        <v>879</v>
      </c>
      <c r="I678" t="s">
        <v>447</v>
      </c>
      <c r="J678">
        <v>8</v>
      </c>
      <c r="K678" t="s">
        <v>879</v>
      </c>
      <c r="L678" t="s">
        <v>426</v>
      </c>
      <c r="M678">
        <v>7</v>
      </c>
      <c r="N678" t="s">
        <v>68</v>
      </c>
      <c r="O678" t="s">
        <v>270</v>
      </c>
      <c r="P678" t="s">
        <v>391</v>
      </c>
      <c r="Q678" t="s">
        <v>36</v>
      </c>
      <c r="R678">
        <v>20</v>
      </c>
      <c r="S678" t="s">
        <v>37</v>
      </c>
      <c r="T678" t="s">
        <v>88</v>
      </c>
      <c r="U678">
        <v>5</v>
      </c>
      <c r="V678" t="s">
        <v>70</v>
      </c>
      <c r="W678" t="s">
        <v>40</v>
      </c>
      <c r="X678" t="s">
        <v>41</v>
      </c>
      <c r="Y678" t="s">
        <v>71</v>
      </c>
    </row>
    <row r="679" spans="1:25">
      <c r="A679" t="s">
        <v>2411</v>
      </c>
      <c r="B679" t="s">
        <v>2412</v>
      </c>
      <c r="C679" t="s">
        <v>204</v>
      </c>
      <c r="D679">
        <v>82</v>
      </c>
      <c r="E679" t="s">
        <v>57</v>
      </c>
      <c r="F679" t="s">
        <v>29</v>
      </c>
      <c r="G679" t="s">
        <v>58</v>
      </c>
      <c r="H679" t="s">
        <v>951</v>
      </c>
      <c r="I679" t="s">
        <v>2413</v>
      </c>
      <c r="J679">
        <v>3</v>
      </c>
      <c r="K679" t="s">
        <v>951</v>
      </c>
      <c r="L679" t="s">
        <v>2414</v>
      </c>
      <c r="M679">
        <v>8</v>
      </c>
      <c r="N679" t="s">
        <v>34</v>
      </c>
      <c r="O679" t="s">
        <v>35</v>
      </c>
      <c r="Q679" t="s">
        <v>132</v>
      </c>
      <c r="R679">
        <v>15</v>
      </c>
      <c r="S679" t="s">
        <v>49</v>
      </c>
      <c r="T679" t="s">
        <v>38</v>
      </c>
      <c r="U679">
        <v>1</v>
      </c>
      <c r="V679" t="s">
        <v>89</v>
      </c>
      <c r="W679" t="s">
        <v>103</v>
      </c>
      <c r="X679" t="s">
        <v>109</v>
      </c>
      <c r="Y679" t="s">
        <v>42</v>
      </c>
    </row>
    <row r="680" spans="1:25">
      <c r="A680" t="s">
        <v>2415</v>
      </c>
      <c r="B680" t="s">
        <v>2416</v>
      </c>
      <c r="C680" t="s">
        <v>80</v>
      </c>
      <c r="D680">
        <v>2</v>
      </c>
      <c r="E680" t="s">
        <v>57</v>
      </c>
      <c r="F680" t="s">
        <v>29</v>
      </c>
      <c r="G680" t="s">
        <v>58</v>
      </c>
      <c r="H680" t="s">
        <v>1053</v>
      </c>
      <c r="I680" t="s">
        <v>2417</v>
      </c>
      <c r="J680">
        <v>3</v>
      </c>
      <c r="K680" t="s">
        <v>1053</v>
      </c>
      <c r="L680" t="s">
        <v>954</v>
      </c>
      <c r="M680">
        <v>3</v>
      </c>
      <c r="N680" t="s">
        <v>68</v>
      </c>
      <c r="O680" t="s">
        <v>35</v>
      </c>
      <c r="Q680" t="s">
        <v>36</v>
      </c>
      <c r="R680">
        <v>15</v>
      </c>
      <c r="S680" t="s">
        <v>49</v>
      </c>
      <c r="T680" t="s">
        <v>164</v>
      </c>
      <c r="U680">
        <v>3</v>
      </c>
      <c r="V680" t="s">
        <v>62</v>
      </c>
      <c r="W680" t="s">
        <v>40</v>
      </c>
      <c r="X680" t="s">
        <v>109</v>
      </c>
      <c r="Y680" t="s">
        <v>42</v>
      </c>
    </row>
    <row r="681" spans="1:25">
      <c r="A681" t="s">
        <v>2418</v>
      </c>
      <c r="B681" t="s">
        <v>2419</v>
      </c>
      <c r="C681" t="s">
        <v>27</v>
      </c>
      <c r="D681">
        <v>48</v>
      </c>
      <c r="E681" t="s">
        <v>173</v>
      </c>
      <c r="F681" t="s">
        <v>29</v>
      </c>
      <c r="G681" t="s">
        <v>83</v>
      </c>
      <c r="H681" t="s">
        <v>1748</v>
      </c>
      <c r="I681" t="s">
        <v>2420</v>
      </c>
      <c r="J681">
        <v>4</v>
      </c>
      <c r="K681" t="s">
        <v>1748</v>
      </c>
      <c r="L681" t="s">
        <v>1852</v>
      </c>
      <c r="M681">
        <v>8</v>
      </c>
      <c r="N681" t="s">
        <v>34</v>
      </c>
      <c r="O681" t="s">
        <v>35</v>
      </c>
      <c r="Q681" t="s">
        <v>36</v>
      </c>
      <c r="R681">
        <v>25</v>
      </c>
      <c r="S681" t="s">
        <v>37</v>
      </c>
      <c r="T681" t="s">
        <v>164</v>
      </c>
      <c r="U681">
        <v>3</v>
      </c>
      <c r="V681" t="s">
        <v>62</v>
      </c>
      <c r="W681" t="s">
        <v>103</v>
      </c>
      <c r="X681" t="s">
        <v>52</v>
      </c>
      <c r="Y681" t="s">
        <v>42</v>
      </c>
    </row>
    <row r="682" spans="1:25">
      <c r="A682" t="s">
        <v>2421</v>
      </c>
      <c r="B682" t="s">
        <v>2422</v>
      </c>
      <c r="C682" t="s">
        <v>27</v>
      </c>
      <c r="D682">
        <v>54</v>
      </c>
      <c r="E682" t="s">
        <v>149</v>
      </c>
      <c r="F682" t="s">
        <v>29</v>
      </c>
      <c r="G682" t="s">
        <v>30</v>
      </c>
      <c r="H682" t="s">
        <v>475</v>
      </c>
      <c r="I682" t="s">
        <v>860</v>
      </c>
      <c r="J682">
        <v>6</v>
      </c>
      <c r="K682" t="s">
        <v>475</v>
      </c>
      <c r="L682" t="s">
        <v>588</v>
      </c>
      <c r="M682">
        <v>8</v>
      </c>
      <c r="N682" t="s">
        <v>34</v>
      </c>
      <c r="O682" t="s">
        <v>35</v>
      </c>
      <c r="Q682" t="s">
        <v>36</v>
      </c>
      <c r="R682">
        <v>40</v>
      </c>
      <c r="S682" t="s">
        <v>49</v>
      </c>
      <c r="T682" t="s">
        <v>50</v>
      </c>
      <c r="U682">
        <v>4</v>
      </c>
      <c r="V682" t="s">
        <v>62</v>
      </c>
      <c r="W682" t="s">
        <v>40</v>
      </c>
      <c r="X682" t="s">
        <v>41</v>
      </c>
      <c r="Y682" t="s">
        <v>71</v>
      </c>
    </row>
    <row r="683" spans="1:25">
      <c r="A683" t="s">
        <v>2423</v>
      </c>
      <c r="B683" t="s">
        <v>2424</v>
      </c>
      <c r="C683" t="s">
        <v>27</v>
      </c>
      <c r="D683">
        <v>4</v>
      </c>
      <c r="E683" t="s">
        <v>173</v>
      </c>
      <c r="F683" t="s">
        <v>29</v>
      </c>
      <c r="G683" t="s">
        <v>30</v>
      </c>
      <c r="H683" t="s">
        <v>217</v>
      </c>
      <c r="I683" t="s">
        <v>796</v>
      </c>
      <c r="J683">
        <v>4</v>
      </c>
      <c r="K683" t="s">
        <v>217</v>
      </c>
      <c r="L683" t="s">
        <v>2425</v>
      </c>
      <c r="M683">
        <v>11</v>
      </c>
      <c r="N683" t="s">
        <v>34</v>
      </c>
      <c r="O683" t="s">
        <v>35</v>
      </c>
      <c r="Q683" t="s">
        <v>36</v>
      </c>
      <c r="R683">
        <v>25</v>
      </c>
      <c r="S683" t="s">
        <v>37</v>
      </c>
      <c r="T683" t="s">
        <v>50</v>
      </c>
      <c r="U683">
        <v>4</v>
      </c>
      <c r="V683" t="s">
        <v>70</v>
      </c>
      <c r="W683" t="s">
        <v>103</v>
      </c>
      <c r="X683" t="s">
        <v>52</v>
      </c>
      <c r="Y683" t="s">
        <v>53</v>
      </c>
    </row>
    <row r="684" spans="1:25">
      <c r="A684" t="s">
        <v>2426</v>
      </c>
      <c r="B684" t="s">
        <v>2427</v>
      </c>
      <c r="C684" t="s">
        <v>80</v>
      </c>
      <c r="D684">
        <v>69</v>
      </c>
      <c r="E684" t="s">
        <v>92</v>
      </c>
      <c r="F684" t="s">
        <v>29</v>
      </c>
      <c r="G684" t="s">
        <v>83</v>
      </c>
      <c r="H684" t="s">
        <v>1087</v>
      </c>
      <c r="I684" t="s">
        <v>1362</v>
      </c>
      <c r="J684">
        <v>24</v>
      </c>
      <c r="K684" t="s">
        <v>337</v>
      </c>
      <c r="L684" t="s">
        <v>2428</v>
      </c>
      <c r="M684">
        <v>23</v>
      </c>
      <c r="N684" t="s">
        <v>68</v>
      </c>
      <c r="O684" t="s">
        <v>35</v>
      </c>
      <c r="Q684" t="s">
        <v>36</v>
      </c>
      <c r="R684">
        <v>50</v>
      </c>
      <c r="S684" t="s">
        <v>37</v>
      </c>
      <c r="T684" t="s">
        <v>50</v>
      </c>
      <c r="U684">
        <v>4</v>
      </c>
      <c r="V684" t="s">
        <v>39</v>
      </c>
      <c r="W684" t="s">
        <v>103</v>
      </c>
      <c r="X684" t="s">
        <v>52</v>
      </c>
      <c r="Y684" t="s">
        <v>71</v>
      </c>
    </row>
    <row r="685" spans="1:25">
      <c r="A685" t="s">
        <v>2429</v>
      </c>
      <c r="B685" t="s">
        <v>2430</v>
      </c>
      <c r="C685" t="s">
        <v>56</v>
      </c>
      <c r="D685">
        <v>55</v>
      </c>
      <c r="E685" t="s">
        <v>57</v>
      </c>
      <c r="F685" t="s">
        <v>29</v>
      </c>
      <c r="G685" t="s">
        <v>30</v>
      </c>
      <c r="H685" t="s">
        <v>996</v>
      </c>
      <c r="I685" t="s">
        <v>301</v>
      </c>
      <c r="J685">
        <v>3</v>
      </c>
      <c r="K685" t="s">
        <v>996</v>
      </c>
      <c r="L685" t="s">
        <v>2431</v>
      </c>
      <c r="M685">
        <v>5</v>
      </c>
      <c r="N685" t="s">
        <v>34</v>
      </c>
      <c r="O685" t="s">
        <v>35</v>
      </c>
      <c r="Q685" t="s">
        <v>36</v>
      </c>
      <c r="R685">
        <v>15</v>
      </c>
      <c r="S685" t="s">
        <v>77</v>
      </c>
      <c r="T685" t="s">
        <v>96</v>
      </c>
      <c r="U685">
        <v>2</v>
      </c>
      <c r="V685" t="s">
        <v>62</v>
      </c>
      <c r="W685" t="s">
        <v>40</v>
      </c>
      <c r="X685" t="s">
        <v>41</v>
      </c>
      <c r="Y685" t="s">
        <v>71</v>
      </c>
    </row>
    <row r="686" spans="1:25">
      <c r="A686" t="s">
        <v>2432</v>
      </c>
      <c r="B686" t="s">
        <v>2433</v>
      </c>
      <c r="C686" t="s">
        <v>204</v>
      </c>
      <c r="D686">
        <v>64</v>
      </c>
      <c r="E686" t="s">
        <v>28</v>
      </c>
      <c r="F686" t="s">
        <v>29</v>
      </c>
      <c r="G686" t="s">
        <v>168</v>
      </c>
      <c r="H686" t="s">
        <v>1027</v>
      </c>
      <c r="I686" t="s">
        <v>252</v>
      </c>
      <c r="J686">
        <v>5</v>
      </c>
      <c r="K686" t="s">
        <v>1027</v>
      </c>
      <c r="L686" t="s">
        <v>1910</v>
      </c>
      <c r="M686">
        <v>4</v>
      </c>
      <c r="N686" t="s">
        <v>68</v>
      </c>
      <c r="O686" t="s">
        <v>35</v>
      </c>
      <c r="Q686" t="s">
        <v>36</v>
      </c>
      <c r="R686">
        <v>35</v>
      </c>
      <c r="S686" t="s">
        <v>77</v>
      </c>
      <c r="T686" t="s">
        <v>164</v>
      </c>
      <c r="U686">
        <v>1</v>
      </c>
      <c r="V686" t="s">
        <v>89</v>
      </c>
      <c r="W686" t="s">
        <v>51</v>
      </c>
      <c r="X686" t="s">
        <v>52</v>
      </c>
      <c r="Y686" t="s">
        <v>42</v>
      </c>
    </row>
    <row r="687" spans="1:25">
      <c r="A687" t="s">
        <v>2434</v>
      </c>
      <c r="B687" t="s">
        <v>2435</v>
      </c>
      <c r="C687" t="s">
        <v>27</v>
      </c>
      <c r="D687">
        <v>62</v>
      </c>
      <c r="E687" t="s">
        <v>92</v>
      </c>
      <c r="F687" t="s">
        <v>29</v>
      </c>
      <c r="G687" t="s">
        <v>93</v>
      </c>
      <c r="H687" t="s">
        <v>464</v>
      </c>
      <c r="I687" t="s">
        <v>2436</v>
      </c>
      <c r="J687">
        <v>24</v>
      </c>
      <c r="K687" t="s">
        <v>1240</v>
      </c>
      <c r="L687" t="s">
        <v>2437</v>
      </c>
      <c r="M687">
        <v>30</v>
      </c>
      <c r="N687" t="s">
        <v>34</v>
      </c>
      <c r="O687" t="s">
        <v>35</v>
      </c>
      <c r="Q687" t="s">
        <v>36</v>
      </c>
      <c r="R687">
        <v>50</v>
      </c>
      <c r="S687" t="s">
        <v>37</v>
      </c>
      <c r="T687" t="s">
        <v>50</v>
      </c>
      <c r="U687">
        <v>2</v>
      </c>
      <c r="V687" t="s">
        <v>62</v>
      </c>
      <c r="W687" t="s">
        <v>165</v>
      </c>
      <c r="X687" t="s">
        <v>41</v>
      </c>
      <c r="Y687" t="s">
        <v>71</v>
      </c>
    </row>
    <row r="688" spans="1:25">
      <c r="A688" t="s">
        <v>2438</v>
      </c>
      <c r="B688" t="s">
        <v>2439</v>
      </c>
      <c r="C688" t="s">
        <v>204</v>
      </c>
      <c r="D688">
        <v>31</v>
      </c>
      <c r="E688" t="s">
        <v>28</v>
      </c>
      <c r="F688" t="s">
        <v>29</v>
      </c>
      <c r="G688" t="s">
        <v>30</v>
      </c>
      <c r="H688" t="s">
        <v>130</v>
      </c>
      <c r="I688" t="s">
        <v>719</v>
      </c>
      <c r="J688">
        <v>5</v>
      </c>
      <c r="K688" t="s">
        <v>130</v>
      </c>
      <c r="L688" t="s">
        <v>456</v>
      </c>
      <c r="M688">
        <v>6</v>
      </c>
      <c r="N688" t="s">
        <v>34</v>
      </c>
      <c r="O688" t="s">
        <v>35</v>
      </c>
      <c r="Q688" t="s">
        <v>36</v>
      </c>
      <c r="R688">
        <v>35</v>
      </c>
      <c r="S688" t="s">
        <v>49</v>
      </c>
      <c r="T688" t="s">
        <v>96</v>
      </c>
      <c r="U688">
        <v>4</v>
      </c>
      <c r="V688" t="s">
        <v>70</v>
      </c>
      <c r="W688" t="s">
        <v>40</v>
      </c>
      <c r="X688" t="s">
        <v>109</v>
      </c>
      <c r="Y688" t="s">
        <v>71</v>
      </c>
    </row>
    <row r="689" spans="1:25">
      <c r="A689" t="s">
        <v>2440</v>
      </c>
      <c r="B689" t="s">
        <v>2441</v>
      </c>
      <c r="C689" t="s">
        <v>80</v>
      </c>
      <c r="D689">
        <v>69</v>
      </c>
      <c r="E689" t="s">
        <v>28</v>
      </c>
      <c r="F689" t="s">
        <v>29</v>
      </c>
      <c r="G689" t="s">
        <v>30</v>
      </c>
      <c r="H689" t="s">
        <v>179</v>
      </c>
      <c r="I689" t="s">
        <v>2442</v>
      </c>
      <c r="J689">
        <v>5</v>
      </c>
      <c r="K689" t="s">
        <v>179</v>
      </c>
      <c r="L689" t="s">
        <v>2443</v>
      </c>
      <c r="M689">
        <v>10</v>
      </c>
      <c r="N689" t="s">
        <v>34</v>
      </c>
      <c r="O689" t="s">
        <v>270</v>
      </c>
      <c r="P689" t="s">
        <v>271</v>
      </c>
      <c r="Q689" t="s">
        <v>36</v>
      </c>
      <c r="R689">
        <v>35</v>
      </c>
      <c r="S689" t="s">
        <v>49</v>
      </c>
      <c r="T689" t="s">
        <v>50</v>
      </c>
      <c r="U689">
        <v>1</v>
      </c>
      <c r="V689" t="s">
        <v>39</v>
      </c>
      <c r="W689" t="s">
        <v>40</v>
      </c>
      <c r="X689" t="s">
        <v>109</v>
      </c>
      <c r="Y689" t="s">
        <v>71</v>
      </c>
    </row>
    <row r="690" spans="1:25">
      <c r="A690" t="s">
        <v>2444</v>
      </c>
      <c r="B690" t="s">
        <v>2445</v>
      </c>
      <c r="C690" t="s">
        <v>27</v>
      </c>
      <c r="D690">
        <v>37</v>
      </c>
      <c r="E690" t="s">
        <v>57</v>
      </c>
      <c r="F690" t="s">
        <v>29</v>
      </c>
      <c r="G690" t="s">
        <v>58</v>
      </c>
      <c r="H690" t="s">
        <v>902</v>
      </c>
      <c r="I690" t="s">
        <v>496</v>
      </c>
      <c r="J690">
        <v>3</v>
      </c>
      <c r="K690" t="s">
        <v>902</v>
      </c>
      <c r="L690" t="s">
        <v>497</v>
      </c>
      <c r="M690">
        <v>8</v>
      </c>
      <c r="N690" t="s">
        <v>34</v>
      </c>
      <c r="O690" t="s">
        <v>35</v>
      </c>
      <c r="Q690" t="s">
        <v>36</v>
      </c>
      <c r="R690">
        <v>15</v>
      </c>
      <c r="S690" t="s">
        <v>77</v>
      </c>
      <c r="T690" t="s">
        <v>96</v>
      </c>
      <c r="U690">
        <v>4</v>
      </c>
      <c r="V690" t="s">
        <v>39</v>
      </c>
      <c r="W690" t="s">
        <v>103</v>
      </c>
      <c r="X690" t="s">
        <v>109</v>
      </c>
      <c r="Y690" t="s">
        <v>53</v>
      </c>
    </row>
    <row r="691" spans="1:25">
      <c r="A691" t="s">
        <v>2446</v>
      </c>
      <c r="B691" t="s">
        <v>2447</v>
      </c>
      <c r="C691" t="s">
        <v>27</v>
      </c>
      <c r="D691">
        <v>78</v>
      </c>
      <c r="E691" t="s">
        <v>81</v>
      </c>
      <c r="F691" t="s">
        <v>82</v>
      </c>
      <c r="G691" t="s">
        <v>150</v>
      </c>
      <c r="H691" t="s">
        <v>59</v>
      </c>
      <c r="I691" t="s">
        <v>2448</v>
      </c>
      <c r="J691">
        <v>8</v>
      </c>
      <c r="K691" t="s">
        <v>59</v>
      </c>
      <c r="L691" t="s">
        <v>1117</v>
      </c>
      <c r="M691">
        <v>13</v>
      </c>
      <c r="N691" t="s">
        <v>34</v>
      </c>
      <c r="O691" t="s">
        <v>35</v>
      </c>
      <c r="Q691" t="s">
        <v>36</v>
      </c>
      <c r="R691">
        <v>20</v>
      </c>
      <c r="S691" t="s">
        <v>37</v>
      </c>
      <c r="T691" t="s">
        <v>50</v>
      </c>
      <c r="U691">
        <v>2</v>
      </c>
      <c r="V691" t="s">
        <v>62</v>
      </c>
      <c r="W691" t="s">
        <v>51</v>
      </c>
      <c r="X691" t="s">
        <v>41</v>
      </c>
      <c r="Y691" t="s">
        <v>42</v>
      </c>
    </row>
    <row r="692" spans="1:25">
      <c r="A692" t="s">
        <v>2449</v>
      </c>
      <c r="B692" t="s">
        <v>2450</v>
      </c>
      <c r="C692" t="s">
        <v>80</v>
      </c>
      <c r="D692">
        <v>78</v>
      </c>
      <c r="E692" t="s">
        <v>173</v>
      </c>
      <c r="F692" t="s">
        <v>29</v>
      </c>
      <c r="G692" t="s">
        <v>168</v>
      </c>
      <c r="H692" t="s">
        <v>442</v>
      </c>
      <c r="I692" t="s">
        <v>1517</v>
      </c>
      <c r="J692">
        <v>4</v>
      </c>
      <c r="K692" t="s">
        <v>442</v>
      </c>
      <c r="L692" t="s">
        <v>1379</v>
      </c>
      <c r="M692">
        <v>5</v>
      </c>
      <c r="N692" t="s">
        <v>34</v>
      </c>
      <c r="O692" t="s">
        <v>35</v>
      </c>
      <c r="Q692" t="s">
        <v>36</v>
      </c>
      <c r="R692">
        <v>25</v>
      </c>
      <c r="S692" t="s">
        <v>49</v>
      </c>
      <c r="T692" t="s">
        <v>50</v>
      </c>
      <c r="U692">
        <v>5</v>
      </c>
      <c r="V692" t="s">
        <v>39</v>
      </c>
      <c r="W692" t="s">
        <v>165</v>
      </c>
      <c r="X692" t="s">
        <v>109</v>
      </c>
      <c r="Y692" t="s">
        <v>71</v>
      </c>
    </row>
    <row r="693" spans="1:25">
      <c r="A693" t="s">
        <v>2451</v>
      </c>
      <c r="B693" t="s">
        <v>2452</v>
      </c>
      <c r="C693" t="s">
        <v>204</v>
      </c>
      <c r="D693">
        <v>90</v>
      </c>
      <c r="E693" t="s">
        <v>57</v>
      </c>
      <c r="F693" t="s">
        <v>29</v>
      </c>
      <c r="G693" t="s">
        <v>58</v>
      </c>
      <c r="H693" t="s">
        <v>877</v>
      </c>
      <c r="I693" t="s">
        <v>1417</v>
      </c>
      <c r="J693">
        <v>3</v>
      </c>
      <c r="K693" t="s">
        <v>879</v>
      </c>
      <c r="L693" t="s">
        <v>2453</v>
      </c>
      <c r="M693">
        <v>9</v>
      </c>
      <c r="N693" t="s">
        <v>34</v>
      </c>
      <c r="O693" t="s">
        <v>35</v>
      </c>
      <c r="Q693" t="s">
        <v>36</v>
      </c>
      <c r="R693">
        <v>15</v>
      </c>
      <c r="S693" t="s">
        <v>49</v>
      </c>
      <c r="T693" t="s">
        <v>88</v>
      </c>
      <c r="U693">
        <v>1</v>
      </c>
      <c r="V693" t="s">
        <v>89</v>
      </c>
      <c r="W693" t="s">
        <v>165</v>
      </c>
      <c r="X693" t="s">
        <v>109</v>
      </c>
      <c r="Y693" t="s">
        <v>53</v>
      </c>
    </row>
    <row r="694" spans="1:25">
      <c r="A694" t="s">
        <v>2454</v>
      </c>
      <c r="B694" t="s">
        <v>2455</v>
      </c>
      <c r="C694" t="s">
        <v>27</v>
      </c>
      <c r="D694">
        <v>11</v>
      </c>
      <c r="E694" t="s">
        <v>81</v>
      </c>
      <c r="F694" t="s">
        <v>82</v>
      </c>
      <c r="G694" t="s">
        <v>83</v>
      </c>
      <c r="H694" t="s">
        <v>919</v>
      </c>
      <c r="I694" t="s">
        <v>555</v>
      </c>
      <c r="J694">
        <v>8</v>
      </c>
      <c r="K694" t="s">
        <v>919</v>
      </c>
      <c r="L694" t="s">
        <v>557</v>
      </c>
      <c r="M694">
        <v>7</v>
      </c>
      <c r="N694" t="s">
        <v>68</v>
      </c>
      <c r="O694" t="s">
        <v>35</v>
      </c>
      <c r="Q694" t="s">
        <v>36</v>
      </c>
      <c r="R694">
        <v>20</v>
      </c>
      <c r="S694" t="s">
        <v>37</v>
      </c>
      <c r="T694" t="s">
        <v>96</v>
      </c>
      <c r="U694">
        <v>4</v>
      </c>
      <c r="V694" t="s">
        <v>89</v>
      </c>
      <c r="W694" t="s">
        <v>165</v>
      </c>
      <c r="X694" t="s">
        <v>41</v>
      </c>
      <c r="Y694" t="s">
        <v>42</v>
      </c>
    </row>
    <row r="695" spans="1:25">
      <c r="A695" t="s">
        <v>2456</v>
      </c>
      <c r="B695" t="s">
        <v>2457</v>
      </c>
      <c r="C695" t="s">
        <v>27</v>
      </c>
      <c r="D695">
        <v>56</v>
      </c>
      <c r="E695" t="s">
        <v>57</v>
      </c>
      <c r="F695" t="s">
        <v>29</v>
      </c>
      <c r="G695" t="s">
        <v>58</v>
      </c>
      <c r="H695" t="s">
        <v>1494</v>
      </c>
      <c r="I695" t="s">
        <v>2458</v>
      </c>
      <c r="J695">
        <v>3</v>
      </c>
      <c r="K695" t="s">
        <v>1494</v>
      </c>
      <c r="L695" t="s">
        <v>2459</v>
      </c>
      <c r="M695">
        <v>8</v>
      </c>
      <c r="N695" t="s">
        <v>34</v>
      </c>
      <c r="O695" t="s">
        <v>35</v>
      </c>
      <c r="Q695" t="s">
        <v>36</v>
      </c>
      <c r="R695">
        <v>15</v>
      </c>
      <c r="S695" t="s">
        <v>49</v>
      </c>
      <c r="T695" t="s">
        <v>164</v>
      </c>
      <c r="U695">
        <v>1</v>
      </c>
      <c r="V695" t="s">
        <v>39</v>
      </c>
      <c r="W695" t="s">
        <v>51</v>
      </c>
      <c r="X695" t="s">
        <v>52</v>
      </c>
      <c r="Y695" t="s">
        <v>71</v>
      </c>
    </row>
    <row r="696" spans="1:25">
      <c r="A696" t="s">
        <v>2460</v>
      </c>
      <c r="B696" t="s">
        <v>2461</v>
      </c>
      <c r="C696" t="s">
        <v>80</v>
      </c>
      <c r="D696">
        <v>33</v>
      </c>
      <c r="E696" t="s">
        <v>173</v>
      </c>
      <c r="F696" t="s">
        <v>29</v>
      </c>
      <c r="G696" t="s">
        <v>168</v>
      </c>
      <c r="H696" t="s">
        <v>1625</v>
      </c>
      <c r="I696" t="s">
        <v>2462</v>
      </c>
      <c r="J696">
        <v>4</v>
      </c>
      <c r="K696" t="s">
        <v>1625</v>
      </c>
      <c r="L696" t="s">
        <v>2357</v>
      </c>
      <c r="M696">
        <v>3</v>
      </c>
      <c r="N696" t="s">
        <v>68</v>
      </c>
      <c r="O696" t="s">
        <v>35</v>
      </c>
      <c r="Q696" t="s">
        <v>36</v>
      </c>
      <c r="R696">
        <v>25</v>
      </c>
      <c r="S696" t="s">
        <v>77</v>
      </c>
      <c r="T696" t="s">
        <v>96</v>
      </c>
      <c r="U696">
        <v>3</v>
      </c>
      <c r="V696" t="s">
        <v>89</v>
      </c>
      <c r="W696" t="s">
        <v>103</v>
      </c>
      <c r="X696" t="s">
        <v>52</v>
      </c>
      <c r="Y696" t="s">
        <v>42</v>
      </c>
    </row>
    <row r="697" spans="1:25">
      <c r="A697" t="s">
        <v>2463</v>
      </c>
      <c r="B697" t="s">
        <v>2464</v>
      </c>
      <c r="C697" t="s">
        <v>56</v>
      </c>
      <c r="D697">
        <v>32</v>
      </c>
      <c r="E697" t="s">
        <v>173</v>
      </c>
      <c r="F697" t="s">
        <v>29</v>
      </c>
      <c r="G697" t="s">
        <v>93</v>
      </c>
      <c r="H697" t="s">
        <v>700</v>
      </c>
      <c r="I697" t="s">
        <v>1751</v>
      </c>
      <c r="J697">
        <v>4</v>
      </c>
      <c r="K697" t="s">
        <v>700</v>
      </c>
      <c r="L697" t="s">
        <v>2465</v>
      </c>
      <c r="M697">
        <v>10</v>
      </c>
      <c r="N697" t="s">
        <v>34</v>
      </c>
      <c r="O697" t="s">
        <v>35</v>
      </c>
      <c r="Q697" t="s">
        <v>36</v>
      </c>
      <c r="R697">
        <v>25</v>
      </c>
      <c r="S697" t="s">
        <v>37</v>
      </c>
      <c r="T697" t="s">
        <v>96</v>
      </c>
      <c r="U697">
        <v>3</v>
      </c>
      <c r="V697" t="s">
        <v>62</v>
      </c>
      <c r="W697" t="s">
        <v>51</v>
      </c>
      <c r="X697" t="s">
        <v>41</v>
      </c>
      <c r="Y697" t="s">
        <v>42</v>
      </c>
    </row>
    <row r="698" spans="1:25">
      <c r="A698" t="s">
        <v>2466</v>
      </c>
      <c r="B698" t="s">
        <v>2467</v>
      </c>
      <c r="C698" t="s">
        <v>56</v>
      </c>
      <c r="D698">
        <v>31</v>
      </c>
      <c r="E698" t="s">
        <v>92</v>
      </c>
      <c r="F698" t="s">
        <v>29</v>
      </c>
      <c r="G698" t="s">
        <v>93</v>
      </c>
      <c r="H698" t="s">
        <v>778</v>
      </c>
      <c r="I698" t="s">
        <v>1637</v>
      </c>
      <c r="J698">
        <v>24</v>
      </c>
      <c r="K698" t="s">
        <v>780</v>
      </c>
      <c r="L698" t="s">
        <v>1637</v>
      </c>
      <c r="M698">
        <v>24</v>
      </c>
      <c r="N698" t="s">
        <v>68</v>
      </c>
      <c r="O698" t="s">
        <v>35</v>
      </c>
      <c r="Q698" t="s">
        <v>36</v>
      </c>
      <c r="R698">
        <v>50</v>
      </c>
      <c r="S698" t="s">
        <v>77</v>
      </c>
      <c r="T698" t="s">
        <v>164</v>
      </c>
      <c r="U698">
        <v>2</v>
      </c>
      <c r="V698" t="s">
        <v>70</v>
      </c>
      <c r="W698" t="s">
        <v>51</v>
      </c>
      <c r="X698" t="s">
        <v>52</v>
      </c>
      <c r="Y698" t="s">
        <v>53</v>
      </c>
    </row>
    <row r="699" spans="1:25">
      <c r="A699" t="s">
        <v>2468</v>
      </c>
      <c r="B699" t="s">
        <v>2469</v>
      </c>
      <c r="C699" t="s">
        <v>204</v>
      </c>
      <c r="D699">
        <v>54</v>
      </c>
      <c r="E699" t="s">
        <v>81</v>
      </c>
      <c r="F699" t="s">
        <v>82</v>
      </c>
      <c r="G699" t="s">
        <v>58</v>
      </c>
      <c r="H699" t="s">
        <v>615</v>
      </c>
      <c r="I699" t="s">
        <v>2470</v>
      </c>
      <c r="J699">
        <v>8</v>
      </c>
      <c r="K699" t="s">
        <v>615</v>
      </c>
      <c r="L699" t="s">
        <v>912</v>
      </c>
      <c r="M699">
        <v>13</v>
      </c>
      <c r="N699" t="s">
        <v>34</v>
      </c>
      <c r="O699" t="s">
        <v>35</v>
      </c>
      <c r="Q699" t="s">
        <v>36</v>
      </c>
      <c r="R699">
        <v>20</v>
      </c>
      <c r="S699" t="s">
        <v>49</v>
      </c>
      <c r="T699" t="s">
        <v>69</v>
      </c>
      <c r="U699">
        <v>1</v>
      </c>
      <c r="V699" t="s">
        <v>62</v>
      </c>
      <c r="W699" t="s">
        <v>40</v>
      </c>
      <c r="X699" t="s">
        <v>41</v>
      </c>
      <c r="Y699" t="s">
        <v>53</v>
      </c>
    </row>
    <row r="700" spans="1:25">
      <c r="A700" t="s">
        <v>2471</v>
      </c>
      <c r="B700" t="s">
        <v>2472</v>
      </c>
      <c r="C700" t="s">
        <v>56</v>
      </c>
      <c r="D700">
        <v>63</v>
      </c>
      <c r="E700" t="s">
        <v>28</v>
      </c>
      <c r="F700" t="s">
        <v>29</v>
      </c>
      <c r="G700" t="s">
        <v>30</v>
      </c>
      <c r="H700" t="s">
        <v>1027</v>
      </c>
      <c r="I700" t="s">
        <v>343</v>
      </c>
      <c r="J700">
        <v>5</v>
      </c>
      <c r="K700" t="s">
        <v>1027</v>
      </c>
      <c r="L700" t="s">
        <v>611</v>
      </c>
      <c r="M700">
        <v>10</v>
      </c>
      <c r="N700" t="s">
        <v>34</v>
      </c>
      <c r="O700" t="s">
        <v>35</v>
      </c>
      <c r="Q700" t="s">
        <v>36</v>
      </c>
      <c r="R700">
        <v>-20</v>
      </c>
      <c r="S700" t="s">
        <v>49</v>
      </c>
      <c r="T700" t="s">
        <v>69</v>
      </c>
      <c r="U700">
        <v>3</v>
      </c>
      <c r="V700" t="s">
        <v>39</v>
      </c>
      <c r="W700" t="s">
        <v>103</v>
      </c>
      <c r="X700" t="s">
        <v>109</v>
      </c>
      <c r="Y700" t="s">
        <v>53</v>
      </c>
    </row>
    <row r="701" spans="1:25">
      <c r="A701" t="s">
        <v>2473</v>
      </c>
      <c r="B701" t="s">
        <v>2474</v>
      </c>
      <c r="C701" t="s">
        <v>204</v>
      </c>
      <c r="D701">
        <v>13</v>
      </c>
      <c r="E701" t="s">
        <v>57</v>
      </c>
      <c r="F701" t="s">
        <v>29</v>
      </c>
      <c r="G701" t="s">
        <v>58</v>
      </c>
      <c r="H701" t="s">
        <v>130</v>
      </c>
      <c r="I701" t="s">
        <v>1760</v>
      </c>
      <c r="J701">
        <v>3</v>
      </c>
      <c r="K701" t="s">
        <v>130</v>
      </c>
      <c r="L701" t="s">
        <v>2475</v>
      </c>
      <c r="M701">
        <v>4</v>
      </c>
      <c r="N701" t="s">
        <v>34</v>
      </c>
      <c r="O701" t="s">
        <v>35</v>
      </c>
      <c r="Q701" t="s">
        <v>36</v>
      </c>
      <c r="R701">
        <v>15</v>
      </c>
      <c r="S701" t="s">
        <v>49</v>
      </c>
      <c r="T701" t="s">
        <v>69</v>
      </c>
      <c r="U701">
        <v>2</v>
      </c>
      <c r="V701" t="s">
        <v>39</v>
      </c>
      <c r="W701" t="s">
        <v>40</v>
      </c>
      <c r="X701" t="s">
        <v>52</v>
      </c>
      <c r="Y701" t="s">
        <v>71</v>
      </c>
    </row>
    <row r="702" spans="1:25">
      <c r="A702" t="s">
        <v>2476</v>
      </c>
      <c r="B702" t="s">
        <v>2477</v>
      </c>
      <c r="C702" t="s">
        <v>80</v>
      </c>
      <c r="D702">
        <v>60</v>
      </c>
      <c r="E702" t="s">
        <v>173</v>
      </c>
      <c r="F702" t="s">
        <v>29</v>
      </c>
      <c r="G702" t="s">
        <v>168</v>
      </c>
      <c r="H702" t="s">
        <v>560</v>
      </c>
      <c r="I702" t="s">
        <v>426</v>
      </c>
      <c r="J702">
        <v>4</v>
      </c>
      <c r="K702" t="s">
        <v>560</v>
      </c>
      <c r="L702" t="s">
        <v>2478</v>
      </c>
      <c r="M702">
        <v>5</v>
      </c>
      <c r="N702" t="s">
        <v>34</v>
      </c>
      <c r="O702" t="s">
        <v>35</v>
      </c>
      <c r="Q702" t="s">
        <v>36</v>
      </c>
      <c r="R702">
        <v>25</v>
      </c>
      <c r="S702" t="s">
        <v>49</v>
      </c>
      <c r="T702" t="s">
        <v>96</v>
      </c>
      <c r="U702">
        <v>3</v>
      </c>
      <c r="V702" t="s">
        <v>62</v>
      </c>
      <c r="W702" t="s">
        <v>51</v>
      </c>
      <c r="X702" t="s">
        <v>41</v>
      </c>
      <c r="Y702" t="s">
        <v>42</v>
      </c>
    </row>
    <row r="703" spans="1:25">
      <c r="A703" t="s">
        <v>2479</v>
      </c>
      <c r="B703" t="s">
        <v>2480</v>
      </c>
      <c r="C703" t="s">
        <v>204</v>
      </c>
      <c r="D703">
        <v>66</v>
      </c>
      <c r="E703" t="s">
        <v>81</v>
      </c>
      <c r="F703" t="s">
        <v>82</v>
      </c>
      <c r="G703" t="s">
        <v>93</v>
      </c>
      <c r="H703" t="s">
        <v>179</v>
      </c>
      <c r="I703" t="s">
        <v>2375</v>
      </c>
      <c r="J703">
        <v>8</v>
      </c>
      <c r="K703" t="s">
        <v>179</v>
      </c>
      <c r="L703" t="s">
        <v>2481</v>
      </c>
      <c r="M703">
        <v>13</v>
      </c>
      <c r="N703" t="s">
        <v>34</v>
      </c>
      <c r="O703" t="s">
        <v>35</v>
      </c>
      <c r="Q703" t="s">
        <v>36</v>
      </c>
      <c r="R703">
        <v>20</v>
      </c>
      <c r="S703" t="s">
        <v>37</v>
      </c>
      <c r="T703" t="s">
        <v>69</v>
      </c>
      <c r="U703">
        <v>2</v>
      </c>
      <c r="V703" t="s">
        <v>70</v>
      </c>
      <c r="W703" t="s">
        <v>51</v>
      </c>
      <c r="X703" t="s">
        <v>109</v>
      </c>
      <c r="Y703" t="s">
        <v>53</v>
      </c>
    </row>
    <row r="704" spans="1:25">
      <c r="A704" t="s">
        <v>2482</v>
      </c>
      <c r="B704" t="s">
        <v>2483</v>
      </c>
      <c r="C704" t="s">
        <v>80</v>
      </c>
      <c r="D704">
        <v>89</v>
      </c>
      <c r="E704" t="s">
        <v>57</v>
      </c>
      <c r="F704" t="s">
        <v>29</v>
      </c>
      <c r="G704" t="s">
        <v>150</v>
      </c>
      <c r="H704" t="s">
        <v>114</v>
      </c>
      <c r="I704" t="s">
        <v>241</v>
      </c>
      <c r="J704">
        <v>3</v>
      </c>
      <c r="K704" t="s">
        <v>114</v>
      </c>
      <c r="L704" t="s">
        <v>170</v>
      </c>
      <c r="M704">
        <v>7</v>
      </c>
      <c r="N704" t="s">
        <v>34</v>
      </c>
      <c r="O704" t="s">
        <v>35</v>
      </c>
      <c r="Q704" t="s">
        <v>36</v>
      </c>
      <c r="R704">
        <v>15</v>
      </c>
      <c r="S704" t="s">
        <v>37</v>
      </c>
      <c r="T704" t="s">
        <v>164</v>
      </c>
      <c r="U704">
        <v>5</v>
      </c>
      <c r="V704" t="s">
        <v>89</v>
      </c>
      <c r="W704" t="s">
        <v>165</v>
      </c>
      <c r="X704" t="s">
        <v>41</v>
      </c>
      <c r="Y704" t="s">
        <v>53</v>
      </c>
    </row>
    <row r="705" spans="1:25">
      <c r="A705" t="s">
        <v>2484</v>
      </c>
      <c r="B705" t="s">
        <v>2485</v>
      </c>
      <c r="C705" t="s">
        <v>56</v>
      </c>
      <c r="D705">
        <v>25</v>
      </c>
      <c r="E705" t="s">
        <v>149</v>
      </c>
      <c r="F705" t="s">
        <v>29</v>
      </c>
      <c r="G705" t="s">
        <v>30</v>
      </c>
      <c r="H705" t="s">
        <v>1208</v>
      </c>
      <c r="I705" t="s">
        <v>2428</v>
      </c>
      <c r="J705">
        <v>6</v>
      </c>
      <c r="K705" t="s">
        <v>1208</v>
      </c>
      <c r="L705" t="s">
        <v>1256</v>
      </c>
      <c r="M705">
        <v>13</v>
      </c>
      <c r="N705" t="s">
        <v>34</v>
      </c>
      <c r="O705" t="s">
        <v>35</v>
      </c>
      <c r="Q705" t="s">
        <v>36</v>
      </c>
      <c r="R705">
        <v>40</v>
      </c>
      <c r="S705" t="s">
        <v>49</v>
      </c>
      <c r="T705" t="s">
        <v>38</v>
      </c>
      <c r="U705">
        <v>5</v>
      </c>
      <c r="V705" t="s">
        <v>62</v>
      </c>
      <c r="W705" t="s">
        <v>51</v>
      </c>
      <c r="X705" t="s">
        <v>52</v>
      </c>
      <c r="Y705" t="s">
        <v>42</v>
      </c>
    </row>
    <row r="706" spans="1:25">
      <c r="A706" t="s">
        <v>2486</v>
      </c>
      <c r="B706" t="s">
        <v>2487</v>
      </c>
      <c r="C706" t="s">
        <v>56</v>
      </c>
      <c r="D706">
        <v>39</v>
      </c>
      <c r="E706" t="s">
        <v>28</v>
      </c>
      <c r="F706" t="s">
        <v>29</v>
      </c>
      <c r="G706" t="s">
        <v>30</v>
      </c>
      <c r="H706" t="s">
        <v>394</v>
      </c>
      <c r="I706" t="s">
        <v>257</v>
      </c>
      <c r="J706">
        <v>5</v>
      </c>
      <c r="K706" t="s">
        <v>396</v>
      </c>
      <c r="L706" t="s">
        <v>2488</v>
      </c>
      <c r="M706">
        <v>11</v>
      </c>
      <c r="N706" t="s">
        <v>34</v>
      </c>
      <c r="O706" t="s">
        <v>35</v>
      </c>
      <c r="Q706" t="s">
        <v>36</v>
      </c>
      <c r="R706">
        <v>35</v>
      </c>
      <c r="S706" t="s">
        <v>77</v>
      </c>
      <c r="T706" t="s">
        <v>50</v>
      </c>
      <c r="U706">
        <v>2</v>
      </c>
      <c r="V706" t="s">
        <v>89</v>
      </c>
      <c r="W706" t="s">
        <v>165</v>
      </c>
      <c r="X706" t="s">
        <v>41</v>
      </c>
      <c r="Y706" t="s">
        <v>42</v>
      </c>
    </row>
    <row r="707" spans="1:25">
      <c r="A707" t="s">
        <v>2489</v>
      </c>
      <c r="B707" t="s">
        <v>2490</v>
      </c>
      <c r="C707" t="s">
        <v>56</v>
      </c>
      <c r="D707">
        <v>22</v>
      </c>
      <c r="E707" t="s">
        <v>149</v>
      </c>
      <c r="F707" t="s">
        <v>29</v>
      </c>
      <c r="G707" t="s">
        <v>58</v>
      </c>
      <c r="H707" t="s">
        <v>375</v>
      </c>
      <c r="I707" t="s">
        <v>2491</v>
      </c>
      <c r="J707">
        <v>6</v>
      </c>
      <c r="K707" t="s">
        <v>375</v>
      </c>
      <c r="L707" t="s">
        <v>2492</v>
      </c>
      <c r="M707">
        <v>13</v>
      </c>
      <c r="N707" t="s">
        <v>34</v>
      </c>
      <c r="O707" t="s">
        <v>270</v>
      </c>
      <c r="P707" t="s">
        <v>391</v>
      </c>
      <c r="Q707" t="s">
        <v>36</v>
      </c>
      <c r="R707">
        <v>40</v>
      </c>
      <c r="S707" t="s">
        <v>77</v>
      </c>
      <c r="T707" t="s">
        <v>50</v>
      </c>
      <c r="U707">
        <v>1</v>
      </c>
      <c r="V707" t="s">
        <v>39</v>
      </c>
      <c r="W707" t="s">
        <v>165</v>
      </c>
      <c r="X707" t="s">
        <v>109</v>
      </c>
      <c r="Y707" t="s">
        <v>71</v>
      </c>
    </row>
    <row r="708" spans="1:25">
      <c r="A708" t="s">
        <v>2493</v>
      </c>
      <c r="B708" t="s">
        <v>2494</v>
      </c>
      <c r="C708" t="s">
        <v>80</v>
      </c>
      <c r="D708">
        <v>14</v>
      </c>
      <c r="E708" t="s">
        <v>92</v>
      </c>
      <c r="F708" t="s">
        <v>29</v>
      </c>
      <c r="G708" t="s">
        <v>93</v>
      </c>
      <c r="H708" t="s">
        <v>363</v>
      </c>
      <c r="I708" t="s">
        <v>2495</v>
      </c>
      <c r="J708">
        <v>24</v>
      </c>
      <c r="K708" t="s">
        <v>365</v>
      </c>
      <c r="L708" t="s">
        <v>928</v>
      </c>
      <c r="M708">
        <v>31</v>
      </c>
      <c r="N708" t="s">
        <v>34</v>
      </c>
      <c r="O708" t="s">
        <v>35</v>
      </c>
      <c r="Q708" t="s">
        <v>36</v>
      </c>
      <c r="R708">
        <v>50</v>
      </c>
      <c r="S708" t="s">
        <v>37</v>
      </c>
      <c r="T708" t="s">
        <v>50</v>
      </c>
      <c r="U708">
        <v>1</v>
      </c>
      <c r="V708" t="s">
        <v>89</v>
      </c>
      <c r="W708" t="s">
        <v>103</v>
      </c>
      <c r="X708" t="s">
        <v>52</v>
      </c>
      <c r="Y708" t="s">
        <v>53</v>
      </c>
    </row>
    <row r="709" spans="1:25">
      <c r="A709" t="s">
        <v>2496</v>
      </c>
      <c r="B709" t="s">
        <v>2497</v>
      </c>
      <c r="C709" t="s">
        <v>204</v>
      </c>
      <c r="D709">
        <v>69</v>
      </c>
      <c r="E709" t="s">
        <v>57</v>
      </c>
      <c r="F709" t="s">
        <v>29</v>
      </c>
      <c r="G709" t="s">
        <v>30</v>
      </c>
      <c r="H709" t="s">
        <v>707</v>
      </c>
      <c r="I709" t="s">
        <v>2498</v>
      </c>
      <c r="J709">
        <v>3</v>
      </c>
      <c r="K709" t="s">
        <v>707</v>
      </c>
      <c r="L709" t="s">
        <v>616</v>
      </c>
      <c r="M709">
        <v>4</v>
      </c>
      <c r="N709" t="s">
        <v>34</v>
      </c>
      <c r="O709" t="s">
        <v>35</v>
      </c>
      <c r="Q709" t="s">
        <v>36</v>
      </c>
      <c r="R709">
        <v>15</v>
      </c>
      <c r="S709" t="s">
        <v>49</v>
      </c>
      <c r="T709" t="s">
        <v>50</v>
      </c>
      <c r="U709">
        <v>1</v>
      </c>
      <c r="V709" t="s">
        <v>89</v>
      </c>
      <c r="W709" t="s">
        <v>165</v>
      </c>
      <c r="X709" t="s">
        <v>41</v>
      </c>
      <c r="Y709" t="s">
        <v>53</v>
      </c>
    </row>
    <row r="710" spans="1:25">
      <c r="A710" t="s">
        <v>2499</v>
      </c>
      <c r="B710" t="s">
        <v>2500</v>
      </c>
      <c r="C710" t="s">
        <v>80</v>
      </c>
      <c r="D710">
        <v>19</v>
      </c>
      <c r="E710" t="s">
        <v>149</v>
      </c>
      <c r="F710" t="s">
        <v>29</v>
      </c>
      <c r="G710" t="s">
        <v>58</v>
      </c>
      <c r="H710" t="s">
        <v>473</v>
      </c>
      <c r="I710" t="s">
        <v>2226</v>
      </c>
      <c r="J710">
        <v>6</v>
      </c>
      <c r="K710" t="s">
        <v>475</v>
      </c>
      <c r="L710" t="s">
        <v>579</v>
      </c>
      <c r="M710">
        <v>9</v>
      </c>
      <c r="N710" t="s">
        <v>34</v>
      </c>
      <c r="O710" t="s">
        <v>35</v>
      </c>
      <c r="Q710" t="s">
        <v>36</v>
      </c>
      <c r="R710">
        <v>40</v>
      </c>
      <c r="S710" t="s">
        <v>37</v>
      </c>
      <c r="T710" t="s">
        <v>69</v>
      </c>
      <c r="U710">
        <v>4</v>
      </c>
      <c r="V710" t="s">
        <v>89</v>
      </c>
      <c r="W710" t="s">
        <v>51</v>
      </c>
      <c r="X710" t="s">
        <v>52</v>
      </c>
      <c r="Y710" t="s">
        <v>42</v>
      </c>
    </row>
    <row r="711" spans="1:25">
      <c r="A711" t="s">
        <v>2501</v>
      </c>
      <c r="B711" t="s">
        <v>2502</v>
      </c>
      <c r="C711" t="s">
        <v>56</v>
      </c>
      <c r="D711">
        <v>48</v>
      </c>
      <c r="E711" t="s">
        <v>28</v>
      </c>
      <c r="F711" t="s">
        <v>29</v>
      </c>
      <c r="G711" t="s">
        <v>168</v>
      </c>
      <c r="H711" t="s">
        <v>979</v>
      </c>
      <c r="I711" t="s">
        <v>1059</v>
      </c>
      <c r="J711">
        <v>5</v>
      </c>
      <c r="K711" t="s">
        <v>979</v>
      </c>
      <c r="L711" t="s">
        <v>1241</v>
      </c>
      <c r="M711">
        <v>5</v>
      </c>
      <c r="N711" t="s">
        <v>68</v>
      </c>
      <c r="O711" t="s">
        <v>35</v>
      </c>
      <c r="Q711" t="s">
        <v>36</v>
      </c>
      <c r="R711">
        <v>35</v>
      </c>
      <c r="S711" t="s">
        <v>37</v>
      </c>
      <c r="T711" t="s">
        <v>88</v>
      </c>
      <c r="U711">
        <v>3</v>
      </c>
      <c r="V711" t="s">
        <v>39</v>
      </c>
      <c r="W711" t="s">
        <v>103</v>
      </c>
      <c r="X711" t="s">
        <v>52</v>
      </c>
      <c r="Y711" t="s">
        <v>71</v>
      </c>
    </row>
    <row r="712" spans="1:25">
      <c r="A712" t="s">
        <v>2503</v>
      </c>
      <c r="B712" t="s">
        <v>2504</v>
      </c>
      <c r="C712" t="s">
        <v>27</v>
      </c>
      <c r="D712">
        <v>2</v>
      </c>
      <c r="E712" t="s">
        <v>149</v>
      </c>
      <c r="F712" t="s">
        <v>29</v>
      </c>
      <c r="G712" t="s">
        <v>30</v>
      </c>
      <c r="H712" t="s">
        <v>1494</v>
      </c>
      <c r="I712" t="s">
        <v>1299</v>
      </c>
      <c r="J712">
        <v>6</v>
      </c>
      <c r="K712" t="s">
        <v>1494</v>
      </c>
      <c r="L712" t="s">
        <v>740</v>
      </c>
      <c r="M712">
        <v>9</v>
      </c>
      <c r="N712" t="s">
        <v>34</v>
      </c>
      <c r="O712" t="s">
        <v>35</v>
      </c>
      <c r="Q712" t="s">
        <v>36</v>
      </c>
      <c r="R712">
        <v>40</v>
      </c>
      <c r="S712" t="s">
        <v>37</v>
      </c>
      <c r="T712" t="s">
        <v>69</v>
      </c>
      <c r="U712">
        <v>4</v>
      </c>
      <c r="V712" t="s">
        <v>62</v>
      </c>
      <c r="W712" t="s">
        <v>103</v>
      </c>
      <c r="X712" t="s">
        <v>52</v>
      </c>
      <c r="Y712" t="s">
        <v>53</v>
      </c>
    </row>
    <row r="713" spans="1:25">
      <c r="A713" t="s">
        <v>2505</v>
      </c>
      <c r="B713" t="s">
        <v>2506</v>
      </c>
      <c r="C713" t="s">
        <v>204</v>
      </c>
      <c r="D713">
        <v>50</v>
      </c>
      <c r="E713" t="s">
        <v>149</v>
      </c>
      <c r="F713" t="s">
        <v>29</v>
      </c>
      <c r="G713" t="s">
        <v>30</v>
      </c>
      <c r="H713" t="s">
        <v>431</v>
      </c>
      <c r="I713" t="s">
        <v>2060</v>
      </c>
      <c r="J713">
        <v>6</v>
      </c>
      <c r="K713" t="s">
        <v>431</v>
      </c>
      <c r="L713" t="s">
        <v>2507</v>
      </c>
      <c r="M713">
        <v>5</v>
      </c>
      <c r="N713" t="s">
        <v>68</v>
      </c>
      <c r="O713" t="s">
        <v>35</v>
      </c>
      <c r="Q713" t="s">
        <v>36</v>
      </c>
      <c r="R713">
        <v>40</v>
      </c>
      <c r="S713" t="s">
        <v>77</v>
      </c>
      <c r="T713" t="s">
        <v>96</v>
      </c>
      <c r="U713">
        <v>5</v>
      </c>
      <c r="V713" t="s">
        <v>70</v>
      </c>
      <c r="W713" t="s">
        <v>51</v>
      </c>
      <c r="X713" t="s">
        <v>109</v>
      </c>
      <c r="Y713" t="s">
        <v>53</v>
      </c>
    </row>
    <row r="714" spans="1:25">
      <c r="A714" t="s">
        <v>2508</v>
      </c>
      <c r="B714" t="s">
        <v>2509</v>
      </c>
      <c r="C714" t="s">
        <v>80</v>
      </c>
      <c r="D714">
        <v>72</v>
      </c>
      <c r="E714" t="s">
        <v>173</v>
      </c>
      <c r="F714" t="s">
        <v>29</v>
      </c>
      <c r="G714" t="s">
        <v>168</v>
      </c>
      <c r="H714" t="s">
        <v>247</v>
      </c>
      <c r="I714" t="s">
        <v>1120</v>
      </c>
      <c r="J714">
        <v>4</v>
      </c>
      <c r="K714" t="s">
        <v>247</v>
      </c>
      <c r="L714" t="s">
        <v>737</v>
      </c>
      <c r="M714">
        <v>9</v>
      </c>
      <c r="N714" t="s">
        <v>34</v>
      </c>
      <c r="O714" t="s">
        <v>35</v>
      </c>
      <c r="Q714" t="s">
        <v>36</v>
      </c>
      <c r="R714">
        <v>25</v>
      </c>
      <c r="S714" t="s">
        <v>37</v>
      </c>
      <c r="T714" t="s">
        <v>96</v>
      </c>
      <c r="U714">
        <v>2</v>
      </c>
      <c r="V714" t="s">
        <v>70</v>
      </c>
      <c r="W714" t="s">
        <v>51</v>
      </c>
      <c r="X714" t="s">
        <v>41</v>
      </c>
      <c r="Y714" t="s">
        <v>71</v>
      </c>
    </row>
    <row r="715" spans="1:25">
      <c r="A715" t="s">
        <v>2510</v>
      </c>
      <c r="B715" t="s">
        <v>2511</v>
      </c>
      <c r="C715" t="s">
        <v>80</v>
      </c>
      <c r="D715">
        <v>48</v>
      </c>
      <c r="E715" t="s">
        <v>92</v>
      </c>
      <c r="F715" t="s">
        <v>29</v>
      </c>
      <c r="G715" t="s">
        <v>83</v>
      </c>
      <c r="H715" t="s">
        <v>375</v>
      </c>
      <c r="I715" t="s">
        <v>976</v>
      </c>
      <c r="J715">
        <v>24</v>
      </c>
      <c r="K715" t="s">
        <v>1625</v>
      </c>
      <c r="L715" t="s">
        <v>1050</v>
      </c>
      <c r="M715">
        <v>32</v>
      </c>
      <c r="N715" t="s">
        <v>34</v>
      </c>
      <c r="O715" t="s">
        <v>35</v>
      </c>
      <c r="Q715" t="s">
        <v>36</v>
      </c>
      <c r="R715">
        <v>50</v>
      </c>
      <c r="S715" t="s">
        <v>49</v>
      </c>
      <c r="T715" t="s">
        <v>38</v>
      </c>
      <c r="U715">
        <v>5</v>
      </c>
      <c r="V715" t="s">
        <v>62</v>
      </c>
      <c r="W715" t="s">
        <v>165</v>
      </c>
      <c r="X715" t="s">
        <v>109</v>
      </c>
      <c r="Y715" t="s">
        <v>53</v>
      </c>
    </row>
    <row r="716" spans="1:25">
      <c r="A716" t="s">
        <v>2512</v>
      </c>
      <c r="B716" t="s">
        <v>2513</v>
      </c>
      <c r="C716" t="s">
        <v>80</v>
      </c>
      <c r="D716">
        <v>14</v>
      </c>
      <c r="E716" t="s">
        <v>81</v>
      </c>
      <c r="F716" t="s">
        <v>82</v>
      </c>
      <c r="G716" t="s">
        <v>83</v>
      </c>
      <c r="H716" t="s">
        <v>900</v>
      </c>
      <c r="I716" t="s">
        <v>1382</v>
      </c>
      <c r="J716">
        <v>8</v>
      </c>
      <c r="K716" t="s">
        <v>900</v>
      </c>
      <c r="L716" t="s">
        <v>439</v>
      </c>
      <c r="M716">
        <v>11</v>
      </c>
      <c r="N716" t="s">
        <v>34</v>
      </c>
      <c r="O716" t="s">
        <v>35</v>
      </c>
      <c r="Q716" t="s">
        <v>36</v>
      </c>
      <c r="R716">
        <v>20</v>
      </c>
      <c r="S716" t="s">
        <v>37</v>
      </c>
      <c r="T716" t="s">
        <v>164</v>
      </c>
      <c r="U716">
        <v>5</v>
      </c>
      <c r="V716" t="s">
        <v>70</v>
      </c>
      <c r="W716" t="s">
        <v>103</v>
      </c>
      <c r="X716" t="s">
        <v>52</v>
      </c>
      <c r="Y716" t="s">
        <v>71</v>
      </c>
    </row>
    <row r="717" spans="1:25">
      <c r="A717" t="s">
        <v>2514</v>
      </c>
      <c r="B717" t="s">
        <v>2515</v>
      </c>
      <c r="C717" t="s">
        <v>27</v>
      </c>
      <c r="D717">
        <v>30</v>
      </c>
      <c r="E717" t="s">
        <v>28</v>
      </c>
      <c r="F717" t="s">
        <v>29</v>
      </c>
      <c r="G717" t="s">
        <v>30</v>
      </c>
      <c r="H717" t="s">
        <v>544</v>
      </c>
      <c r="I717" t="s">
        <v>242</v>
      </c>
      <c r="J717">
        <v>5</v>
      </c>
      <c r="K717" t="s">
        <v>784</v>
      </c>
      <c r="L717" t="s">
        <v>2216</v>
      </c>
      <c r="M717">
        <v>9</v>
      </c>
      <c r="N717" t="s">
        <v>34</v>
      </c>
      <c r="O717" t="s">
        <v>35</v>
      </c>
      <c r="Q717" t="s">
        <v>36</v>
      </c>
      <c r="R717">
        <v>35</v>
      </c>
      <c r="S717" t="s">
        <v>49</v>
      </c>
      <c r="T717" t="s">
        <v>164</v>
      </c>
      <c r="U717">
        <v>5</v>
      </c>
      <c r="V717" t="s">
        <v>62</v>
      </c>
      <c r="W717" t="s">
        <v>103</v>
      </c>
      <c r="X717" t="s">
        <v>41</v>
      </c>
      <c r="Y717" t="s">
        <v>71</v>
      </c>
    </row>
    <row r="718" spans="1:25">
      <c r="A718" t="s">
        <v>2516</v>
      </c>
      <c r="B718" t="s">
        <v>2517</v>
      </c>
      <c r="C718" t="s">
        <v>80</v>
      </c>
      <c r="D718">
        <v>55</v>
      </c>
      <c r="E718" t="s">
        <v>92</v>
      </c>
      <c r="F718" t="s">
        <v>29</v>
      </c>
      <c r="G718" t="s">
        <v>93</v>
      </c>
      <c r="H718" t="s">
        <v>1494</v>
      </c>
      <c r="I718" t="s">
        <v>1805</v>
      </c>
      <c r="J718">
        <v>24</v>
      </c>
      <c r="K718" t="s">
        <v>910</v>
      </c>
      <c r="L718" t="s">
        <v>2239</v>
      </c>
      <c r="M718">
        <v>32</v>
      </c>
      <c r="N718" t="s">
        <v>34</v>
      </c>
      <c r="O718" t="s">
        <v>35</v>
      </c>
      <c r="Q718" t="s">
        <v>36</v>
      </c>
      <c r="R718">
        <v>50</v>
      </c>
      <c r="S718" t="s">
        <v>77</v>
      </c>
      <c r="T718" t="s">
        <v>88</v>
      </c>
      <c r="U718">
        <v>5</v>
      </c>
      <c r="V718" t="s">
        <v>89</v>
      </c>
      <c r="W718" t="s">
        <v>51</v>
      </c>
      <c r="X718" t="s">
        <v>41</v>
      </c>
      <c r="Y718" t="s">
        <v>53</v>
      </c>
    </row>
    <row r="719" spans="1:25">
      <c r="A719" t="s">
        <v>2518</v>
      </c>
      <c r="B719" t="s">
        <v>2519</v>
      </c>
      <c r="C719" t="s">
        <v>204</v>
      </c>
      <c r="D719">
        <v>66</v>
      </c>
      <c r="E719" t="s">
        <v>81</v>
      </c>
      <c r="F719" t="s">
        <v>82</v>
      </c>
      <c r="G719" t="s">
        <v>45</v>
      </c>
      <c r="H719" t="s">
        <v>262</v>
      </c>
      <c r="I719" t="s">
        <v>370</v>
      </c>
      <c r="J719">
        <v>8</v>
      </c>
      <c r="K719" t="s">
        <v>262</v>
      </c>
      <c r="L719" t="s">
        <v>2520</v>
      </c>
      <c r="M719">
        <v>12</v>
      </c>
      <c r="N719" t="s">
        <v>34</v>
      </c>
      <c r="O719" t="s">
        <v>35</v>
      </c>
      <c r="Q719" t="s">
        <v>36</v>
      </c>
      <c r="R719">
        <v>20</v>
      </c>
      <c r="S719" t="s">
        <v>49</v>
      </c>
      <c r="T719" t="s">
        <v>164</v>
      </c>
      <c r="U719">
        <v>3</v>
      </c>
      <c r="V719" t="s">
        <v>70</v>
      </c>
      <c r="W719" t="s">
        <v>165</v>
      </c>
      <c r="X719" t="s">
        <v>52</v>
      </c>
      <c r="Y719" t="s">
        <v>53</v>
      </c>
    </row>
    <row r="720" spans="1:25">
      <c r="A720" t="s">
        <v>2521</v>
      </c>
      <c r="B720" t="s">
        <v>2522</v>
      </c>
      <c r="C720" t="s">
        <v>80</v>
      </c>
      <c r="D720">
        <v>11</v>
      </c>
      <c r="E720" t="s">
        <v>28</v>
      </c>
      <c r="F720" t="s">
        <v>29</v>
      </c>
      <c r="G720" t="s">
        <v>150</v>
      </c>
      <c r="H720" t="s">
        <v>344</v>
      </c>
      <c r="I720" t="s">
        <v>94</v>
      </c>
      <c r="J720">
        <v>5</v>
      </c>
      <c r="K720" t="s">
        <v>446</v>
      </c>
      <c r="L720" t="s">
        <v>2523</v>
      </c>
      <c r="M720">
        <v>13</v>
      </c>
      <c r="N720" t="s">
        <v>34</v>
      </c>
      <c r="O720" t="s">
        <v>35</v>
      </c>
      <c r="Q720" t="s">
        <v>36</v>
      </c>
      <c r="R720">
        <v>35</v>
      </c>
      <c r="S720" t="s">
        <v>77</v>
      </c>
      <c r="T720" t="s">
        <v>96</v>
      </c>
      <c r="U720">
        <v>2</v>
      </c>
      <c r="V720" t="s">
        <v>62</v>
      </c>
      <c r="W720" t="s">
        <v>165</v>
      </c>
      <c r="X720" t="s">
        <v>109</v>
      </c>
      <c r="Y720" t="s">
        <v>53</v>
      </c>
    </row>
    <row r="721" spans="1:25">
      <c r="A721" t="s">
        <v>2524</v>
      </c>
      <c r="B721" t="s">
        <v>2525</v>
      </c>
      <c r="C721" t="s">
        <v>204</v>
      </c>
      <c r="D721">
        <v>26</v>
      </c>
      <c r="E721" t="s">
        <v>57</v>
      </c>
      <c r="F721" t="s">
        <v>29</v>
      </c>
      <c r="G721" t="s">
        <v>58</v>
      </c>
      <c r="H721" t="s">
        <v>877</v>
      </c>
      <c r="I721" t="s">
        <v>2526</v>
      </c>
      <c r="J721">
        <v>3</v>
      </c>
      <c r="K721" t="s">
        <v>877</v>
      </c>
      <c r="L721" t="s">
        <v>793</v>
      </c>
      <c r="M721">
        <v>10</v>
      </c>
      <c r="N721" t="s">
        <v>34</v>
      </c>
      <c r="O721" t="s">
        <v>35</v>
      </c>
      <c r="Q721" t="s">
        <v>36</v>
      </c>
      <c r="R721">
        <v>15</v>
      </c>
      <c r="S721" t="s">
        <v>37</v>
      </c>
      <c r="T721" t="s">
        <v>88</v>
      </c>
      <c r="U721">
        <v>1</v>
      </c>
      <c r="V721" t="s">
        <v>39</v>
      </c>
      <c r="W721" t="s">
        <v>165</v>
      </c>
      <c r="X721" t="s">
        <v>52</v>
      </c>
      <c r="Y721" t="s">
        <v>42</v>
      </c>
    </row>
    <row r="722" spans="1:25">
      <c r="A722" t="s">
        <v>2527</v>
      </c>
      <c r="B722" t="s">
        <v>2528</v>
      </c>
      <c r="C722" t="s">
        <v>27</v>
      </c>
      <c r="D722">
        <v>31</v>
      </c>
      <c r="E722" t="s">
        <v>57</v>
      </c>
      <c r="F722" t="s">
        <v>29</v>
      </c>
      <c r="G722" t="s">
        <v>83</v>
      </c>
      <c r="H722" t="s">
        <v>490</v>
      </c>
      <c r="I722" t="s">
        <v>2529</v>
      </c>
      <c r="J722">
        <v>3</v>
      </c>
      <c r="K722" t="s">
        <v>490</v>
      </c>
      <c r="L722" t="s">
        <v>2530</v>
      </c>
      <c r="M722">
        <v>6</v>
      </c>
      <c r="N722" t="s">
        <v>34</v>
      </c>
      <c r="O722" t="s">
        <v>35</v>
      </c>
      <c r="Q722" t="s">
        <v>36</v>
      </c>
      <c r="R722">
        <v>15</v>
      </c>
      <c r="S722" t="s">
        <v>37</v>
      </c>
      <c r="T722" t="s">
        <v>88</v>
      </c>
      <c r="U722">
        <v>2</v>
      </c>
      <c r="V722" t="s">
        <v>70</v>
      </c>
      <c r="W722" t="s">
        <v>51</v>
      </c>
      <c r="X722" t="s">
        <v>109</v>
      </c>
      <c r="Y722" t="s">
        <v>71</v>
      </c>
    </row>
    <row r="723" spans="1:25">
      <c r="A723" t="s">
        <v>2531</v>
      </c>
      <c r="B723" t="s">
        <v>2532</v>
      </c>
      <c r="C723" t="s">
        <v>80</v>
      </c>
      <c r="D723">
        <v>3</v>
      </c>
      <c r="E723" t="s">
        <v>149</v>
      </c>
      <c r="F723" t="s">
        <v>29</v>
      </c>
      <c r="G723" t="s">
        <v>168</v>
      </c>
      <c r="H723" t="s">
        <v>431</v>
      </c>
      <c r="I723" t="s">
        <v>359</v>
      </c>
      <c r="J723">
        <v>6</v>
      </c>
      <c r="K723" t="s">
        <v>431</v>
      </c>
      <c r="L723" t="s">
        <v>1808</v>
      </c>
      <c r="M723">
        <v>8</v>
      </c>
      <c r="N723" t="s">
        <v>34</v>
      </c>
      <c r="O723" t="s">
        <v>270</v>
      </c>
      <c r="P723" t="s">
        <v>391</v>
      </c>
      <c r="Q723" t="s">
        <v>36</v>
      </c>
      <c r="R723">
        <v>40</v>
      </c>
      <c r="S723" t="s">
        <v>37</v>
      </c>
      <c r="T723" t="s">
        <v>88</v>
      </c>
      <c r="U723">
        <v>1</v>
      </c>
      <c r="V723" t="s">
        <v>70</v>
      </c>
      <c r="W723" t="s">
        <v>51</v>
      </c>
      <c r="X723" t="s">
        <v>109</v>
      </c>
      <c r="Y723" t="s">
        <v>42</v>
      </c>
    </row>
    <row r="724" spans="1:25">
      <c r="A724" t="s">
        <v>2533</v>
      </c>
      <c r="B724" t="s">
        <v>2534</v>
      </c>
      <c r="C724" t="s">
        <v>56</v>
      </c>
      <c r="D724">
        <v>17</v>
      </c>
      <c r="E724" t="s">
        <v>57</v>
      </c>
      <c r="F724" t="s">
        <v>29</v>
      </c>
      <c r="G724" t="s">
        <v>58</v>
      </c>
      <c r="H724" t="s">
        <v>1170</v>
      </c>
      <c r="I724" t="s">
        <v>704</v>
      </c>
      <c r="J724">
        <v>3</v>
      </c>
      <c r="K724" t="s">
        <v>1170</v>
      </c>
      <c r="L724" t="s">
        <v>2535</v>
      </c>
      <c r="M724">
        <v>4</v>
      </c>
      <c r="N724" t="s">
        <v>34</v>
      </c>
      <c r="O724" t="s">
        <v>35</v>
      </c>
      <c r="Q724" t="s">
        <v>36</v>
      </c>
      <c r="R724">
        <v>15</v>
      </c>
      <c r="S724" t="s">
        <v>37</v>
      </c>
      <c r="T724" t="s">
        <v>69</v>
      </c>
      <c r="U724">
        <v>2</v>
      </c>
      <c r="V724" t="s">
        <v>62</v>
      </c>
      <c r="W724" t="s">
        <v>165</v>
      </c>
      <c r="X724" t="s">
        <v>52</v>
      </c>
      <c r="Y724" t="s">
        <v>71</v>
      </c>
    </row>
    <row r="725" spans="1:25">
      <c r="A725" t="s">
        <v>2536</v>
      </c>
      <c r="B725" t="s">
        <v>2537</v>
      </c>
      <c r="C725" t="s">
        <v>204</v>
      </c>
      <c r="D725">
        <v>11</v>
      </c>
      <c r="E725" t="s">
        <v>173</v>
      </c>
      <c r="F725" t="s">
        <v>29</v>
      </c>
      <c r="G725" t="s">
        <v>168</v>
      </c>
      <c r="H725" t="s">
        <v>446</v>
      </c>
      <c r="I725" t="s">
        <v>2538</v>
      </c>
      <c r="J725">
        <v>4</v>
      </c>
      <c r="K725" t="s">
        <v>446</v>
      </c>
      <c r="L725" t="s">
        <v>2539</v>
      </c>
      <c r="M725">
        <v>11</v>
      </c>
      <c r="N725" t="s">
        <v>34</v>
      </c>
      <c r="O725" t="s">
        <v>35</v>
      </c>
      <c r="Q725" t="s">
        <v>36</v>
      </c>
      <c r="R725">
        <v>25</v>
      </c>
      <c r="S725" t="s">
        <v>77</v>
      </c>
      <c r="T725" t="s">
        <v>96</v>
      </c>
      <c r="U725">
        <v>3</v>
      </c>
      <c r="V725" t="s">
        <v>62</v>
      </c>
      <c r="W725" t="s">
        <v>51</v>
      </c>
      <c r="X725" t="s">
        <v>52</v>
      </c>
      <c r="Y725" t="s">
        <v>53</v>
      </c>
    </row>
    <row r="726" spans="1:25">
      <c r="A726" t="s">
        <v>2540</v>
      </c>
      <c r="B726" t="s">
        <v>2541</v>
      </c>
      <c r="C726" t="s">
        <v>27</v>
      </c>
      <c r="D726">
        <v>52</v>
      </c>
      <c r="E726" t="s">
        <v>57</v>
      </c>
      <c r="F726" t="s">
        <v>29</v>
      </c>
      <c r="G726" t="s">
        <v>58</v>
      </c>
      <c r="H726" t="s">
        <v>996</v>
      </c>
      <c r="I726" t="s">
        <v>438</v>
      </c>
      <c r="J726">
        <v>3</v>
      </c>
      <c r="K726" t="s">
        <v>996</v>
      </c>
      <c r="L726" t="s">
        <v>2542</v>
      </c>
      <c r="M726">
        <v>4</v>
      </c>
      <c r="N726" t="s">
        <v>34</v>
      </c>
      <c r="O726" t="s">
        <v>35</v>
      </c>
      <c r="Q726" t="s">
        <v>36</v>
      </c>
      <c r="R726">
        <v>15</v>
      </c>
      <c r="S726" t="s">
        <v>77</v>
      </c>
      <c r="T726" t="s">
        <v>38</v>
      </c>
      <c r="U726">
        <v>2</v>
      </c>
      <c r="V726" t="s">
        <v>70</v>
      </c>
      <c r="W726" t="s">
        <v>103</v>
      </c>
      <c r="X726" t="s">
        <v>41</v>
      </c>
      <c r="Y726" t="s">
        <v>71</v>
      </c>
    </row>
    <row r="727" spans="1:25">
      <c r="A727" t="s">
        <v>2543</v>
      </c>
      <c r="B727" t="s">
        <v>2544</v>
      </c>
      <c r="C727" t="s">
        <v>27</v>
      </c>
      <c r="D727">
        <v>59</v>
      </c>
      <c r="E727" t="s">
        <v>149</v>
      </c>
      <c r="F727" t="s">
        <v>29</v>
      </c>
      <c r="G727" t="s">
        <v>30</v>
      </c>
      <c r="H727" t="s">
        <v>582</v>
      </c>
      <c r="I727" t="s">
        <v>1896</v>
      </c>
      <c r="J727">
        <v>6</v>
      </c>
      <c r="K727" t="s">
        <v>582</v>
      </c>
      <c r="L727" t="s">
        <v>2545</v>
      </c>
      <c r="M727">
        <v>5</v>
      </c>
      <c r="N727" t="s">
        <v>68</v>
      </c>
      <c r="O727" t="s">
        <v>35</v>
      </c>
      <c r="Q727" t="s">
        <v>36</v>
      </c>
      <c r="R727">
        <v>40</v>
      </c>
      <c r="S727" t="s">
        <v>37</v>
      </c>
      <c r="T727" t="s">
        <v>96</v>
      </c>
      <c r="U727">
        <v>3</v>
      </c>
      <c r="V727" t="s">
        <v>70</v>
      </c>
      <c r="W727" t="s">
        <v>165</v>
      </c>
      <c r="X727" t="s">
        <v>52</v>
      </c>
      <c r="Y727" t="s">
        <v>42</v>
      </c>
    </row>
    <row r="728" spans="1:25">
      <c r="A728" t="s">
        <v>2546</v>
      </c>
      <c r="B728" t="s">
        <v>2547</v>
      </c>
      <c r="C728" t="s">
        <v>80</v>
      </c>
      <c r="D728">
        <v>50</v>
      </c>
      <c r="E728" t="s">
        <v>92</v>
      </c>
      <c r="F728" t="s">
        <v>29</v>
      </c>
      <c r="G728" t="s">
        <v>83</v>
      </c>
      <c r="H728" t="s">
        <v>1804</v>
      </c>
      <c r="I728" t="s">
        <v>1523</v>
      </c>
      <c r="J728">
        <v>24</v>
      </c>
      <c r="K728" t="s">
        <v>319</v>
      </c>
      <c r="L728" t="s">
        <v>2548</v>
      </c>
      <c r="M728">
        <v>25</v>
      </c>
      <c r="N728" t="s">
        <v>34</v>
      </c>
      <c r="O728" t="s">
        <v>35</v>
      </c>
      <c r="Q728" t="s">
        <v>36</v>
      </c>
      <c r="R728">
        <v>50</v>
      </c>
      <c r="S728" t="s">
        <v>77</v>
      </c>
      <c r="T728" t="s">
        <v>164</v>
      </c>
      <c r="U728">
        <v>3</v>
      </c>
      <c r="V728" t="s">
        <v>39</v>
      </c>
      <c r="W728" t="s">
        <v>165</v>
      </c>
      <c r="X728" t="s">
        <v>52</v>
      </c>
      <c r="Y728" t="s">
        <v>71</v>
      </c>
    </row>
    <row r="729" spans="1:25">
      <c r="A729" t="s">
        <v>2549</v>
      </c>
      <c r="B729" t="s">
        <v>2550</v>
      </c>
      <c r="C729" t="s">
        <v>204</v>
      </c>
      <c r="D729">
        <v>8</v>
      </c>
      <c r="E729" t="s">
        <v>92</v>
      </c>
      <c r="F729" t="s">
        <v>29</v>
      </c>
      <c r="G729" t="s">
        <v>58</v>
      </c>
      <c r="H729" t="s">
        <v>348</v>
      </c>
      <c r="I729" t="s">
        <v>301</v>
      </c>
      <c r="J729">
        <v>24</v>
      </c>
      <c r="K729" t="s">
        <v>526</v>
      </c>
      <c r="L729" t="s">
        <v>302</v>
      </c>
      <c r="M729">
        <v>27</v>
      </c>
      <c r="N729" t="s">
        <v>34</v>
      </c>
      <c r="O729" t="s">
        <v>35</v>
      </c>
      <c r="Q729" t="s">
        <v>36</v>
      </c>
      <c r="R729">
        <v>50</v>
      </c>
      <c r="S729" t="s">
        <v>49</v>
      </c>
      <c r="T729" t="s">
        <v>38</v>
      </c>
      <c r="U729">
        <v>1</v>
      </c>
      <c r="V729" t="s">
        <v>62</v>
      </c>
      <c r="W729" t="s">
        <v>40</v>
      </c>
      <c r="X729" t="s">
        <v>41</v>
      </c>
      <c r="Y729" t="s">
        <v>71</v>
      </c>
    </row>
    <row r="730" spans="1:25">
      <c r="A730" t="s">
        <v>2551</v>
      </c>
      <c r="B730" t="s">
        <v>2552</v>
      </c>
      <c r="C730" t="s">
        <v>56</v>
      </c>
      <c r="D730">
        <v>78</v>
      </c>
      <c r="E730" t="s">
        <v>57</v>
      </c>
      <c r="F730" t="s">
        <v>29</v>
      </c>
      <c r="G730" t="s">
        <v>30</v>
      </c>
      <c r="H730" t="s">
        <v>274</v>
      </c>
      <c r="I730" t="s">
        <v>2553</v>
      </c>
      <c r="J730">
        <v>3</v>
      </c>
      <c r="K730" t="s">
        <v>274</v>
      </c>
      <c r="L730" t="s">
        <v>785</v>
      </c>
      <c r="M730">
        <v>4</v>
      </c>
      <c r="N730" t="s">
        <v>34</v>
      </c>
      <c r="O730" t="s">
        <v>35</v>
      </c>
      <c r="Q730" t="s">
        <v>36</v>
      </c>
      <c r="R730">
        <v>15</v>
      </c>
      <c r="S730" t="s">
        <v>77</v>
      </c>
      <c r="T730" t="s">
        <v>69</v>
      </c>
      <c r="U730">
        <v>1</v>
      </c>
      <c r="V730" t="s">
        <v>89</v>
      </c>
      <c r="W730" t="s">
        <v>103</v>
      </c>
      <c r="X730" t="s">
        <v>52</v>
      </c>
      <c r="Y730" t="s">
        <v>71</v>
      </c>
    </row>
    <row r="731" spans="1:25">
      <c r="A731" t="s">
        <v>2554</v>
      </c>
      <c r="B731" t="s">
        <v>2555</v>
      </c>
      <c r="C731" t="s">
        <v>80</v>
      </c>
      <c r="D731">
        <v>68</v>
      </c>
      <c r="E731" t="s">
        <v>149</v>
      </c>
      <c r="F731" t="s">
        <v>29</v>
      </c>
      <c r="G731" t="s">
        <v>150</v>
      </c>
      <c r="H731" t="s">
        <v>1867</v>
      </c>
      <c r="I731" t="s">
        <v>401</v>
      </c>
      <c r="J731">
        <v>6</v>
      </c>
      <c r="K731" t="s">
        <v>1867</v>
      </c>
      <c r="L731" t="s">
        <v>2556</v>
      </c>
      <c r="M731">
        <v>11</v>
      </c>
      <c r="N731" t="s">
        <v>34</v>
      </c>
      <c r="O731" t="s">
        <v>35</v>
      </c>
      <c r="Q731" t="s">
        <v>36</v>
      </c>
      <c r="R731">
        <v>40</v>
      </c>
      <c r="S731" t="s">
        <v>37</v>
      </c>
      <c r="T731" t="s">
        <v>164</v>
      </c>
      <c r="U731">
        <v>2</v>
      </c>
      <c r="V731" t="s">
        <v>62</v>
      </c>
      <c r="W731" t="s">
        <v>51</v>
      </c>
      <c r="X731" t="s">
        <v>41</v>
      </c>
      <c r="Y731" t="s">
        <v>71</v>
      </c>
    </row>
    <row r="732" spans="1:25">
      <c r="A732" t="s">
        <v>2557</v>
      </c>
      <c r="B732" t="s">
        <v>2558</v>
      </c>
      <c r="C732" t="s">
        <v>204</v>
      </c>
      <c r="D732">
        <v>13</v>
      </c>
      <c r="E732" t="s">
        <v>57</v>
      </c>
      <c r="F732" t="s">
        <v>29</v>
      </c>
      <c r="G732" t="s">
        <v>58</v>
      </c>
      <c r="H732" t="s">
        <v>405</v>
      </c>
      <c r="I732" t="s">
        <v>1378</v>
      </c>
      <c r="J732">
        <v>3</v>
      </c>
      <c r="K732" t="s">
        <v>407</v>
      </c>
      <c r="L732" t="s">
        <v>1372</v>
      </c>
      <c r="M732">
        <v>9</v>
      </c>
      <c r="N732" t="s">
        <v>34</v>
      </c>
      <c r="O732" t="s">
        <v>35</v>
      </c>
      <c r="Q732" t="s">
        <v>36</v>
      </c>
      <c r="R732">
        <v>15</v>
      </c>
      <c r="S732" t="s">
        <v>49</v>
      </c>
      <c r="T732" t="s">
        <v>69</v>
      </c>
      <c r="U732">
        <v>2</v>
      </c>
      <c r="V732" t="s">
        <v>39</v>
      </c>
      <c r="W732" t="s">
        <v>103</v>
      </c>
      <c r="X732" t="s">
        <v>109</v>
      </c>
      <c r="Y732" t="s">
        <v>42</v>
      </c>
    </row>
    <row r="733" spans="1:25">
      <c r="A733" t="s">
        <v>2559</v>
      </c>
      <c r="B733" t="s">
        <v>2560</v>
      </c>
      <c r="C733" t="s">
        <v>204</v>
      </c>
      <c r="D733">
        <v>25</v>
      </c>
      <c r="E733" t="s">
        <v>92</v>
      </c>
      <c r="F733" t="s">
        <v>29</v>
      </c>
      <c r="G733" t="s">
        <v>93</v>
      </c>
      <c r="H733" t="s">
        <v>106</v>
      </c>
      <c r="I733" t="s">
        <v>2561</v>
      </c>
      <c r="J733">
        <v>24</v>
      </c>
      <c r="K733" t="s">
        <v>1804</v>
      </c>
      <c r="L733" t="s">
        <v>2562</v>
      </c>
      <c r="M733">
        <v>32</v>
      </c>
      <c r="N733" t="s">
        <v>34</v>
      </c>
      <c r="O733" t="s">
        <v>35</v>
      </c>
      <c r="Q733" t="s">
        <v>36</v>
      </c>
      <c r="R733">
        <v>50</v>
      </c>
      <c r="S733" t="s">
        <v>37</v>
      </c>
      <c r="T733" t="s">
        <v>38</v>
      </c>
      <c r="U733">
        <v>4</v>
      </c>
      <c r="V733" t="s">
        <v>62</v>
      </c>
      <c r="W733" t="s">
        <v>40</v>
      </c>
      <c r="X733" t="s">
        <v>52</v>
      </c>
      <c r="Y733" t="s">
        <v>42</v>
      </c>
    </row>
    <row r="734" spans="1:25">
      <c r="A734" t="s">
        <v>2563</v>
      </c>
      <c r="B734" t="s">
        <v>2564</v>
      </c>
      <c r="C734" t="s">
        <v>27</v>
      </c>
      <c r="D734">
        <v>53</v>
      </c>
      <c r="E734" t="s">
        <v>173</v>
      </c>
      <c r="F734" t="s">
        <v>29</v>
      </c>
      <c r="G734" t="s">
        <v>83</v>
      </c>
      <c r="H734" t="s">
        <v>2565</v>
      </c>
      <c r="I734" t="s">
        <v>501</v>
      </c>
      <c r="J734">
        <v>4</v>
      </c>
      <c r="K734" t="s">
        <v>2565</v>
      </c>
      <c r="L734" t="s">
        <v>2117</v>
      </c>
      <c r="M734">
        <v>9</v>
      </c>
      <c r="N734" t="s">
        <v>34</v>
      </c>
      <c r="O734" t="s">
        <v>35</v>
      </c>
      <c r="Q734" t="s">
        <v>36</v>
      </c>
      <c r="R734">
        <v>25</v>
      </c>
      <c r="S734" t="s">
        <v>77</v>
      </c>
      <c r="T734" t="s">
        <v>69</v>
      </c>
      <c r="U734">
        <v>1</v>
      </c>
      <c r="V734" t="s">
        <v>70</v>
      </c>
      <c r="W734" t="s">
        <v>40</v>
      </c>
      <c r="X734" t="s">
        <v>109</v>
      </c>
      <c r="Y734" t="s">
        <v>42</v>
      </c>
    </row>
    <row r="735" spans="1:25">
      <c r="A735" t="s">
        <v>2566</v>
      </c>
      <c r="B735" t="s">
        <v>2567</v>
      </c>
      <c r="C735" t="s">
        <v>80</v>
      </c>
      <c r="D735">
        <v>47</v>
      </c>
      <c r="E735" t="s">
        <v>173</v>
      </c>
      <c r="F735" t="s">
        <v>29</v>
      </c>
      <c r="G735" t="s">
        <v>168</v>
      </c>
      <c r="H735" t="s">
        <v>1565</v>
      </c>
      <c r="I735" t="s">
        <v>943</v>
      </c>
      <c r="J735">
        <v>4</v>
      </c>
      <c r="K735" t="s">
        <v>1565</v>
      </c>
      <c r="L735" t="s">
        <v>2310</v>
      </c>
      <c r="M735">
        <v>6</v>
      </c>
      <c r="N735" t="s">
        <v>34</v>
      </c>
      <c r="O735" t="s">
        <v>35</v>
      </c>
      <c r="Q735" t="s">
        <v>36</v>
      </c>
      <c r="R735">
        <v>25</v>
      </c>
      <c r="S735" t="s">
        <v>37</v>
      </c>
      <c r="T735" t="s">
        <v>50</v>
      </c>
      <c r="U735">
        <v>3</v>
      </c>
      <c r="V735" t="s">
        <v>62</v>
      </c>
      <c r="W735" t="s">
        <v>51</v>
      </c>
      <c r="X735" t="s">
        <v>109</v>
      </c>
      <c r="Y735" t="s">
        <v>53</v>
      </c>
    </row>
    <row r="736" spans="1:25">
      <c r="A736" t="s">
        <v>2568</v>
      </c>
      <c r="B736" t="s">
        <v>2569</v>
      </c>
      <c r="C736" t="s">
        <v>80</v>
      </c>
      <c r="D736">
        <v>84</v>
      </c>
      <c r="E736" t="s">
        <v>173</v>
      </c>
      <c r="F736" t="s">
        <v>29</v>
      </c>
      <c r="G736" t="s">
        <v>150</v>
      </c>
      <c r="H736" t="s">
        <v>411</v>
      </c>
      <c r="I736" t="s">
        <v>60</v>
      </c>
      <c r="J736">
        <v>4</v>
      </c>
      <c r="K736" t="s">
        <v>411</v>
      </c>
      <c r="L736" t="s">
        <v>61</v>
      </c>
      <c r="M736">
        <v>10</v>
      </c>
      <c r="N736" t="s">
        <v>34</v>
      </c>
      <c r="O736" t="s">
        <v>35</v>
      </c>
      <c r="Q736" t="s">
        <v>36</v>
      </c>
      <c r="R736">
        <v>25</v>
      </c>
      <c r="S736" t="s">
        <v>77</v>
      </c>
      <c r="T736" t="s">
        <v>164</v>
      </c>
      <c r="U736">
        <v>2</v>
      </c>
      <c r="V736" t="s">
        <v>89</v>
      </c>
      <c r="W736" t="s">
        <v>165</v>
      </c>
      <c r="X736" t="s">
        <v>109</v>
      </c>
      <c r="Y736" t="s">
        <v>71</v>
      </c>
    </row>
    <row r="737" spans="1:25">
      <c r="A737" t="s">
        <v>2570</v>
      </c>
      <c r="B737" t="s">
        <v>2571</v>
      </c>
      <c r="C737" t="s">
        <v>27</v>
      </c>
      <c r="D737">
        <v>65</v>
      </c>
      <c r="E737" t="s">
        <v>173</v>
      </c>
      <c r="F737" t="s">
        <v>29</v>
      </c>
      <c r="G737" t="s">
        <v>168</v>
      </c>
      <c r="H737" t="s">
        <v>513</v>
      </c>
      <c r="I737" t="s">
        <v>469</v>
      </c>
      <c r="J737">
        <v>4</v>
      </c>
      <c r="K737" t="s">
        <v>513</v>
      </c>
      <c r="L737" t="s">
        <v>2310</v>
      </c>
      <c r="M737">
        <v>8</v>
      </c>
      <c r="N737" t="s">
        <v>34</v>
      </c>
      <c r="O737" t="s">
        <v>35</v>
      </c>
      <c r="Q737" t="s">
        <v>36</v>
      </c>
      <c r="R737">
        <v>25</v>
      </c>
      <c r="S737" t="s">
        <v>37</v>
      </c>
      <c r="T737" t="s">
        <v>38</v>
      </c>
      <c r="U737">
        <v>1</v>
      </c>
      <c r="V737" t="s">
        <v>62</v>
      </c>
      <c r="W737" t="s">
        <v>51</v>
      </c>
      <c r="X737" t="s">
        <v>109</v>
      </c>
      <c r="Y737" t="s">
        <v>42</v>
      </c>
    </row>
    <row r="738" spans="1:25">
      <c r="A738" t="s">
        <v>2572</v>
      </c>
      <c r="B738" t="s">
        <v>2573</v>
      </c>
      <c r="C738" t="s">
        <v>27</v>
      </c>
      <c r="D738">
        <v>21</v>
      </c>
      <c r="E738" t="s">
        <v>173</v>
      </c>
      <c r="F738" t="s">
        <v>29</v>
      </c>
      <c r="G738" t="s">
        <v>93</v>
      </c>
      <c r="H738" t="s">
        <v>652</v>
      </c>
      <c r="I738" t="s">
        <v>651</v>
      </c>
      <c r="J738">
        <v>4</v>
      </c>
      <c r="K738" t="s">
        <v>652</v>
      </c>
      <c r="L738" t="s">
        <v>2167</v>
      </c>
      <c r="M738">
        <v>6</v>
      </c>
      <c r="N738" t="s">
        <v>34</v>
      </c>
      <c r="O738" t="s">
        <v>35</v>
      </c>
      <c r="Q738" t="s">
        <v>36</v>
      </c>
      <c r="R738">
        <v>25</v>
      </c>
      <c r="S738" t="s">
        <v>37</v>
      </c>
      <c r="T738" t="s">
        <v>69</v>
      </c>
      <c r="U738">
        <v>5</v>
      </c>
      <c r="V738" t="s">
        <v>89</v>
      </c>
      <c r="W738" t="s">
        <v>103</v>
      </c>
      <c r="X738" t="s">
        <v>52</v>
      </c>
      <c r="Y738" t="s">
        <v>42</v>
      </c>
    </row>
    <row r="739" spans="1:25">
      <c r="A739" t="s">
        <v>2574</v>
      </c>
      <c r="B739" t="s">
        <v>2575</v>
      </c>
      <c r="C739" t="s">
        <v>56</v>
      </c>
      <c r="D739">
        <v>4</v>
      </c>
      <c r="E739" t="s">
        <v>81</v>
      </c>
      <c r="F739" t="s">
        <v>82</v>
      </c>
      <c r="G739" t="s">
        <v>150</v>
      </c>
      <c r="H739" t="s">
        <v>1685</v>
      </c>
      <c r="I739" t="s">
        <v>283</v>
      </c>
      <c r="J739">
        <v>8</v>
      </c>
      <c r="K739" t="s">
        <v>442</v>
      </c>
      <c r="L739" t="s">
        <v>2576</v>
      </c>
      <c r="M739">
        <v>13</v>
      </c>
      <c r="N739" t="s">
        <v>34</v>
      </c>
      <c r="O739" t="s">
        <v>270</v>
      </c>
      <c r="P739" t="s">
        <v>620</v>
      </c>
      <c r="Q739" t="s">
        <v>36</v>
      </c>
      <c r="R739">
        <v>20</v>
      </c>
      <c r="S739" t="s">
        <v>49</v>
      </c>
      <c r="T739" t="s">
        <v>96</v>
      </c>
      <c r="U739">
        <v>2</v>
      </c>
      <c r="V739" t="s">
        <v>39</v>
      </c>
      <c r="W739" t="s">
        <v>103</v>
      </c>
      <c r="X739" t="s">
        <v>52</v>
      </c>
      <c r="Y739" t="s">
        <v>53</v>
      </c>
    </row>
    <row r="740" spans="1:25">
      <c r="A740" t="s">
        <v>2577</v>
      </c>
      <c r="B740" t="s">
        <v>2578</v>
      </c>
      <c r="C740" t="s">
        <v>27</v>
      </c>
      <c r="D740">
        <v>60</v>
      </c>
      <c r="E740" t="s">
        <v>173</v>
      </c>
      <c r="F740" t="s">
        <v>29</v>
      </c>
      <c r="G740" t="s">
        <v>168</v>
      </c>
      <c r="H740" t="s">
        <v>582</v>
      </c>
      <c r="I740" t="s">
        <v>2310</v>
      </c>
      <c r="J740">
        <v>4</v>
      </c>
      <c r="K740" t="s">
        <v>582</v>
      </c>
      <c r="L740" t="s">
        <v>2579</v>
      </c>
      <c r="M740">
        <v>3</v>
      </c>
      <c r="N740" t="s">
        <v>68</v>
      </c>
      <c r="O740" t="s">
        <v>35</v>
      </c>
      <c r="Q740" t="s">
        <v>36</v>
      </c>
      <c r="R740">
        <v>25</v>
      </c>
      <c r="S740" t="s">
        <v>49</v>
      </c>
      <c r="T740" t="s">
        <v>50</v>
      </c>
      <c r="U740">
        <v>3</v>
      </c>
      <c r="V740" t="s">
        <v>89</v>
      </c>
      <c r="W740" t="s">
        <v>103</v>
      </c>
      <c r="X740" t="s">
        <v>41</v>
      </c>
      <c r="Y740" t="s">
        <v>53</v>
      </c>
    </row>
    <row r="741" spans="1:25">
      <c r="A741" t="s">
        <v>2580</v>
      </c>
      <c r="B741" t="s">
        <v>2581</v>
      </c>
      <c r="C741" t="s">
        <v>27</v>
      </c>
      <c r="D741">
        <v>46</v>
      </c>
      <c r="E741" t="s">
        <v>149</v>
      </c>
      <c r="F741" t="s">
        <v>29</v>
      </c>
      <c r="G741" t="s">
        <v>30</v>
      </c>
      <c r="H741" t="s">
        <v>232</v>
      </c>
      <c r="I741" t="s">
        <v>2582</v>
      </c>
      <c r="J741">
        <v>6</v>
      </c>
      <c r="K741" t="s">
        <v>232</v>
      </c>
      <c r="L741" t="s">
        <v>880</v>
      </c>
      <c r="M741">
        <v>7</v>
      </c>
      <c r="N741" t="s">
        <v>34</v>
      </c>
      <c r="O741" t="s">
        <v>35</v>
      </c>
      <c r="Q741" t="s">
        <v>36</v>
      </c>
      <c r="R741">
        <v>40</v>
      </c>
      <c r="S741" t="s">
        <v>37</v>
      </c>
      <c r="T741" t="s">
        <v>38</v>
      </c>
      <c r="U741">
        <v>3</v>
      </c>
      <c r="V741" t="s">
        <v>89</v>
      </c>
      <c r="W741" t="s">
        <v>51</v>
      </c>
      <c r="X741" t="s">
        <v>41</v>
      </c>
      <c r="Y741" t="s">
        <v>71</v>
      </c>
    </row>
    <row r="742" spans="1:25">
      <c r="A742" t="s">
        <v>2583</v>
      </c>
      <c r="B742" t="s">
        <v>2584</v>
      </c>
      <c r="C742" t="s">
        <v>204</v>
      </c>
      <c r="D742">
        <v>41</v>
      </c>
      <c r="E742" t="s">
        <v>92</v>
      </c>
      <c r="F742" t="s">
        <v>29</v>
      </c>
      <c r="G742" t="s">
        <v>93</v>
      </c>
      <c r="H742" t="s">
        <v>388</v>
      </c>
      <c r="I742" t="s">
        <v>1777</v>
      </c>
      <c r="J742">
        <v>24</v>
      </c>
      <c r="K742" t="s">
        <v>870</v>
      </c>
      <c r="L742" t="s">
        <v>578</v>
      </c>
      <c r="M742">
        <v>27</v>
      </c>
      <c r="N742" t="s">
        <v>34</v>
      </c>
      <c r="O742" t="s">
        <v>35</v>
      </c>
      <c r="Q742" t="s">
        <v>132</v>
      </c>
      <c r="R742">
        <v>50</v>
      </c>
      <c r="S742" t="s">
        <v>37</v>
      </c>
      <c r="T742" t="s">
        <v>50</v>
      </c>
      <c r="U742">
        <v>3</v>
      </c>
      <c r="V742" t="s">
        <v>89</v>
      </c>
      <c r="W742" t="s">
        <v>51</v>
      </c>
      <c r="X742" t="s">
        <v>52</v>
      </c>
      <c r="Y742" t="s">
        <v>42</v>
      </c>
    </row>
    <row r="743" spans="1:25">
      <c r="A743" t="s">
        <v>2585</v>
      </c>
      <c r="B743" t="s">
        <v>2586</v>
      </c>
      <c r="C743" t="s">
        <v>27</v>
      </c>
      <c r="D743">
        <v>12</v>
      </c>
      <c r="E743" t="s">
        <v>81</v>
      </c>
      <c r="F743" t="s">
        <v>82</v>
      </c>
      <c r="G743" t="s">
        <v>93</v>
      </c>
      <c r="H743" t="s">
        <v>300</v>
      </c>
      <c r="I743" t="s">
        <v>315</v>
      </c>
      <c r="J743">
        <v>8</v>
      </c>
      <c r="K743" t="s">
        <v>300</v>
      </c>
      <c r="L743" t="s">
        <v>2587</v>
      </c>
      <c r="M743">
        <v>9</v>
      </c>
      <c r="N743" t="s">
        <v>34</v>
      </c>
      <c r="O743" t="s">
        <v>35</v>
      </c>
      <c r="Q743" t="s">
        <v>36</v>
      </c>
      <c r="R743">
        <v>20</v>
      </c>
      <c r="S743" t="s">
        <v>49</v>
      </c>
      <c r="T743" t="s">
        <v>96</v>
      </c>
      <c r="U743">
        <v>5</v>
      </c>
      <c r="V743" t="s">
        <v>70</v>
      </c>
      <c r="W743" t="s">
        <v>40</v>
      </c>
      <c r="X743" t="s">
        <v>41</v>
      </c>
      <c r="Y743" t="s">
        <v>71</v>
      </c>
    </row>
    <row r="744" spans="1:25">
      <c r="A744" t="s">
        <v>2588</v>
      </c>
      <c r="B744" t="s">
        <v>2589</v>
      </c>
      <c r="C744" t="s">
        <v>27</v>
      </c>
      <c r="D744">
        <v>68</v>
      </c>
      <c r="E744" t="s">
        <v>81</v>
      </c>
      <c r="F744" t="s">
        <v>82</v>
      </c>
      <c r="G744" t="s">
        <v>168</v>
      </c>
      <c r="H744" t="s">
        <v>363</v>
      </c>
      <c r="I744" t="s">
        <v>1766</v>
      </c>
      <c r="J744">
        <v>8</v>
      </c>
      <c r="K744" t="s">
        <v>365</v>
      </c>
      <c r="L744" t="s">
        <v>2590</v>
      </c>
      <c r="M744">
        <v>15</v>
      </c>
      <c r="N744" t="s">
        <v>34</v>
      </c>
      <c r="O744" t="s">
        <v>35</v>
      </c>
      <c r="Q744" t="s">
        <v>36</v>
      </c>
      <c r="R744">
        <v>20</v>
      </c>
      <c r="S744" t="s">
        <v>77</v>
      </c>
      <c r="T744" t="s">
        <v>164</v>
      </c>
      <c r="U744">
        <v>2</v>
      </c>
      <c r="V744" t="s">
        <v>62</v>
      </c>
      <c r="W744" t="s">
        <v>165</v>
      </c>
      <c r="X744" t="s">
        <v>41</v>
      </c>
      <c r="Y744" t="s">
        <v>42</v>
      </c>
    </row>
    <row r="745" spans="1:25">
      <c r="A745" t="s">
        <v>2591</v>
      </c>
      <c r="B745" t="s">
        <v>2592</v>
      </c>
      <c r="C745" t="s">
        <v>204</v>
      </c>
      <c r="D745">
        <v>35</v>
      </c>
      <c r="E745" t="s">
        <v>81</v>
      </c>
      <c r="F745" t="s">
        <v>82</v>
      </c>
      <c r="G745" t="s">
        <v>93</v>
      </c>
      <c r="H745" t="s">
        <v>95</v>
      </c>
      <c r="I745" t="s">
        <v>2593</v>
      </c>
      <c r="J745">
        <v>8</v>
      </c>
      <c r="K745" t="s">
        <v>915</v>
      </c>
      <c r="L745" t="s">
        <v>339</v>
      </c>
      <c r="M745">
        <v>13</v>
      </c>
      <c r="N745" t="s">
        <v>34</v>
      </c>
      <c r="O745" t="s">
        <v>35</v>
      </c>
      <c r="Q745" t="s">
        <v>36</v>
      </c>
      <c r="R745">
        <v>20</v>
      </c>
      <c r="S745" t="s">
        <v>37</v>
      </c>
      <c r="T745" t="s">
        <v>88</v>
      </c>
      <c r="U745">
        <v>2</v>
      </c>
      <c r="V745" t="s">
        <v>62</v>
      </c>
      <c r="W745" t="s">
        <v>51</v>
      </c>
      <c r="X745" t="s">
        <v>52</v>
      </c>
      <c r="Y745" t="s">
        <v>71</v>
      </c>
    </row>
    <row r="746" spans="1:25">
      <c r="A746" t="s">
        <v>2594</v>
      </c>
      <c r="B746" t="s">
        <v>2595</v>
      </c>
      <c r="C746" t="s">
        <v>27</v>
      </c>
      <c r="D746">
        <v>65</v>
      </c>
      <c r="E746" t="s">
        <v>28</v>
      </c>
      <c r="F746" t="s">
        <v>29</v>
      </c>
      <c r="G746" t="s">
        <v>93</v>
      </c>
      <c r="H746" t="s">
        <v>84</v>
      </c>
      <c r="I746" t="s">
        <v>302</v>
      </c>
      <c r="J746">
        <v>5</v>
      </c>
      <c r="K746" t="s">
        <v>86</v>
      </c>
      <c r="L746" t="s">
        <v>2596</v>
      </c>
      <c r="M746">
        <v>9</v>
      </c>
      <c r="N746" t="s">
        <v>34</v>
      </c>
      <c r="O746" t="s">
        <v>35</v>
      </c>
      <c r="Q746" t="s">
        <v>36</v>
      </c>
      <c r="R746">
        <v>35</v>
      </c>
      <c r="S746" t="s">
        <v>49</v>
      </c>
      <c r="T746" t="s">
        <v>38</v>
      </c>
      <c r="U746">
        <v>1</v>
      </c>
      <c r="V746" t="s">
        <v>39</v>
      </c>
      <c r="W746" t="s">
        <v>51</v>
      </c>
      <c r="X746" t="s">
        <v>52</v>
      </c>
      <c r="Y746" t="s">
        <v>42</v>
      </c>
    </row>
    <row r="747" spans="1:25">
      <c r="A747" t="s">
        <v>2597</v>
      </c>
      <c r="B747" t="s">
        <v>2598</v>
      </c>
      <c r="C747" t="s">
        <v>80</v>
      </c>
      <c r="D747">
        <v>78</v>
      </c>
      <c r="E747" t="s">
        <v>92</v>
      </c>
      <c r="F747" t="s">
        <v>29</v>
      </c>
      <c r="G747" t="s">
        <v>83</v>
      </c>
      <c r="H747" t="s">
        <v>1804</v>
      </c>
      <c r="I747" t="s">
        <v>1716</v>
      </c>
      <c r="J747">
        <v>24</v>
      </c>
      <c r="K747" t="s">
        <v>319</v>
      </c>
      <c r="L747" t="s">
        <v>1716</v>
      </c>
      <c r="M747">
        <v>24</v>
      </c>
      <c r="N747" t="s">
        <v>68</v>
      </c>
      <c r="O747" t="s">
        <v>35</v>
      </c>
      <c r="Q747" t="s">
        <v>36</v>
      </c>
      <c r="R747">
        <v>50</v>
      </c>
      <c r="S747" t="s">
        <v>49</v>
      </c>
      <c r="T747" t="s">
        <v>69</v>
      </c>
      <c r="U747">
        <v>5</v>
      </c>
      <c r="V747" t="s">
        <v>89</v>
      </c>
      <c r="W747" t="s">
        <v>40</v>
      </c>
      <c r="X747" t="s">
        <v>109</v>
      </c>
      <c r="Y747" t="s">
        <v>53</v>
      </c>
    </row>
    <row r="748" spans="1:25">
      <c r="A748" t="s">
        <v>2599</v>
      </c>
      <c r="B748" t="s">
        <v>2600</v>
      </c>
      <c r="C748" t="s">
        <v>204</v>
      </c>
      <c r="D748">
        <v>79</v>
      </c>
      <c r="E748" t="s">
        <v>92</v>
      </c>
      <c r="F748" t="s">
        <v>29</v>
      </c>
      <c r="G748" t="s">
        <v>93</v>
      </c>
      <c r="H748" t="s">
        <v>707</v>
      </c>
      <c r="I748" t="s">
        <v>456</v>
      </c>
      <c r="J748">
        <v>24</v>
      </c>
      <c r="K748" t="s">
        <v>1019</v>
      </c>
      <c r="L748" t="s">
        <v>2601</v>
      </c>
      <c r="M748">
        <v>30</v>
      </c>
      <c r="N748" t="s">
        <v>34</v>
      </c>
      <c r="O748" t="s">
        <v>35</v>
      </c>
      <c r="Q748" t="s">
        <v>36</v>
      </c>
      <c r="R748">
        <v>50</v>
      </c>
      <c r="S748" t="s">
        <v>49</v>
      </c>
      <c r="T748" t="s">
        <v>88</v>
      </c>
      <c r="U748">
        <v>1</v>
      </c>
      <c r="V748" t="s">
        <v>89</v>
      </c>
      <c r="W748" t="s">
        <v>51</v>
      </c>
      <c r="X748" t="s">
        <v>52</v>
      </c>
      <c r="Y748" t="s">
        <v>42</v>
      </c>
    </row>
    <row r="749" spans="1:25">
      <c r="A749" t="s">
        <v>2602</v>
      </c>
      <c r="B749" t="s">
        <v>2603</v>
      </c>
      <c r="C749" t="s">
        <v>204</v>
      </c>
      <c r="D749">
        <v>79</v>
      </c>
      <c r="E749" t="s">
        <v>149</v>
      </c>
      <c r="F749" t="s">
        <v>29</v>
      </c>
      <c r="G749" t="s">
        <v>30</v>
      </c>
      <c r="H749" t="s">
        <v>513</v>
      </c>
      <c r="I749" t="s">
        <v>1495</v>
      </c>
      <c r="J749">
        <v>6</v>
      </c>
      <c r="K749" t="s">
        <v>513</v>
      </c>
      <c r="L749" t="s">
        <v>539</v>
      </c>
      <c r="M749">
        <v>5</v>
      </c>
      <c r="N749" t="s">
        <v>68</v>
      </c>
      <c r="O749" t="s">
        <v>35</v>
      </c>
      <c r="Q749" t="s">
        <v>36</v>
      </c>
      <c r="R749">
        <v>40</v>
      </c>
      <c r="S749" t="s">
        <v>49</v>
      </c>
      <c r="T749" t="s">
        <v>164</v>
      </c>
      <c r="U749">
        <v>3</v>
      </c>
      <c r="V749" t="s">
        <v>62</v>
      </c>
      <c r="W749" t="s">
        <v>51</v>
      </c>
      <c r="X749" t="s">
        <v>52</v>
      </c>
      <c r="Y749" t="s">
        <v>53</v>
      </c>
    </row>
    <row r="750" spans="1:25">
      <c r="A750" t="s">
        <v>2604</v>
      </c>
      <c r="B750" t="s">
        <v>2605</v>
      </c>
      <c r="C750" t="s">
        <v>27</v>
      </c>
      <c r="D750">
        <v>150</v>
      </c>
      <c r="E750" t="s">
        <v>92</v>
      </c>
      <c r="F750" t="s">
        <v>29</v>
      </c>
      <c r="G750" t="s">
        <v>30</v>
      </c>
      <c r="H750" t="s">
        <v>251</v>
      </c>
      <c r="I750" t="s">
        <v>2606</v>
      </c>
      <c r="J750">
        <v>24</v>
      </c>
      <c r="K750" t="s">
        <v>253</v>
      </c>
      <c r="L750" t="s">
        <v>786</v>
      </c>
      <c r="M750">
        <v>30</v>
      </c>
      <c r="N750" t="s">
        <v>34</v>
      </c>
      <c r="O750" t="s">
        <v>35</v>
      </c>
      <c r="Q750" t="s">
        <v>36</v>
      </c>
      <c r="R750">
        <v>50</v>
      </c>
      <c r="S750" t="s">
        <v>49</v>
      </c>
      <c r="T750" t="s">
        <v>69</v>
      </c>
      <c r="U750">
        <v>3</v>
      </c>
      <c r="V750" t="s">
        <v>62</v>
      </c>
      <c r="W750" t="s">
        <v>51</v>
      </c>
      <c r="X750" t="s">
        <v>52</v>
      </c>
      <c r="Y750" t="s">
        <v>71</v>
      </c>
    </row>
    <row r="751" spans="1:25">
      <c r="A751" t="s">
        <v>2607</v>
      </c>
      <c r="B751" t="s">
        <v>2608</v>
      </c>
      <c r="C751" t="s">
        <v>56</v>
      </c>
      <c r="D751">
        <v>87</v>
      </c>
      <c r="E751" t="s">
        <v>149</v>
      </c>
      <c r="F751" t="s">
        <v>29</v>
      </c>
      <c r="G751" t="s">
        <v>30</v>
      </c>
      <c r="H751" t="s">
        <v>337</v>
      </c>
      <c r="I751" t="s">
        <v>292</v>
      </c>
      <c r="J751">
        <v>6</v>
      </c>
      <c r="K751" t="s">
        <v>337</v>
      </c>
      <c r="L751" t="s">
        <v>269</v>
      </c>
      <c r="M751">
        <v>14</v>
      </c>
      <c r="N751" t="s">
        <v>34</v>
      </c>
      <c r="O751" t="s">
        <v>35</v>
      </c>
      <c r="Q751" t="s">
        <v>36</v>
      </c>
      <c r="R751">
        <v>40</v>
      </c>
      <c r="S751" t="s">
        <v>37</v>
      </c>
      <c r="T751" t="s">
        <v>50</v>
      </c>
      <c r="U751">
        <v>2</v>
      </c>
      <c r="V751" t="s">
        <v>70</v>
      </c>
      <c r="W751" t="s">
        <v>40</v>
      </c>
      <c r="X751" t="s">
        <v>109</v>
      </c>
      <c r="Y751" t="s">
        <v>53</v>
      </c>
    </row>
    <row r="752" spans="1:25">
      <c r="A752" t="s">
        <v>2609</v>
      </c>
      <c r="B752" t="s">
        <v>2610</v>
      </c>
      <c r="C752" t="s">
        <v>80</v>
      </c>
      <c r="D752">
        <v>54</v>
      </c>
      <c r="E752" t="s">
        <v>149</v>
      </c>
      <c r="F752" t="s">
        <v>29</v>
      </c>
      <c r="G752" t="s">
        <v>30</v>
      </c>
      <c r="H752" t="s">
        <v>595</v>
      </c>
      <c r="I752" t="s">
        <v>1342</v>
      </c>
      <c r="J752">
        <v>6</v>
      </c>
      <c r="K752" t="s">
        <v>431</v>
      </c>
      <c r="L752" t="s">
        <v>2611</v>
      </c>
      <c r="M752">
        <v>13</v>
      </c>
      <c r="N752" t="s">
        <v>34</v>
      </c>
      <c r="O752" t="s">
        <v>35</v>
      </c>
      <c r="Q752" t="s">
        <v>36</v>
      </c>
      <c r="R752">
        <v>40</v>
      </c>
      <c r="S752" t="s">
        <v>37</v>
      </c>
      <c r="T752" t="s">
        <v>69</v>
      </c>
      <c r="U752">
        <v>3</v>
      </c>
      <c r="V752" t="s">
        <v>89</v>
      </c>
      <c r="W752" t="s">
        <v>103</v>
      </c>
      <c r="X752" t="s">
        <v>41</v>
      </c>
      <c r="Y752" t="s">
        <v>42</v>
      </c>
    </row>
    <row r="753" spans="1:25">
      <c r="A753" t="s">
        <v>2612</v>
      </c>
      <c r="B753" t="s">
        <v>2613</v>
      </c>
      <c r="C753" t="s">
        <v>204</v>
      </c>
      <c r="D753">
        <v>16</v>
      </c>
      <c r="E753" t="s">
        <v>57</v>
      </c>
      <c r="F753" t="s">
        <v>29</v>
      </c>
      <c r="G753" t="s">
        <v>58</v>
      </c>
      <c r="H753" t="s">
        <v>205</v>
      </c>
      <c r="I753" t="s">
        <v>169</v>
      </c>
      <c r="J753">
        <v>3</v>
      </c>
      <c r="K753" t="s">
        <v>205</v>
      </c>
      <c r="L753" t="s">
        <v>1355</v>
      </c>
      <c r="M753">
        <v>2</v>
      </c>
      <c r="N753" t="s">
        <v>68</v>
      </c>
      <c r="O753" t="s">
        <v>35</v>
      </c>
      <c r="Q753" t="s">
        <v>36</v>
      </c>
      <c r="R753">
        <v>15</v>
      </c>
      <c r="S753" t="s">
        <v>77</v>
      </c>
      <c r="T753" t="s">
        <v>96</v>
      </c>
      <c r="U753">
        <v>4</v>
      </c>
      <c r="V753" t="s">
        <v>70</v>
      </c>
      <c r="W753" t="s">
        <v>40</v>
      </c>
      <c r="X753" t="s">
        <v>109</v>
      </c>
      <c r="Y753" t="s">
        <v>53</v>
      </c>
    </row>
    <row r="754" spans="1:25">
      <c r="A754" t="s">
        <v>2614</v>
      </c>
      <c r="B754" t="s">
        <v>2615</v>
      </c>
      <c r="C754" t="s">
        <v>27</v>
      </c>
      <c r="D754">
        <v>7</v>
      </c>
      <c r="E754" t="s">
        <v>92</v>
      </c>
      <c r="F754" t="s">
        <v>29</v>
      </c>
      <c r="G754" t="s">
        <v>58</v>
      </c>
      <c r="H754" t="s">
        <v>1092</v>
      </c>
      <c r="I754" t="s">
        <v>1871</v>
      </c>
      <c r="J754">
        <v>24</v>
      </c>
      <c r="K754" t="s">
        <v>1097</v>
      </c>
      <c r="L754" t="s">
        <v>2425</v>
      </c>
      <c r="M754">
        <v>30</v>
      </c>
      <c r="N754" t="s">
        <v>34</v>
      </c>
      <c r="O754" t="s">
        <v>35</v>
      </c>
      <c r="Q754" t="s">
        <v>36</v>
      </c>
      <c r="R754">
        <v>50</v>
      </c>
      <c r="S754" t="s">
        <v>49</v>
      </c>
      <c r="T754" t="s">
        <v>96</v>
      </c>
      <c r="U754">
        <v>1</v>
      </c>
      <c r="V754" t="s">
        <v>62</v>
      </c>
      <c r="W754" t="s">
        <v>103</v>
      </c>
      <c r="X754" t="s">
        <v>109</v>
      </c>
      <c r="Y754" t="s">
        <v>53</v>
      </c>
    </row>
    <row r="755" spans="1:25">
      <c r="A755" t="s">
        <v>2616</v>
      </c>
      <c r="B755" t="s">
        <v>2617</v>
      </c>
      <c r="C755" t="s">
        <v>204</v>
      </c>
      <c r="D755">
        <v>72</v>
      </c>
      <c r="E755" t="s">
        <v>81</v>
      </c>
      <c r="F755" t="s">
        <v>82</v>
      </c>
      <c r="G755" t="s">
        <v>83</v>
      </c>
      <c r="H755" t="s">
        <v>338</v>
      </c>
      <c r="I755" t="s">
        <v>1382</v>
      </c>
      <c r="J755">
        <v>8</v>
      </c>
      <c r="K755" t="s">
        <v>615</v>
      </c>
      <c r="L755" t="s">
        <v>2618</v>
      </c>
      <c r="M755">
        <v>15</v>
      </c>
      <c r="N755" t="s">
        <v>34</v>
      </c>
      <c r="O755" t="s">
        <v>35</v>
      </c>
      <c r="Q755" t="s">
        <v>36</v>
      </c>
      <c r="R755">
        <v>20</v>
      </c>
      <c r="S755" t="s">
        <v>37</v>
      </c>
      <c r="T755" t="s">
        <v>38</v>
      </c>
      <c r="U755">
        <v>3</v>
      </c>
      <c r="V755" t="s">
        <v>39</v>
      </c>
      <c r="W755" t="s">
        <v>165</v>
      </c>
      <c r="X755" t="s">
        <v>109</v>
      </c>
      <c r="Y755" t="s">
        <v>42</v>
      </c>
    </row>
    <row r="756" spans="1:25">
      <c r="A756" t="s">
        <v>2619</v>
      </c>
      <c r="B756" t="s">
        <v>2620</v>
      </c>
      <c r="C756" t="s">
        <v>80</v>
      </c>
      <c r="D756">
        <v>63</v>
      </c>
      <c r="E756" t="s">
        <v>149</v>
      </c>
      <c r="F756" t="s">
        <v>29</v>
      </c>
      <c r="G756" t="s">
        <v>30</v>
      </c>
      <c r="H756" t="s">
        <v>473</v>
      </c>
      <c r="I756" t="s">
        <v>1467</v>
      </c>
      <c r="J756">
        <v>6</v>
      </c>
      <c r="K756" t="s">
        <v>473</v>
      </c>
      <c r="L756" t="s">
        <v>306</v>
      </c>
      <c r="M756">
        <v>6</v>
      </c>
      <c r="N756" t="s">
        <v>68</v>
      </c>
      <c r="O756" t="s">
        <v>35</v>
      </c>
      <c r="Q756" t="s">
        <v>36</v>
      </c>
      <c r="R756">
        <v>40</v>
      </c>
      <c r="S756" t="s">
        <v>77</v>
      </c>
      <c r="T756" t="s">
        <v>50</v>
      </c>
      <c r="U756">
        <v>2</v>
      </c>
      <c r="V756" t="s">
        <v>62</v>
      </c>
      <c r="W756" t="s">
        <v>165</v>
      </c>
      <c r="X756" t="s">
        <v>41</v>
      </c>
      <c r="Y756" t="s">
        <v>71</v>
      </c>
    </row>
    <row r="757" spans="1:25">
      <c r="A757" t="s">
        <v>2621</v>
      </c>
      <c r="B757" t="s">
        <v>2622</v>
      </c>
      <c r="C757" t="s">
        <v>56</v>
      </c>
      <c r="D757">
        <v>67</v>
      </c>
      <c r="E757" t="s">
        <v>57</v>
      </c>
      <c r="F757" t="s">
        <v>29</v>
      </c>
      <c r="G757" t="s">
        <v>58</v>
      </c>
      <c r="H757" t="s">
        <v>1069</v>
      </c>
      <c r="I757" t="s">
        <v>2623</v>
      </c>
      <c r="J757">
        <v>3</v>
      </c>
      <c r="K757" t="s">
        <v>1069</v>
      </c>
      <c r="L757" t="s">
        <v>306</v>
      </c>
      <c r="M757">
        <v>5</v>
      </c>
      <c r="N757" t="s">
        <v>34</v>
      </c>
      <c r="O757" t="s">
        <v>270</v>
      </c>
      <c r="P757" t="s">
        <v>391</v>
      </c>
      <c r="Q757" t="s">
        <v>36</v>
      </c>
      <c r="R757">
        <v>15</v>
      </c>
      <c r="S757" t="s">
        <v>49</v>
      </c>
      <c r="T757" t="s">
        <v>38</v>
      </c>
      <c r="U757">
        <v>5</v>
      </c>
      <c r="V757" t="s">
        <v>62</v>
      </c>
      <c r="W757" t="s">
        <v>51</v>
      </c>
      <c r="X757" t="s">
        <v>109</v>
      </c>
      <c r="Y757" t="s">
        <v>53</v>
      </c>
    </row>
    <row r="758" spans="1:25">
      <c r="A758" t="s">
        <v>2624</v>
      </c>
      <c r="B758" t="s">
        <v>2625</v>
      </c>
      <c r="C758" t="s">
        <v>56</v>
      </c>
      <c r="D758">
        <v>33</v>
      </c>
      <c r="E758" t="s">
        <v>81</v>
      </c>
      <c r="F758" t="s">
        <v>82</v>
      </c>
      <c r="G758" t="s">
        <v>83</v>
      </c>
      <c r="H758" t="s">
        <v>446</v>
      </c>
      <c r="I758" t="s">
        <v>2626</v>
      </c>
      <c r="J758">
        <v>8</v>
      </c>
      <c r="K758" t="s">
        <v>446</v>
      </c>
      <c r="L758" t="s">
        <v>2627</v>
      </c>
      <c r="M758">
        <v>9</v>
      </c>
      <c r="N758" t="s">
        <v>34</v>
      </c>
      <c r="O758" t="s">
        <v>35</v>
      </c>
      <c r="Q758" t="s">
        <v>132</v>
      </c>
      <c r="R758">
        <v>20</v>
      </c>
      <c r="S758" t="s">
        <v>37</v>
      </c>
      <c r="T758" t="s">
        <v>164</v>
      </c>
      <c r="U758">
        <v>3</v>
      </c>
      <c r="V758" t="s">
        <v>70</v>
      </c>
      <c r="W758" t="s">
        <v>165</v>
      </c>
      <c r="X758" t="s">
        <v>109</v>
      </c>
      <c r="Y758" t="s">
        <v>53</v>
      </c>
    </row>
    <row r="759" spans="1:25">
      <c r="A759" t="s">
        <v>2628</v>
      </c>
      <c r="B759" t="s">
        <v>2629</v>
      </c>
      <c r="C759" t="s">
        <v>27</v>
      </c>
      <c r="D759">
        <v>84</v>
      </c>
      <c r="E759" t="s">
        <v>173</v>
      </c>
      <c r="F759" t="s">
        <v>29</v>
      </c>
      <c r="G759" t="s">
        <v>168</v>
      </c>
      <c r="H759" t="s">
        <v>526</v>
      </c>
      <c r="I759" t="s">
        <v>864</v>
      </c>
      <c r="J759">
        <v>4</v>
      </c>
      <c r="K759" t="s">
        <v>526</v>
      </c>
      <c r="L759" t="s">
        <v>2630</v>
      </c>
      <c r="M759">
        <v>7</v>
      </c>
      <c r="N759" t="s">
        <v>34</v>
      </c>
      <c r="O759" t="s">
        <v>270</v>
      </c>
      <c r="P759" t="s">
        <v>620</v>
      </c>
      <c r="Q759" t="s">
        <v>36</v>
      </c>
      <c r="R759">
        <v>25</v>
      </c>
      <c r="S759" t="s">
        <v>49</v>
      </c>
      <c r="T759" t="s">
        <v>50</v>
      </c>
      <c r="U759">
        <v>4</v>
      </c>
      <c r="V759" t="s">
        <v>39</v>
      </c>
      <c r="W759" t="s">
        <v>51</v>
      </c>
      <c r="X759" t="s">
        <v>52</v>
      </c>
      <c r="Y759" t="s">
        <v>42</v>
      </c>
    </row>
    <row r="760" spans="1:25">
      <c r="A760" t="s">
        <v>2631</v>
      </c>
      <c r="B760" t="s">
        <v>2632</v>
      </c>
      <c r="C760" t="s">
        <v>80</v>
      </c>
      <c r="D760">
        <v>18</v>
      </c>
      <c r="E760" t="s">
        <v>57</v>
      </c>
      <c r="F760" t="s">
        <v>29</v>
      </c>
      <c r="G760" t="s">
        <v>58</v>
      </c>
      <c r="H760" t="s">
        <v>1235</v>
      </c>
      <c r="I760" t="s">
        <v>771</v>
      </c>
      <c r="J760">
        <v>3</v>
      </c>
      <c r="K760" t="s">
        <v>1235</v>
      </c>
      <c r="L760" t="s">
        <v>1741</v>
      </c>
      <c r="M760">
        <v>10</v>
      </c>
      <c r="N760" t="s">
        <v>34</v>
      </c>
      <c r="O760" t="s">
        <v>270</v>
      </c>
      <c r="P760" t="s">
        <v>620</v>
      </c>
      <c r="Q760" t="s">
        <v>36</v>
      </c>
      <c r="R760">
        <v>15</v>
      </c>
      <c r="S760" t="s">
        <v>37</v>
      </c>
      <c r="T760" t="s">
        <v>88</v>
      </c>
      <c r="U760">
        <v>4</v>
      </c>
      <c r="V760" t="s">
        <v>89</v>
      </c>
      <c r="W760" t="s">
        <v>51</v>
      </c>
      <c r="X760" t="s">
        <v>109</v>
      </c>
      <c r="Y760" t="s">
        <v>53</v>
      </c>
    </row>
    <row r="761" spans="1:25">
      <c r="A761" t="s">
        <v>2633</v>
      </c>
      <c r="B761" t="s">
        <v>2634</v>
      </c>
      <c r="C761" t="s">
        <v>56</v>
      </c>
      <c r="D761">
        <v>17</v>
      </c>
      <c r="E761" t="s">
        <v>28</v>
      </c>
      <c r="F761" t="s">
        <v>29</v>
      </c>
      <c r="G761" t="s">
        <v>30</v>
      </c>
      <c r="H761" t="s">
        <v>1440</v>
      </c>
      <c r="I761" t="s">
        <v>1671</v>
      </c>
      <c r="J761">
        <v>5</v>
      </c>
      <c r="K761" t="s">
        <v>369</v>
      </c>
      <c r="L761" t="s">
        <v>2635</v>
      </c>
      <c r="M761">
        <v>8</v>
      </c>
      <c r="N761" t="s">
        <v>34</v>
      </c>
      <c r="O761" t="s">
        <v>35</v>
      </c>
      <c r="Q761" t="s">
        <v>36</v>
      </c>
      <c r="R761">
        <v>35</v>
      </c>
      <c r="S761" t="s">
        <v>77</v>
      </c>
      <c r="T761" t="s">
        <v>164</v>
      </c>
      <c r="U761">
        <v>3</v>
      </c>
      <c r="V761" t="s">
        <v>89</v>
      </c>
      <c r="W761" t="s">
        <v>40</v>
      </c>
      <c r="X761" t="s">
        <v>41</v>
      </c>
      <c r="Y761" t="s">
        <v>53</v>
      </c>
    </row>
    <row r="762" spans="1:25">
      <c r="A762" t="s">
        <v>2636</v>
      </c>
      <c r="B762" t="s">
        <v>2637</v>
      </c>
      <c r="C762" t="s">
        <v>27</v>
      </c>
      <c r="D762">
        <v>38</v>
      </c>
      <c r="E762" t="s">
        <v>81</v>
      </c>
      <c r="F762" t="s">
        <v>82</v>
      </c>
      <c r="G762" t="s">
        <v>45</v>
      </c>
      <c r="H762" t="s">
        <v>728</v>
      </c>
      <c r="I762" t="s">
        <v>2638</v>
      </c>
      <c r="J762">
        <v>8</v>
      </c>
      <c r="K762" t="s">
        <v>728</v>
      </c>
      <c r="L762" t="s">
        <v>1302</v>
      </c>
      <c r="M762">
        <v>12</v>
      </c>
      <c r="N762" t="s">
        <v>34</v>
      </c>
      <c r="O762" t="s">
        <v>35</v>
      </c>
      <c r="Q762" t="s">
        <v>36</v>
      </c>
      <c r="R762">
        <v>20</v>
      </c>
      <c r="S762" t="s">
        <v>77</v>
      </c>
      <c r="T762" t="s">
        <v>50</v>
      </c>
      <c r="U762">
        <v>2</v>
      </c>
      <c r="V762" t="s">
        <v>62</v>
      </c>
      <c r="W762" t="s">
        <v>40</v>
      </c>
      <c r="X762" t="s">
        <v>41</v>
      </c>
      <c r="Y762" t="s">
        <v>53</v>
      </c>
    </row>
    <row r="763" spans="1:25">
      <c r="A763" t="s">
        <v>2639</v>
      </c>
      <c r="B763" t="s">
        <v>2640</v>
      </c>
      <c r="C763" t="s">
        <v>56</v>
      </c>
      <c r="D763">
        <v>8</v>
      </c>
      <c r="E763" t="s">
        <v>57</v>
      </c>
      <c r="F763" t="s">
        <v>29</v>
      </c>
      <c r="G763" t="s">
        <v>150</v>
      </c>
      <c r="H763" t="s">
        <v>300</v>
      </c>
      <c r="I763" t="s">
        <v>2641</v>
      </c>
      <c r="J763">
        <v>3</v>
      </c>
      <c r="K763" t="s">
        <v>300</v>
      </c>
      <c r="L763" t="s">
        <v>1664</v>
      </c>
      <c r="M763">
        <v>4</v>
      </c>
      <c r="N763" t="s">
        <v>34</v>
      </c>
      <c r="O763" t="s">
        <v>35</v>
      </c>
      <c r="Q763" t="s">
        <v>36</v>
      </c>
      <c r="R763">
        <v>15</v>
      </c>
      <c r="S763" t="s">
        <v>37</v>
      </c>
      <c r="T763" t="s">
        <v>164</v>
      </c>
      <c r="U763">
        <v>3</v>
      </c>
      <c r="V763" t="s">
        <v>39</v>
      </c>
      <c r="W763" t="s">
        <v>103</v>
      </c>
      <c r="X763" t="s">
        <v>109</v>
      </c>
      <c r="Y763" t="s">
        <v>71</v>
      </c>
    </row>
    <row r="764" spans="1:25">
      <c r="A764" t="s">
        <v>2642</v>
      </c>
      <c r="B764" t="s">
        <v>2643</v>
      </c>
      <c r="C764" t="s">
        <v>27</v>
      </c>
      <c r="D764">
        <v>83</v>
      </c>
      <c r="E764" t="s">
        <v>92</v>
      </c>
      <c r="F764" t="s">
        <v>29</v>
      </c>
      <c r="G764" t="s">
        <v>150</v>
      </c>
      <c r="H764" t="s">
        <v>500</v>
      </c>
      <c r="I764" t="s">
        <v>2644</v>
      </c>
      <c r="J764">
        <v>24</v>
      </c>
      <c r="K764" t="s">
        <v>151</v>
      </c>
      <c r="L764" t="s">
        <v>302</v>
      </c>
      <c r="M764">
        <v>29</v>
      </c>
      <c r="N764" t="s">
        <v>34</v>
      </c>
      <c r="O764" t="s">
        <v>35</v>
      </c>
      <c r="Q764" t="s">
        <v>36</v>
      </c>
      <c r="R764">
        <v>50</v>
      </c>
      <c r="S764" t="s">
        <v>77</v>
      </c>
      <c r="T764" t="s">
        <v>69</v>
      </c>
      <c r="U764">
        <v>1</v>
      </c>
      <c r="V764" t="s">
        <v>70</v>
      </c>
      <c r="W764" t="s">
        <v>165</v>
      </c>
      <c r="X764" t="s">
        <v>109</v>
      </c>
      <c r="Y764" t="s">
        <v>71</v>
      </c>
    </row>
    <row r="765" spans="1:25">
      <c r="A765" t="s">
        <v>2645</v>
      </c>
      <c r="B765" t="s">
        <v>2646</v>
      </c>
      <c r="C765" t="s">
        <v>56</v>
      </c>
      <c r="D765">
        <v>12</v>
      </c>
      <c r="E765" t="s">
        <v>92</v>
      </c>
      <c r="F765" t="s">
        <v>29</v>
      </c>
      <c r="G765" t="s">
        <v>168</v>
      </c>
      <c r="H765" t="s">
        <v>572</v>
      </c>
      <c r="I765" t="s">
        <v>2470</v>
      </c>
      <c r="J765">
        <v>24</v>
      </c>
      <c r="K765" t="s">
        <v>300</v>
      </c>
      <c r="L765" t="s">
        <v>2470</v>
      </c>
      <c r="M765">
        <v>24</v>
      </c>
      <c r="N765" t="s">
        <v>68</v>
      </c>
      <c r="O765" t="s">
        <v>35</v>
      </c>
      <c r="Q765" t="s">
        <v>36</v>
      </c>
      <c r="R765">
        <v>50</v>
      </c>
      <c r="S765" t="s">
        <v>37</v>
      </c>
      <c r="T765" t="s">
        <v>38</v>
      </c>
      <c r="U765">
        <v>4</v>
      </c>
      <c r="V765" t="s">
        <v>62</v>
      </c>
      <c r="W765" t="s">
        <v>165</v>
      </c>
      <c r="X765" t="s">
        <v>109</v>
      </c>
      <c r="Y765" t="s">
        <v>42</v>
      </c>
    </row>
    <row r="766" spans="1:25">
      <c r="A766" t="s">
        <v>2647</v>
      </c>
      <c r="B766" t="s">
        <v>2648</v>
      </c>
      <c r="C766" t="s">
        <v>204</v>
      </c>
      <c r="D766">
        <v>82</v>
      </c>
      <c r="E766" t="s">
        <v>92</v>
      </c>
      <c r="F766" t="s">
        <v>29</v>
      </c>
      <c r="G766" t="s">
        <v>150</v>
      </c>
      <c r="H766" t="s">
        <v>411</v>
      </c>
      <c r="I766" t="s">
        <v>316</v>
      </c>
      <c r="J766">
        <v>24</v>
      </c>
      <c r="K766" t="s">
        <v>413</v>
      </c>
      <c r="L766" t="s">
        <v>2649</v>
      </c>
      <c r="M766">
        <v>31</v>
      </c>
      <c r="N766" t="s">
        <v>34</v>
      </c>
      <c r="O766" t="s">
        <v>35</v>
      </c>
      <c r="Q766" t="s">
        <v>36</v>
      </c>
      <c r="R766">
        <v>50</v>
      </c>
      <c r="S766" t="s">
        <v>49</v>
      </c>
      <c r="T766" t="s">
        <v>38</v>
      </c>
      <c r="U766">
        <v>5</v>
      </c>
      <c r="V766" t="s">
        <v>62</v>
      </c>
      <c r="W766" t="s">
        <v>165</v>
      </c>
      <c r="X766" t="s">
        <v>109</v>
      </c>
      <c r="Y766" t="s">
        <v>42</v>
      </c>
    </row>
    <row r="767" spans="1:25">
      <c r="A767" t="s">
        <v>2650</v>
      </c>
      <c r="B767" t="s">
        <v>2651</v>
      </c>
      <c r="C767" t="s">
        <v>56</v>
      </c>
      <c r="D767">
        <v>88</v>
      </c>
      <c r="E767" t="s">
        <v>81</v>
      </c>
      <c r="F767" t="s">
        <v>82</v>
      </c>
      <c r="G767" t="s">
        <v>30</v>
      </c>
      <c r="H767" t="s">
        <v>31</v>
      </c>
      <c r="I767" t="s">
        <v>1760</v>
      </c>
      <c r="J767">
        <v>8</v>
      </c>
      <c r="K767" t="s">
        <v>31</v>
      </c>
      <c r="L767" t="s">
        <v>1324</v>
      </c>
      <c r="M767">
        <v>7</v>
      </c>
      <c r="N767" t="s">
        <v>68</v>
      </c>
      <c r="O767" t="s">
        <v>35</v>
      </c>
      <c r="Q767" t="s">
        <v>36</v>
      </c>
      <c r="R767">
        <v>20</v>
      </c>
      <c r="S767" t="s">
        <v>77</v>
      </c>
      <c r="T767" t="s">
        <v>69</v>
      </c>
      <c r="U767">
        <v>2</v>
      </c>
      <c r="V767" t="s">
        <v>39</v>
      </c>
      <c r="W767" t="s">
        <v>165</v>
      </c>
      <c r="X767" t="s">
        <v>52</v>
      </c>
      <c r="Y767" t="s">
        <v>53</v>
      </c>
    </row>
    <row r="768" spans="1:25">
      <c r="A768" t="s">
        <v>2652</v>
      </c>
      <c r="B768" t="s">
        <v>2653</v>
      </c>
      <c r="C768" t="s">
        <v>27</v>
      </c>
      <c r="D768">
        <v>58</v>
      </c>
      <c r="E768" t="s">
        <v>173</v>
      </c>
      <c r="F768" t="s">
        <v>29</v>
      </c>
      <c r="G768" t="s">
        <v>58</v>
      </c>
      <c r="H768" t="s">
        <v>199</v>
      </c>
      <c r="I768" t="s">
        <v>1960</v>
      </c>
      <c r="J768">
        <v>4</v>
      </c>
      <c r="K768" t="s">
        <v>199</v>
      </c>
      <c r="L768" t="s">
        <v>2654</v>
      </c>
      <c r="M768">
        <v>9</v>
      </c>
      <c r="N768" t="s">
        <v>34</v>
      </c>
      <c r="O768" t="s">
        <v>35</v>
      </c>
      <c r="Q768" t="s">
        <v>36</v>
      </c>
      <c r="R768">
        <v>25</v>
      </c>
      <c r="S768" t="s">
        <v>77</v>
      </c>
      <c r="T768" t="s">
        <v>38</v>
      </c>
      <c r="U768">
        <v>4</v>
      </c>
      <c r="V768" t="s">
        <v>39</v>
      </c>
      <c r="W768" t="s">
        <v>103</v>
      </c>
      <c r="X768" t="s">
        <v>41</v>
      </c>
      <c r="Y768" t="s">
        <v>53</v>
      </c>
    </row>
    <row r="769" spans="1:25">
      <c r="A769" t="s">
        <v>2655</v>
      </c>
      <c r="B769" t="s">
        <v>2656</v>
      </c>
      <c r="C769" t="s">
        <v>56</v>
      </c>
      <c r="D769">
        <v>88</v>
      </c>
      <c r="E769" t="s">
        <v>28</v>
      </c>
      <c r="F769" t="s">
        <v>29</v>
      </c>
      <c r="G769" t="s">
        <v>30</v>
      </c>
      <c r="H769" t="s">
        <v>910</v>
      </c>
      <c r="I769" t="s">
        <v>2657</v>
      </c>
      <c r="J769">
        <v>5</v>
      </c>
      <c r="K769" t="s">
        <v>910</v>
      </c>
      <c r="L769" t="s">
        <v>1327</v>
      </c>
      <c r="M769">
        <v>5</v>
      </c>
      <c r="N769" t="s">
        <v>68</v>
      </c>
      <c r="O769" t="s">
        <v>35</v>
      </c>
      <c r="Q769" t="s">
        <v>36</v>
      </c>
      <c r="R769">
        <v>35</v>
      </c>
      <c r="S769" t="s">
        <v>49</v>
      </c>
      <c r="T769" t="s">
        <v>38</v>
      </c>
      <c r="U769">
        <v>3</v>
      </c>
      <c r="V769" t="s">
        <v>62</v>
      </c>
      <c r="W769" t="s">
        <v>103</v>
      </c>
      <c r="X769" t="s">
        <v>109</v>
      </c>
      <c r="Y769" t="s">
        <v>42</v>
      </c>
    </row>
    <row r="770" spans="1:25">
      <c r="A770" t="s">
        <v>2658</v>
      </c>
      <c r="B770" t="s">
        <v>2659</v>
      </c>
      <c r="C770" t="s">
        <v>56</v>
      </c>
      <c r="D770">
        <v>85</v>
      </c>
      <c r="E770" t="s">
        <v>92</v>
      </c>
      <c r="F770" t="s">
        <v>29</v>
      </c>
      <c r="G770" t="s">
        <v>83</v>
      </c>
      <c r="H770" t="s">
        <v>205</v>
      </c>
      <c r="I770" t="s">
        <v>1277</v>
      </c>
      <c r="J770">
        <v>24</v>
      </c>
      <c r="K770" t="s">
        <v>207</v>
      </c>
      <c r="L770" t="s">
        <v>1277</v>
      </c>
      <c r="M770">
        <v>24</v>
      </c>
      <c r="N770" t="s">
        <v>68</v>
      </c>
      <c r="O770" t="s">
        <v>35</v>
      </c>
      <c r="Q770" t="s">
        <v>36</v>
      </c>
      <c r="R770">
        <v>50</v>
      </c>
      <c r="S770" t="s">
        <v>77</v>
      </c>
      <c r="T770" t="s">
        <v>69</v>
      </c>
      <c r="U770">
        <v>3</v>
      </c>
      <c r="V770" t="s">
        <v>62</v>
      </c>
      <c r="W770" t="s">
        <v>40</v>
      </c>
      <c r="X770" t="s">
        <v>52</v>
      </c>
      <c r="Y770" t="s">
        <v>42</v>
      </c>
    </row>
    <row r="771" spans="1:25">
      <c r="A771" t="s">
        <v>2660</v>
      </c>
      <c r="B771" t="s">
        <v>2661</v>
      </c>
      <c r="C771" t="s">
        <v>56</v>
      </c>
      <c r="D771">
        <v>41</v>
      </c>
      <c r="E771" t="s">
        <v>57</v>
      </c>
      <c r="F771" t="s">
        <v>29</v>
      </c>
      <c r="G771" t="s">
        <v>83</v>
      </c>
      <c r="H771" t="s">
        <v>1293</v>
      </c>
      <c r="I771" t="s">
        <v>302</v>
      </c>
      <c r="J771">
        <v>3</v>
      </c>
      <c r="K771" t="s">
        <v>1293</v>
      </c>
      <c r="L771" t="s">
        <v>1154</v>
      </c>
      <c r="M771">
        <v>4</v>
      </c>
      <c r="N771" t="s">
        <v>34</v>
      </c>
      <c r="O771" t="s">
        <v>35</v>
      </c>
      <c r="Q771" t="s">
        <v>36</v>
      </c>
      <c r="R771">
        <v>15</v>
      </c>
      <c r="S771" t="s">
        <v>49</v>
      </c>
      <c r="T771" t="s">
        <v>164</v>
      </c>
      <c r="U771">
        <v>2</v>
      </c>
      <c r="V771" t="s">
        <v>70</v>
      </c>
      <c r="W771" t="s">
        <v>51</v>
      </c>
      <c r="X771" t="s">
        <v>52</v>
      </c>
      <c r="Y771" t="s">
        <v>42</v>
      </c>
    </row>
    <row r="772" spans="1:25">
      <c r="A772" t="s">
        <v>2662</v>
      </c>
      <c r="B772" t="s">
        <v>2663</v>
      </c>
      <c r="C772" t="s">
        <v>27</v>
      </c>
      <c r="D772">
        <v>9</v>
      </c>
      <c r="E772" t="s">
        <v>92</v>
      </c>
      <c r="F772" t="s">
        <v>29</v>
      </c>
      <c r="G772" t="s">
        <v>93</v>
      </c>
      <c r="H772" t="s">
        <v>1208</v>
      </c>
      <c r="I772" t="s">
        <v>301</v>
      </c>
      <c r="J772">
        <v>24</v>
      </c>
      <c r="K772" t="s">
        <v>919</v>
      </c>
      <c r="L772" t="s">
        <v>229</v>
      </c>
      <c r="M772">
        <v>23</v>
      </c>
      <c r="N772" t="s">
        <v>68</v>
      </c>
      <c r="O772" t="s">
        <v>35</v>
      </c>
      <c r="Q772" t="s">
        <v>36</v>
      </c>
      <c r="R772">
        <v>50</v>
      </c>
      <c r="S772" t="s">
        <v>49</v>
      </c>
      <c r="T772" t="s">
        <v>69</v>
      </c>
      <c r="U772">
        <v>4</v>
      </c>
      <c r="V772" t="s">
        <v>70</v>
      </c>
      <c r="W772" t="s">
        <v>51</v>
      </c>
      <c r="X772" t="s">
        <v>109</v>
      </c>
      <c r="Y772" t="s">
        <v>42</v>
      </c>
    </row>
    <row r="773" spans="1:25">
      <c r="A773" t="s">
        <v>2664</v>
      </c>
      <c r="B773" t="s">
        <v>2665</v>
      </c>
      <c r="C773" t="s">
        <v>56</v>
      </c>
      <c r="D773">
        <v>31</v>
      </c>
      <c r="E773" t="s">
        <v>81</v>
      </c>
      <c r="F773" t="s">
        <v>82</v>
      </c>
      <c r="G773" t="s">
        <v>83</v>
      </c>
      <c r="H773" t="s">
        <v>1213</v>
      </c>
      <c r="I773" t="s">
        <v>1047</v>
      </c>
      <c r="J773">
        <v>8</v>
      </c>
      <c r="K773" t="s">
        <v>1213</v>
      </c>
      <c r="L773" t="s">
        <v>1729</v>
      </c>
      <c r="M773">
        <v>9</v>
      </c>
      <c r="N773" t="s">
        <v>34</v>
      </c>
      <c r="O773" t="s">
        <v>35</v>
      </c>
      <c r="Q773" t="s">
        <v>36</v>
      </c>
      <c r="R773">
        <v>20</v>
      </c>
      <c r="S773" t="s">
        <v>77</v>
      </c>
      <c r="T773" t="s">
        <v>38</v>
      </c>
      <c r="U773">
        <v>3</v>
      </c>
      <c r="V773" t="s">
        <v>70</v>
      </c>
      <c r="W773" t="s">
        <v>165</v>
      </c>
      <c r="X773" t="s">
        <v>41</v>
      </c>
      <c r="Y773" t="s">
        <v>42</v>
      </c>
    </row>
    <row r="774" spans="1:25">
      <c r="A774" t="s">
        <v>2666</v>
      </c>
      <c r="B774" t="s">
        <v>2667</v>
      </c>
      <c r="C774" t="s">
        <v>204</v>
      </c>
      <c r="D774">
        <v>19</v>
      </c>
      <c r="E774" t="s">
        <v>28</v>
      </c>
      <c r="F774" t="s">
        <v>29</v>
      </c>
      <c r="G774" t="s">
        <v>30</v>
      </c>
      <c r="H774" t="s">
        <v>475</v>
      </c>
      <c r="I774" t="s">
        <v>531</v>
      </c>
      <c r="J774">
        <v>5</v>
      </c>
      <c r="K774" t="s">
        <v>475</v>
      </c>
      <c r="L774" t="s">
        <v>2668</v>
      </c>
      <c r="M774">
        <v>12</v>
      </c>
      <c r="N774" t="s">
        <v>34</v>
      </c>
      <c r="O774" t="s">
        <v>35</v>
      </c>
      <c r="Q774" t="s">
        <v>36</v>
      </c>
      <c r="R774">
        <v>35</v>
      </c>
      <c r="S774" t="s">
        <v>37</v>
      </c>
      <c r="T774" t="s">
        <v>96</v>
      </c>
      <c r="U774">
        <v>5</v>
      </c>
      <c r="V774" t="s">
        <v>70</v>
      </c>
      <c r="W774" t="s">
        <v>103</v>
      </c>
      <c r="X774" t="s">
        <v>41</v>
      </c>
      <c r="Y774" t="s">
        <v>42</v>
      </c>
    </row>
    <row r="775" spans="1:25">
      <c r="A775" t="s">
        <v>2669</v>
      </c>
      <c r="B775" t="s">
        <v>2670</v>
      </c>
      <c r="C775" t="s">
        <v>27</v>
      </c>
      <c r="D775">
        <v>15</v>
      </c>
      <c r="E775" t="s">
        <v>81</v>
      </c>
      <c r="F775" t="s">
        <v>82</v>
      </c>
      <c r="G775" t="s">
        <v>83</v>
      </c>
      <c r="H775" t="s">
        <v>247</v>
      </c>
      <c r="I775" t="s">
        <v>2671</v>
      </c>
      <c r="J775">
        <v>8</v>
      </c>
      <c r="K775" t="s">
        <v>586</v>
      </c>
      <c r="L775" t="s">
        <v>2488</v>
      </c>
      <c r="M775">
        <v>13</v>
      </c>
      <c r="N775" t="s">
        <v>34</v>
      </c>
      <c r="O775" t="s">
        <v>35</v>
      </c>
      <c r="Q775" t="s">
        <v>36</v>
      </c>
      <c r="R775">
        <v>20</v>
      </c>
      <c r="S775" t="s">
        <v>49</v>
      </c>
      <c r="T775" t="s">
        <v>38</v>
      </c>
      <c r="U775">
        <v>2</v>
      </c>
      <c r="V775" t="s">
        <v>62</v>
      </c>
      <c r="W775" t="s">
        <v>40</v>
      </c>
      <c r="X775" t="s">
        <v>109</v>
      </c>
      <c r="Y775" t="s">
        <v>53</v>
      </c>
    </row>
    <row r="776" spans="1:25">
      <c r="A776" t="s">
        <v>2672</v>
      </c>
      <c r="B776" t="s">
        <v>2673</v>
      </c>
      <c r="C776" t="s">
        <v>56</v>
      </c>
      <c r="D776">
        <v>53</v>
      </c>
      <c r="E776" t="s">
        <v>149</v>
      </c>
      <c r="F776" t="s">
        <v>29</v>
      </c>
      <c r="G776" t="s">
        <v>30</v>
      </c>
      <c r="H776" t="s">
        <v>602</v>
      </c>
      <c r="I776" t="s">
        <v>422</v>
      </c>
      <c r="J776">
        <v>6</v>
      </c>
      <c r="K776" t="s">
        <v>602</v>
      </c>
      <c r="L776" t="s">
        <v>2674</v>
      </c>
      <c r="M776">
        <v>6</v>
      </c>
      <c r="N776" t="s">
        <v>68</v>
      </c>
      <c r="O776" t="s">
        <v>35</v>
      </c>
      <c r="Q776" t="s">
        <v>36</v>
      </c>
      <c r="R776">
        <v>40</v>
      </c>
      <c r="S776" t="s">
        <v>37</v>
      </c>
      <c r="T776" t="s">
        <v>38</v>
      </c>
      <c r="U776">
        <v>5</v>
      </c>
      <c r="V776" t="s">
        <v>39</v>
      </c>
      <c r="W776" t="s">
        <v>40</v>
      </c>
      <c r="X776" t="s">
        <v>52</v>
      </c>
      <c r="Y776" t="s">
        <v>42</v>
      </c>
    </row>
    <row r="777" spans="1:25">
      <c r="A777" t="s">
        <v>2675</v>
      </c>
      <c r="B777" t="s">
        <v>2676</v>
      </c>
      <c r="C777" t="s">
        <v>80</v>
      </c>
      <c r="D777">
        <v>65</v>
      </c>
      <c r="E777" t="s">
        <v>81</v>
      </c>
      <c r="F777" t="s">
        <v>82</v>
      </c>
      <c r="G777" t="s">
        <v>83</v>
      </c>
      <c r="H777" t="s">
        <v>586</v>
      </c>
      <c r="I777" t="s">
        <v>1277</v>
      </c>
      <c r="J777">
        <v>8</v>
      </c>
      <c r="K777" t="s">
        <v>490</v>
      </c>
      <c r="L777" t="s">
        <v>2677</v>
      </c>
      <c r="M777">
        <v>10</v>
      </c>
      <c r="N777" t="s">
        <v>34</v>
      </c>
      <c r="O777" t="s">
        <v>35</v>
      </c>
      <c r="Q777" t="s">
        <v>36</v>
      </c>
      <c r="R777">
        <v>20</v>
      </c>
      <c r="S777" t="s">
        <v>49</v>
      </c>
      <c r="T777" t="s">
        <v>50</v>
      </c>
      <c r="U777">
        <v>4</v>
      </c>
      <c r="V777" t="s">
        <v>62</v>
      </c>
      <c r="W777" t="s">
        <v>51</v>
      </c>
      <c r="X777" t="s">
        <v>109</v>
      </c>
      <c r="Y777" t="s">
        <v>71</v>
      </c>
    </row>
    <row r="778" spans="1:25">
      <c r="A778" t="s">
        <v>2678</v>
      </c>
      <c r="B778" t="s">
        <v>2679</v>
      </c>
      <c r="C778" t="s">
        <v>80</v>
      </c>
      <c r="D778">
        <v>52</v>
      </c>
      <c r="E778" t="s">
        <v>28</v>
      </c>
      <c r="F778" t="s">
        <v>29</v>
      </c>
      <c r="G778" t="s">
        <v>30</v>
      </c>
      <c r="H778" t="s">
        <v>680</v>
      </c>
      <c r="I778" t="s">
        <v>175</v>
      </c>
      <c r="J778">
        <v>5</v>
      </c>
      <c r="K778" t="s">
        <v>680</v>
      </c>
      <c r="L778" t="s">
        <v>808</v>
      </c>
      <c r="M778">
        <v>5</v>
      </c>
      <c r="N778" t="s">
        <v>68</v>
      </c>
      <c r="O778" t="s">
        <v>35</v>
      </c>
      <c r="Q778" t="s">
        <v>36</v>
      </c>
      <c r="R778">
        <v>35</v>
      </c>
      <c r="S778" t="s">
        <v>77</v>
      </c>
      <c r="T778" t="s">
        <v>50</v>
      </c>
      <c r="U778">
        <v>2</v>
      </c>
      <c r="V778" t="s">
        <v>70</v>
      </c>
      <c r="W778" t="s">
        <v>51</v>
      </c>
      <c r="X778" t="s">
        <v>52</v>
      </c>
      <c r="Y778" t="s">
        <v>71</v>
      </c>
    </row>
    <row r="779" spans="1:25">
      <c r="A779" t="s">
        <v>2680</v>
      </c>
      <c r="B779" t="s">
        <v>2681</v>
      </c>
      <c r="C779" t="s">
        <v>27</v>
      </c>
      <c r="D779">
        <v>51</v>
      </c>
      <c r="E779" t="s">
        <v>92</v>
      </c>
      <c r="F779" t="s">
        <v>29</v>
      </c>
      <c r="G779" t="s">
        <v>93</v>
      </c>
      <c r="H779" t="s">
        <v>1266</v>
      </c>
      <c r="I779" t="s">
        <v>1642</v>
      </c>
      <c r="J779">
        <v>24</v>
      </c>
      <c r="K779" t="s">
        <v>1177</v>
      </c>
      <c r="L779" t="s">
        <v>423</v>
      </c>
      <c r="M779">
        <v>32</v>
      </c>
      <c r="N779" t="s">
        <v>34</v>
      </c>
      <c r="O779" t="s">
        <v>270</v>
      </c>
      <c r="P779" t="s">
        <v>620</v>
      </c>
      <c r="Q779" t="s">
        <v>36</v>
      </c>
      <c r="R779">
        <v>50</v>
      </c>
      <c r="S779" t="s">
        <v>77</v>
      </c>
      <c r="T779" t="s">
        <v>88</v>
      </c>
      <c r="U779">
        <v>5</v>
      </c>
      <c r="V779" t="s">
        <v>39</v>
      </c>
      <c r="W779" t="s">
        <v>103</v>
      </c>
      <c r="X779" t="s">
        <v>109</v>
      </c>
      <c r="Y779" t="s">
        <v>53</v>
      </c>
    </row>
    <row r="780" spans="1:25">
      <c r="A780" t="s">
        <v>2682</v>
      </c>
      <c r="B780" t="s">
        <v>2683</v>
      </c>
      <c r="C780" t="s">
        <v>27</v>
      </c>
      <c r="D780">
        <v>29</v>
      </c>
      <c r="E780" t="s">
        <v>149</v>
      </c>
      <c r="F780" t="s">
        <v>29</v>
      </c>
      <c r="G780" t="s">
        <v>30</v>
      </c>
      <c r="H780" t="s">
        <v>723</v>
      </c>
      <c r="I780" t="s">
        <v>2684</v>
      </c>
      <c r="J780">
        <v>6</v>
      </c>
      <c r="K780" t="s">
        <v>723</v>
      </c>
      <c r="L780" t="s">
        <v>2685</v>
      </c>
      <c r="M780">
        <v>7</v>
      </c>
      <c r="N780" t="s">
        <v>34</v>
      </c>
      <c r="O780" t="s">
        <v>35</v>
      </c>
      <c r="Q780" t="s">
        <v>36</v>
      </c>
      <c r="R780">
        <v>40</v>
      </c>
      <c r="S780" t="s">
        <v>49</v>
      </c>
      <c r="T780" t="s">
        <v>164</v>
      </c>
      <c r="U780">
        <v>3</v>
      </c>
      <c r="V780" t="s">
        <v>62</v>
      </c>
      <c r="W780" t="s">
        <v>103</v>
      </c>
      <c r="X780" t="s">
        <v>109</v>
      </c>
      <c r="Y780" t="s">
        <v>42</v>
      </c>
    </row>
    <row r="781" spans="1:25">
      <c r="A781" t="s">
        <v>2686</v>
      </c>
      <c r="B781" t="s">
        <v>2687</v>
      </c>
      <c r="C781" t="s">
        <v>80</v>
      </c>
      <c r="D781">
        <v>20</v>
      </c>
      <c r="E781" t="s">
        <v>28</v>
      </c>
      <c r="F781" t="s">
        <v>29</v>
      </c>
      <c r="G781" t="s">
        <v>168</v>
      </c>
      <c r="H781" t="s">
        <v>151</v>
      </c>
      <c r="I781" t="s">
        <v>957</v>
      </c>
      <c r="J781">
        <v>5</v>
      </c>
      <c r="K781" t="s">
        <v>151</v>
      </c>
      <c r="L781" t="s">
        <v>884</v>
      </c>
      <c r="M781">
        <v>11</v>
      </c>
      <c r="N781" t="s">
        <v>34</v>
      </c>
      <c r="O781" t="s">
        <v>270</v>
      </c>
      <c r="P781" t="s">
        <v>391</v>
      </c>
      <c r="Q781" t="s">
        <v>36</v>
      </c>
      <c r="R781">
        <v>35</v>
      </c>
      <c r="S781" t="s">
        <v>77</v>
      </c>
      <c r="T781" t="s">
        <v>164</v>
      </c>
      <c r="U781">
        <v>1</v>
      </c>
      <c r="V781" t="s">
        <v>39</v>
      </c>
      <c r="W781" t="s">
        <v>103</v>
      </c>
      <c r="X781" t="s">
        <v>109</v>
      </c>
      <c r="Y781" t="s">
        <v>42</v>
      </c>
    </row>
    <row r="782" spans="1:25">
      <c r="A782" t="s">
        <v>2688</v>
      </c>
      <c r="B782" t="s">
        <v>2689</v>
      </c>
      <c r="C782" t="s">
        <v>80</v>
      </c>
      <c r="D782">
        <v>7</v>
      </c>
      <c r="E782" t="s">
        <v>81</v>
      </c>
      <c r="F782" t="s">
        <v>82</v>
      </c>
      <c r="G782" t="s">
        <v>83</v>
      </c>
      <c r="H782" t="s">
        <v>2111</v>
      </c>
      <c r="I782" t="s">
        <v>283</v>
      </c>
      <c r="J782">
        <v>8</v>
      </c>
      <c r="K782" t="s">
        <v>762</v>
      </c>
      <c r="L782" t="s">
        <v>1172</v>
      </c>
      <c r="M782">
        <v>14</v>
      </c>
      <c r="N782" t="s">
        <v>34</v>
      </c>
      <c r="O782" t="s">
        <v>35</v>
      </c>
      <c r="Q782" t="s">
        <v>36</v>
      </c>
      <c r="R782">
        <v>20</v>
      </c>
      <c r="S782" t="s">
        <v>77</v>
      </c>
      <c r="T782" t="s">
        <v>69</v>
      </c>
      <c r="U782">
        <v>3</v>
      </c>
      <c r="V782" t="s">
        <v>89</v>
      </c>
      <c r="W782" t="s">
        <v>165</v>
      </c>
      <c r="X782" t="s">
        <v>52</v>
      </c>
      <c r="Y782" t="s">
        <v>71</v>
      </c>
    </row>
    <row r="783" spans="1:25">
      <c r="A783" t="s">
        <v>2690</v>
      </c>
      <c r="B783" t="s">
        <v>2691</v>
      </c>
      <c r="C783" t="s">
        <v>204</v>
      </c>
      <c r="D783">
        <v>10</v>
      </c>
      <c r="E783" t="s">
        <v>149</v>
      </c>
      <c r="F783" t="s">
        <v>29</v>
      </c>
      <c r="G783" t="s">
        <v>45</v>
      </c>
      <c r="H783" t="s">
        <v>1283</v>
      </c>
      <c r="I783" t="s">
        <v>195</v>
      </c>
      <c r="J783">
        <v>6</v>
      </c>
      <c r="K783" t="s">
        <v>1283</v>
      </c>
      <c r="L783" t="s">
        <v>1040</v>
      </c>
      <c r="M783">
        <v>5</v>
      </c>
      <c r="N783" t="s">
        <v>68</v>
      </c>
      <c r="O783" t="s">
        <v>35</v>
      </c>
      <c r="Q783" t="s">
        <v>36</v>
      </c>
      <c r="R783">
        <v>40</v>
      </c>
      <c r="S783" t="s">
        <v>49</v>
      </c>
      <c r="T783" t="s">
        <v>164</v>
      </c>
      <c r="U783">
        <v>3</v>
      </c>
      <c r="V783" t="s">
        <v>89</v>
      </c>
      <c r="W783" t="s">
        <v>51</v>
      </c>
      <c r="X783" t="s">
        <v>109</v>
      </c>
      <c r="Y783" t="s">
        <v>53</v>
      </c>
    </row>
    <row r="784" spans="1:25">
      <c r="A784" t="s">
        <v>2692</v>
      </c>
      <c r="B784" t="s">
        <v>2693</v>
      </c>
      <c r="C784" t="s">
        <v>80</v>
      </c>
      <c r="D784">
        <v>43</v>
      </c>
      <c r="E784" t="s">
        <v>81</v>
      </c>
      <c r="F784" t="s">
        <v>82</v>
      </c>
      <c r="G784" t="s">
        <v>30</v>
      </c>
      <c r="H784" t="s">
        <v>224</v>
      </c>
      <c r="I784" t="s">
        <v>2694</v>
      </c>
      <c r="J784">
        <v>8</v>
      </c>
      <c r="K784" t="s">
        <v>224</v>
      </c>
      <c r="L784" t="s">
        <v>214</v>
      </c>
      <c r="M784">
        <v>10</v>
      </c>
      <c r="N784" t="s">
        <v>34</v>
      </c>
      <c r="O784" t="s">
        <v>270</v>
      </c>
      <c r="P784" t="s">
        <v>391</v>
      </c>
      <c r="Q784" t="s">
        <v>36</v>
      </c>
      <c r="R784">
        <v>20</v>
      </c>
      <c r="S784" t="s">
        <v>49</v>
      </c>
      <c r="T784" t="s">
        <v>88</v>
      </c>
      <c r="U784">
        <v>5</v>
      </c>
      <c r="V784" t="s">
        <v>62</v>
      </c>
      <c r="W784" t="s">
        <v>165</v>
      </c>
      <c r="X784" t="s">
        <v>52</v>
      </c>
      <c r="Y784" t="s">
        <v>53</v>
      </c>
    </row>
    <row r="785" spans="1:25">
      <c r="A785" t="s">
        <v>2695</v>
      </c>
      <c r="B785" t="s">
        <v>2696</v>
      </c>
      <c r="C785" t="s">
        <v>80</v>
      </c>
      <c r="D785">
        <v>43</v>
      </c>
      <c r="E785" t="s">
        <v>92</v>
      </c>
      <c r="F785" t="s">
        <v>29</v>
      </c>
      <c r="G785" t="s">
        <v>30</v>
      </c>
      <c r="H785" t="s">
        <v>355</v>
      </c>
      <c r="I785" t="s">
        <v>906</v>
      </c>
      <c r="J785">
        <v>24</v>
      </c>
      <c r="K785" t="s">
        <v>996</v>
      </c>
      <c r="L785" t="s">
        <v>2697</v>
      </c>
      <c r="M785">
        <v>25</v>
      </c>
      <c r="N785" t="s">
        <v>34</v>
      </c>
      <c r="O785" t="s">
        <v>35</v>
      </c>
      <c r="Q785" t="s">
        <v>36</v>
      </c>
      <c r="R785">
        <v>50</v>
      </c>
      <c r="S785" t="s">
        <v>49</v>
      </c>
      <c r="T785" t="s">
        <v>38</v>
      </c>
      <c r="U785">
        <v>2</v>
      </c>
      <c r="V785" t="s">
        <v>62</v>
      </c>
      <c r="W785" t="s">
        <v>51</v>
      </c>
      <c r="X785" t="s">
        <v>109</v>
      </c>
      <c r="Y785" t="s">
        <v>42</v>
      </c>
    </row>
    <row r="786" spans="1:25">
      <c r="A786" t="s">
        <v>2698</v>
      </c>
      <c r="B786" t="s">
        <v>2699</v>
      </c>
      <c r="C786" t="s">
        <v>80</v>
      </c>
      <c r="D786">
        <v>86</v>
      </c>
      <c r="E786" t="s">
        <v>173</v>
      </c>
      <c r="F786" t="s">
        <v>29</v>
      </c>
      <c r="G786" t="s">
        <v>168</v>
      </c>
      <c r="H786" t="s">
        <v>394</v>
      </c>
      <c r="I786" t="s">
        <v>681</v>
      </c>
      <c r="J786">
        <v>4</v>
      </c>
      <c r="K786" t="s">
        <v>394</v>
      </c>
      <c r="L786" t="s">
        <v>1755</v>
      </c>
      <c r="M786">
        <v>3</v>
      </c>
      <c r="N786" t="s">
        <v>68</v>
      </c>
      <c r="O786" t="s">
        <v>35</v>
      </c>
      <c r="Q786" t="s">
        <v>36</v>
      </c>
      <c r="R786">
        <v>25</v>
      </c>
      <c r="S786" t="s">
        <v>37</v>
      </c>
      <c r="T786" t="s">
        <v>164</v>
      </c>
      <c r="U786">
        <v>2</v>
      </c>
      <c r="V786" t="s">
        <v>39</v>
      </c>
      <c r="W786" t="s">
        <v>103</v>
      </c>
      <c r="X786" t="s">
        <v>52</v>
      </c>
      <c r="Y786" t="s">
        <v>42</v>
      </c>
    </row>
    <row r="787" spans="1:25">
      <c r="A787" t="s">
        <v>2700</v>
      </c>
      <c r="B787" t="s">
        <v>2701</v>
      </c>
      <c r="C787" t="s">
        <v>56</v>
      </c>
      <c r="D787">
        <v>80</v>
      </c>
      <c r="E787" t="s">
        <v>28</v>
      </c>
      <c r="F787" t="s">
        <v>29</v>
      </c>
      <c r="G787" t="s">
        <v>30</v>
      </c>
      <c r="H787" t="s">
        <v>537</v>
      </c>
      <c r="I787" t="s">
        <v>2623</v>
      </c>
      <c r="J787">
        <v>5</v>
      </c>
      <c r="K787" t="s">
        <v>537</v>
      </c>
      <c r="L787" t="s">
        <v>1098</v>
      </c>
      <c r="M787">
        <v>6</v>
      </c>
      <c r="N787" t="s">
        <v>34</v>
      </c>
      <c r="O787" t="s">
        <v>35</v>
      </c>
      <c r="Q787" t="s">
        <v>36</v>
      </c>
      <c r="R787">
        <v>35</v>
      </c>
      <c r="S787" t="s">
        <v>37</v>
      </c>
      <c r="T787" t="s">
        <v>88</v>
      </c>
      <c r="U787">
        <v>3</v>
      </c>
      <c r="V787" t="s">
        <v>39</v>
      </c>
      <c r="W787" t="s">
        <v>103</v>
      </c>
      <c r="X787" t="s">
        <v>109</v>
      </c>
      <c r="Y787" t="s">
        <v>53</v>
      </c>
    </row>
    <row r="788" spans="1:25">
      <c r="A788" t="s">
        <v>2702</v>
      </c>
      <c r="B788" t="s">
        <v>2703</v>
      </c>
      <c r="C788" t="s">
        <v>80</v>
      </c>
      <c r="D788">
        <v>80</v>
      </c>
      <c r="E788" t="s">
        <v>57</v>
      </c>
      <c r="F788" t="s">
        <v>29</v>
      </c>
      <c r="G788" t="s">
        <v>58</v>
      </c>
      <c r="H788" t="s">
        <v>95</v>
      </c>
      <c r="I788" t="s">
        <v>844</v>
      </c>
      <c r="J788">
        <v>3</v>
      </c>
      <c r="K788" t="s">
        <v>95</v>
      </c>
      <c r="L788" t="s">
        <v>2704</v>
      </c>
      <c r="M788">
        <v>10</v>
      </c>
      <c r="N788" t="s">
        <v>34</v>
      </c>
      <c r="O788" t="s">
        <v>35</v>
      </c>
      <c r="Q788" t="s">
        <v>36</v>
      </c>
      <c r="R788">
        <v>15</v>
      </c>
      <c r="S788" t="s">
        <v>77</v>
      </c>
      <c r="T788" t="s">
        <v>50</v>
      </c>
      <c r="U788">
        <v>2</v>
      </c>
      <c r="V788" t="s">
        <v>89</v>
      </c>
      <c r="W788" t="s">
        <v>165</v>
      </c>
      <c r="X788" t="s">
        <v>41</v>
      </c>
      <c r="Y788" t="s">
        <v>53</v>
      </c>
    </row>
    <row r="789" spans="1:25">
      <c r="A789" t="s">
        <v>2705</v>
      </c>
      <c r="B789" t="s">
        <v>2706</v>
      </c>
      <c r="C789" t="s">
        <v>80</v>
      </c>
      <c r="D789">
        <v>71</v>
      </c>
      <c r="E789" t="s">
        <v>173</v>
      </c>
      <c r="F789" t="s">
        <v>29</v>
      </c>
      <c r="G789" t="s">
        <v>93</v>
      </c>
      <c r="H789" t="s">
        <v>1027</v>
      </c>
      <c r="I789" t="s">
        <v>992</v>
      </c>
      <c r="J789">
        <v>4</v>
      </c>
      <c r="K789" t="s">
        <v>1027</v>
      </c>
      <c r="L789" t="s">
        <v>588</v>
      </c>
      <c r="M789">
        <v>12</v>
      </c>
      <c r="N789" t="s">
        <v>34</v>
      </c>
      <c r="O789" t="s">
        <v>35</v>
      </c>
      <c r="Q789" t="s">
        <v>36</v>
      </c>
      <c r="R789">
        <v>25</v>
      </c>
      <c r="S789" t="s">
        <v>77</v>
      </c>
      <c r="T789" t="s">
        <v>96</v>
      </c>
      <c r="U789">
        <v>4</v>
      </c>
      <c r="V789" t="s">
        <v>89</v>
      </c>
      <c r="W789" t="s">
        <v>51</v>
      </c>
      <c r="X789" t="s">
        <v>109</v>
      </c>
      <c r="Y789" t="s">
        <v>71</v>
      </c>
    </row>
    <row r="790" spans="1:25">
      <c r="A790" t="s">
        <v>2707</v>
      </c>
      <c r="B790" t="s">
        <v>2708</v>
      </c>
      <c r="C790" t="s">
        <v>56</v>
      </c>
      <c r="D790">
        <v>43</v>
      </c>
      <c r="E790" t="s">
        <v>57</v>
      </c>
      <c r="F790" t="s">
        <v>29</v>
      </c>
      <c r="G790" t="s">
        <v>58</v>
      </c>
      <c r="H790" t="s">
        <v>1748</v>
      </c>
      <c r="I790" t="s">
        <v>1456</v>
      </c>
      <c r="J790">
        <v>3</v>
      </c>
      <c r="K790" t="s">
        <v>1748</v>
      </c>
      <c r="L790" t="s">
        <v>2709</v>
      </c>
      <c r="M790">
        <v>7</v>
      </c>
      <c r="N790" t="s">
        <v>34</v>
      </c>
      <c r="O790" t="s">
        <v>35</v>
      </c>
      <c r="Q790" t="s">
        <v>36</v>
      </c>
      <c r="R790">
        <v>15</v>
      </c>
      <c r="S790" t="s">
        <v>49</v>
      </c>
      <c r="T790" t="s">
        <v>38</v>
      </c>
      <c r="U790">
        <v>4</v>
      </c>
      <c r="V790" t="s">
        <v>39</v>
      </c>
      <c r="W790" t="s">
        <v>165</v>
      </c>
      <c r="X790" t="s">
        <v>41</v>
      </c>
      <c r="Y790" t="s">
        <v>53</v>
      </c>
    </row>
    <row r="791" spans="1:25">
      <c r="A791" t="s">
        <v>2710</v>
      </c>
      <c r="B791" t="s">
        <v>2711</v>
      </c>
      <c r="C791" t="s">
        <v>56</v>
      </c>
      <c r="D791">
        <v>11</v>
      </c>
      <c r="E791" t="s">
        <v>81</v>
      </c>
      <c r="F791" t="s">
        <v>82</v>
      </c>
      <c r="G791" t="s">
        <v>83</v>
      </c>
      <c r="H791" t="s">
        <v>431</v>
      </c>
      <c r="I791" t="s">
        <v>907</v>
      </c>
      <c r="J791">
        <v>8</v>
      </c>
      <c r="K791" t="s">
        <v>431</v>
      </c>
      <c r="L791" t="s">
        <v>528</v>
      </c>
      <c r="M791">
        <v>10</v>
      </c>
      <c r="N791" t="s">
        <v>34</v>
      </c>
      <c r="O791" t="s">
        <v>35</v>
      </c>
      <c r="Q791" t="s">
        <v>36</v>
      </c>
      <c r="R791">
        <v>20</v>
      </c>
      <c r="S791" t="s">
        <v>49</v>
      </c>
      <c r="T791" t="s">
        <v>69</v>
      </c>
      <c r="U791">
        <v>4</v>
      </c>
      <c r="V791" t="s">
        <v>70</v>
      </c>
      <c r="W791" t="s">
        <v>103</v>
      </c>
      <c r="X791" t="s">
        <v>41</v>
      </c>
      <c r="Y791" t="s">
        <v>71</v>
      </c>
    </row>
    <row r="792" spans="1:25">
      <c r="A792" t="s">
        <v>2712</v>
      </c>
      <c r="B792" t="s">
        <v>2713</v>
      </c>
      <c r="C792" t="s">
        <v>27</v>
      </c>
      <c r="D792">
        <v>62</v>
      </c>
      <c r="E792" t="s">
        <v>149</v>
      </c>
      <c r="F792" t="s">
        <v>29</v>
      </c>
      <c r="G792" t="s">
        <v>30</v>
      </c>
      <c r="H792" t="s">
        <v>560</v>
      </c>
      <c r="I792" t="s">
        <v>2582</v>
      </c>
      <c r="J792">
        <v>6</v>
      </c>
      <c r="K792" t="s">
        <v>560</v>
      </c>
      <c r="L792" t="s">
        <v>496</v>
      </c>
      <c r="M792">
        <v>5</v>
      </c>
      <c r="N792" t="s">
        <v>68</v>
      </c>
      <c r="O792" t="s">
        <v>35</v>
      </c>
      <c r="Q792" t="s">
        <v>36</v>
      </c>
      <c r="R792">
        <v>40</v>
      </c>
      <c r="S792" t="s">
        <v>37</v>
      </c>
      <c r="T792" t="s">
        <v>50</v>
      </c>
      <c r="U792">
        <v>3</v>
      </c>
      <c r="V792" t="s">
        <v>70</v>
      </c>
      <c r="W792" t="s">
        <v>165</v>
      </c>
      <c r="X792" t="s">
        <v>109</v>
      </c>
      <c r="Y792" t="s">
        <v>71</v>
      </c>
    </row>
    <row r="793" spans="1:25">
      <c r="A793" t="s">
        <v>2714</v>
      </c>
      <c r="B793" t="s">
        <v>2715</v>
      </c>
      <c r="C793" t="s">
        <v>80</v>
      </c>
      <c r="D793">
        <v>21</v>
      </c>
      <c r="E793" t="s">
        <v>57</v>
      </c>
      <c r="F793" t="s">
        <v>29</v>
      </c>
      <c r="G793" t="s">
        <v>93</v>
      </c>
      <c r="H793" t="s">
        <v>325</v>
      </c>
      <c r="I793" t="s">
        <v>2716</v>
      </c>
      <c r="J793">
        <v>3</v>
      </c>
      <c r="K793" t="s">
        <v>325</v>
      </c>
      <c r="L793" t="s">
        <v>1270</v>
      </c>
      <c r="M793">
        <v>2</v>
      </c>
      <c r="N793" t="s">
        <v>68</v>
      </c>
      <c r="O793" t="s">
        <v>270</v>
      </c>
      <c r="P793" t="s">
        <v>677</v>
      </c>
      <c r="Q793" t="s">
        <v>36</v>
      </c>
      <c r="R793">
        <v>15</v>
      </c>
      <c r="S793" t="s">
        <v>49</v>
      </c>
      <c r="T793" t="s">
        <v>88</v>
      </c>
      <c r="U793">
        <v>4</v>
      </c>
      <c r="V793" t="s">
        <v>89</v>
      </c>
      <c r="W793" t="s">
        <v>51</v>
      </c>
      <c r="X793" t="s">
        <v>41</v>
      </c>
      <c r="Y793" t="s">
        <v>53</v>
      </c>
    </row>
    <row r="794" spans="1:25">
      <c r="A794" t="s">
        <v>2717</v>
      </c>
      <c r="B794" t="s">
        <v>2718</v>
      </c>
      <c r="C794" t="s">
        <v>80</v>
      </c>
      <c r="D794">
        <v>60</v>
      </c>
      <c r="E794" t="s">
        <v>57</v>
      </c>
      <c r="F794" t="s">
        <v>29</v>
      </c>
      <c r="G794" t="s">
        <v>58</v>
      </c>
      <c r="H794" t="s">
        <v>728</v>
      </c>
      <c r="I794" t="s">
        <v>2719</v>
      </c>
      <c r="J794">
        <v>3</v>
      </c>
      <c r="K794" t="s">
        <v>728</v>
      </c>
      <c r="L794" t="s">
        <v>1214</v>
      </c>
      <c r="M794">
        <v>3</v>
      </c>
      <c r="N794" t="s">
        <v>68</v>
      </c>
      <c r="O794" t="s">
        <v>35</v>
      </c>
      <c r="Q794" t="s">
        <v>36</v>
      </c>
      <c r="R794">
        <v>15</v>
      </c>
      <c r="S794" t="s">
        <v>37</v>
      </c>
      <c r="T794" t="s">
        <v>50</v>
      </c>
      <c r="U794">
        <v>2</v>
      </c>
      <c r="V794" t="s">
        <v>39</v>
      </c>
      <c r="W794" t="s">
        <v>165</v>
      </c>
      <c r="X794" t="s">
        <v>109</v>
      </c>
      <c r="Y794" t="s">
        <v>53</v>
      </c>
    </row>
    <row r="795" spans="1:25">
      <c r="A795" t="s">
        <v>2720</v>
      </c>
      <c r="B795" t="s">
        <v>2721</v>
      </c>
      <c r="C795" t="s">
        <v>56</v>
      </c>
      <c r="D795">
        <v>34</v>
      </c>
      <c r="E795" t="s">
        <v>57</v>
      </c>
      <c r="F795" t="s">
        <v>29</v>
      </c>
      <c r="G795" t="s">
        <v>30</v>
      </c>
      <c r="H795" t="s">
        <v>363</v>
      </c>
      <c r="I795" t="s">
        <v>2722</v>
      </c>
      <c r="J795">
        <v>3</v>
      </c>
      <c r="K795" t="s">
        <v>363</v>
      </c>
      <c r="L795" t="s">
        <v>569</v>
      </c>
      <c r="M795">
        <v>11</v>
      </c>
      <c r="N795" t="s">
        <v>34</v>
      </c>
      <c r="O795" t="s">
        <v>270</v>
      </c>
      <c r="P795" t="s">
        <v>620</v>
      </c>
      <c r="Q795" t="s">
        <v>36</v>
      </c>
      <c r="R795">
        <v>15</v>
      </c>
      <c r="S795" t="s">
        <v>77</v>
      </c>
      <c r="T795" t="s">
        <v>164</v>
      </c>
      <c r="U795">
        <v>4</v>
      </c>
      <c r="V795" t="s">
        <v>89</v>
      </c>
      <c r="W795" t="s">
        <v>103</v>
      </c>
      <c r="X795" t="s">
        <v>41</v>
      </c>
      <c r="Y795" t="s">
        <v>53</v>
      </c>
    </row>
    <row r="796" spans="1:25">
      <c r="A796" t="s">
        <v>2723</v>
      </c>
      <c r="B796" t="s">
        <v>2724</v>
      </c>
      <c r="C796" t="s">
        <v>204</v>
      </c>
      <c r="D796">
        <v>87</v>
      </c>
      <c r="E796" t="s">
        <v>149</v>
      </c>
      <c r="F796" t="s">
        <v>29</v>
      </c>
      <c r="G796" t="s">
        <v>168</v>
      </c>
      <c r="H796" t="s">
        <v>151</v>
      </c>
      <c r="I796" t="s">
        <v>246</v>
      </c>
      <c r="J796">
        <v>6</v>
      </c>
      <c r="K796" t="s">
        <v>151</v>
      </c>
      <c r="L796" t="s">
        <v>1307</v>
      </c>
      <c r="M796">
        <v>5</v>
      </c>
      <c r="N796" t="s">
        <v>68</v>
      </c>
      <c r="O796" t="s">
        <v>35</v>
      </c>
      <c r="Q796" t="s">
        <v>36</v>
      </c>
      <c r="R796">
        <v>40</v>
      </c>
      <c r="S796" t="s">
        <v>77</v>
      </c>
      <c r="T796" t="s">
        <v>69</v>
      </c>
      <c r="U796">
        <v>5</v>
      </c>
      <c r="V796" t="s">
        <v>39</v>
      </c>
      <c r="W796" t="s">
        <v>51</v>
      </c>
      <c r="X796" t="s">
        <v>41</v>
      </c>
      <c r="Y796" t="s">
        <v>53</v>
      </c>
    </row>
    <row r="797" spans="1:25">
      <c r="A797" t="s">
        <v>2725</v>
      </c>
      <c r="B797" t="s">
        <v>2726</v>
      </c>
      <c r="C797" t="s">
        <v>204</v>
      </c>
      <c r="D797">
        <v>25</v>
      </c>
      <c r="E797" t="s">
        <v>81</v>
      </c>
      <c r="F797" t="s">
        <v>82</v>
      </c>
      <c r="G797" t="s">
        <v>83</v>
      </c>
      <c r="H797" t="s">
        <v>513</v>
      </c>
      <c r="I797" t="s">
        <v>976</v>
      </c>
      <c r="J797">
        <v>8</v>
      </c>
      <c r="K797" t="s">
        <v>513</v>
      </c>
      <c r="L797" t="s">
        <v>1050</v>
      </c>
      <c r="M797">
        <v>8</v>
      </c>
      <c r="N797" t="s">
        <v>68</v>
      </c>
      <c r="O797" t="s">
        <v>270</v>
      </c>
      <c r="P797" t="s">
        <v>271</v>
      </c>
      <c r="Q797" t="s">
        <v>36</v>
      </c>
      <c r="R797">
        <v>20</v>
      </c>
      <c r="S797" t="s">
        <v>77</v>
      </c>
      <c r="T797" t="s">
        <v>38</v>
      </c>
      <c r="U797">
        <v>3</v>
      </c>
      <c r="V797" t="s">
        <v>70</v>
      </c>
      <c r="W797" t="s">
        <v>103</v>
      </c>
      <c r="X797" t="s">
        <v>109</v>
      </c>
      <c r="Y797" t="s">
        <v>71</v>
      </c>
    </row>
    <row r="798" spans="1:25">
      <c r="A798" t="s">
        <v>2727</v>
      </c>
      <c r="B798" t="s">
        <v>2728</v>
      </c>
      <c r="C798" t="s">
        <v>27</v>
      </c>
      <c r="D798">
        <v>78</v>
      </c>
      <c r="E798" t="s">
        <v>92</v>
      </c>
      <c r="F798" t="s">
        <v>29</v>
      </c>
      <c r="G798" t="s">
        <v>93</v>
      </c>
      <c r="H798" t="s">
        <v>1565</v>
      </c>
      <c r="I798" t="s">
        <v>703</v>
      </c>
      <c r="J798">
        <v>24</v>
      </c>
      <c r="K798" t="s">
        <v>828</v>
      </c>
      <c r="L798" t="s">
        <v>2535</v>
      </c>
      <c r="M798">
        <v>31</v>
      </c>
      <c r="N798" t="s">
        <v>34</v>
      </c>
      <c r="O798" t="s">
        <v>35</v>
      </c>
      <c r="Q798" t="s">
        <v>36</v>
      </c>
      <c r="S798" t="s">
        <v>77</v>
      </c>
      <c r="T798" t="s">
        <v>69</v>
      </c>
      <c r="U798">
        <v>2</v>
      </c>
      <c r="V798" t="s">
        <v>70</v>
      </c>
      <c r="W798" t="s">
        <v>51</v>
      </c>
      <c r="X798" t="s">
        <v>52</v>
      </c>
      <c r="Y798" t="s">
        <v>42</v>
      </c>
    </row>
    <row r="799" spans="1:25">
      <c r="A799" t="s">
        <v>2729</v>
      </c>
      <c r="B799" t="s">
        <v>2730</v>
      </c>
      <c r="C799" t="s">
        <v>204</v>
      </c>
      <c r="D799">
        <v>80</v>
      </c>
      <c r="E799" t="s">
        <v>173</v>
      </c>
      <c r="F799" t="s">
        <v>29</v>
      </c>
      <c r="G799" t="s">
        <v>168</v>
      </c>
      <c r="H799" t="s">
        <v>411</v>
      </c>
      <c r="I799" t="s">
        <v>1744</v>
      </c>
      <c r="J799">
        <v>4</v>
      </c>
      <c r="K799" t="s">
        <v>411</v>
      </c>
      <c r="L799" t="s">
        <v>426</v>
      </c>
      <c r="M799">
        <v>4</v>
      </c>
      <c r="N799" t="s">
        <v>68</v>
      </c>
      <c r="O799" t="s">
        <v>35</v>
      </c>
      <c r="Q799" t="s">
        <v>36</v>
      </c>
      <c r="R799">
        <v>25</v>
      </c>
      <c r="S799" t="s">
        <v>49</v>
      </c>
      <c r="T799" t="s">
        <v>69</v>
      </c>
      <c r="U799">
        <v>1</v>
      </c>
      <c r="V799" t="s">
        <v>70</v>
      </c>
      <c r="W799" t="s">
        <v>51</v>
      </c>
      <c r="X799" t="s">
        <v>52</v>
      </c>
      <c r="Y799" t="s">
        <v>71</v>
      </c>
    </row>
    <row r="800" spans="1:25">
      <c r="A800" t="s">
        <v>63</v>
      </c>
      <c r="B800" t="s">
        <v>2731</v>
      </c>
      <c r="C800" t="s">
        <v>56</v>
      </c>
      <c r="D800">
        <v>7</v>
      </c>
      <c r="E800" t="s">
        <v>57</v>
      </c>
      <c r="F800" t="s">
        <v>29</v>
      </c>
      <c r="G800" t="s">
        <v>58</v>
      </c>
      <c r="H800" t="s">
        <v>1626</v>
      </c>
      <c r="I800" t="s">
        <v>906</v>
      </c>
      <c r="J800">
        <v>3</v>
      </c>
      <c r="K800" t="s">
        <v>1626</v>
      </c>
      <c r="L800" t="s">
        <v>2357</v>
      </c>
      <c r="M800">
        <v>9</v>
      </c>
      <c r="N800" t="s">
        <v>34</v>
      </c>
      <c r="O800" t="s">
        <v>35</v>
      </c>
      <c r="Q800" t="s">
        <v>36</v>
      </c>
      <c r="R800">
        <v>15</v>
      </c>
      <c r="S800" t="s">
        <v>77</v>
      </c>
      <c r="T800" t="s">
        <v>38</v>
      </c>
      <c r="U800">
        <v>2</v>
      </c>
      <c r="V800" t="s">
        <v>70</v>
      </c>
      <c r="W800" t="s">
        <v>165</v>
      </c>
      <c r="X800" t="s">
        <v>109</v>
      </c>
      <c r="Y800" t="s">
        <v>71</v>
      </c>
    </row>
    <row r="801" spans="1:25">
      <c r="A801" t="s">
        <v>2732</v>
      </c>
      <c r="B801" t="s">
        <v>2733</v>
      </c>
      <c r="C801" t="s">
        <v>80</v>
      </c>
      <c r="D801">
        <v>68</v>
      </c>
      <c r="E801" t="s">
        <v>81</v>
      </c>
      <c r="F801" t="s">
        <v>82</v>
      </c>
      <c r="G801" t="s">
        <v>58</v>
      </c>
      <c r="H801" t="s">
        <v>556</v>
      </c>
      <c r="I801" t="s">
        <v>1244</v>
      </c>
      <c r="J801">
        <v>8</v>
      </c>
      <c r="K801" t="s">
        <v>556</v>
      </c>
      <c r="L801" t="s">
        <v>2734</v>
      </c>
      <c r="M801">
        <v>8</v>
      </c>
      <c r="N801" t="s">
        <v>68</v>
      </c>
      <c r="O801" t="s">
        <v>35</v>
      </c>
      <c r="Q801" t="s">
        <v>36</v>
      </c>
      <c r="R801">
        <v>20</v>
      </c>
      <c r="S801" t="s">
        <v>49</v>
      </c>
      <c r="T801" t="s">
        <v>38</v>
      </c>
      <c r="U801">
        <v>4</v>
      </c>
      <c r="V801" t="s">
        <v>62</v>
      </c>
      <c r="W801" t="s">
        <v>40</v>
      </c>
      <c r="X801" t="s">
        <v>41</v>
      </c>
      <c r="Y801" t="s">
        <v>71</v>
      </c>
    </row>
    <row r="802" spans="1:25">
      <c r="A802" t="s">
        <v>2735</v>
      </c>
      <c r="B802" t="s">
        <v>2736</v>
      </c>
      <c r="C802" t="s">
        <v>27</v>
      </c>
      <c r="D802">
        <v>40</v>
      </c>
      <c r="E802" t="s">
        <v>28</v>
      </c>
      <c r="F802" t="s">
        <v>29</v>
      </c>
      <c r="G802" t="s">
        <v>93</v>
      </c>
      <c r="H802" t="s">
        <v>442</v>
      </c>
      <c r="I802" t="s">
        <v>1781</v>
      </c>
      <c r="J802">
        <v>5</v>
      </c>
      <c r="K802" t="s">
        <v>174</v>
      </c>
      <c r="L802" t="s">
        <v>830</v>
      </c>
      <c r="M802">
        <v>11</v>
      </c>
      <c r="N802" t="s">
        <v>34</v>
      </c>
      <c r="O802" t="s">
        <v>35</v>
      </c>
      <c r="Q802" t="s">
        <v>36</v>
      </c>
      <c r="R802">
        <v>35</v>
      </c>
      <c r="S802" t="s">
        <v>37</v>
      </c>
      <c r="T802" t="s">
        <v>38</v>
      </c>
      <c r="U802">
        <v>5</v>
      </c>
      <c r="V802" t="s">
        <v>70</v>
      </c>
      <c r="W802" t="s">
        <v>51</v>
      </c>
      <c r="X802" t="s">
        <v>52</v>
      </c>
      <c r="Y802" t="s">
        <v>71</v>
      </c>
    </row>
    <row r="803" spans="1:25">
      <c r="A803" t="s">
        <v>2737</v>
      </c>
      <c r="B803" t="s">
        <v>2738</v>
      </c>
      <c r="C803" t="s">
        <v>27</v>
      </c>
      <c r="D803">
        <v>72</v>
      </c>
      <c r="E803" t="s">
        <v>92</v>
      </c>
      <c r="F803" t="s">
        <v>29</v>
      </c>
      <c r="G803" t="s">
        <v>45</v>
      </c>
      <c r="H803" t="s">
        <v>879</v>
      </c>
      <c r="I803" t="s">
        <v>1568</v>
      </c>
      <c r="J803">
        <v>24</v>
      </c>
      <c r="K803" t="s">
        <v>394</v>
      </c>
      <c r="L803" t="s">
        <v>816</v>
      </c>
      <c r="M803">
        <v>25</v>
      </c>
      <c r="N803" t="s">
        <v>34</v>
      </c>
      <c r="O803" t="s">
        <v>35</v>
      </c>
      <c r="Q803" t="s">
        <v>36</v>
      </c>
      <c r="R803">
        <v>50</v>
      </c>
      <c r="S803" t="s">
        <v>37</v>
      </c>
      <c r="T803" t="s">
        <v>50</v>
      </c>
      <c r="U803">
        <v>3</v>
      </c>
      <c r="V803" t="s">
        <v>89</v>
      </c>
      <c r="W803" t="s">
        <v>103</v>
      </c>
      <c r="X803" t="s">
        <v>109</v>
      </c>
      <c r="Y803" t="s">
        <v>42</v>
      </c>
    </row>
    <row r="804" spans="1:25">
      <c r="A804" t="s">
        <v>2739</v>
      </c>
      <c r="B804" t="s">
        <v>2740</v>
      </c>
      <c r="C804" t="s">
        <v>56</v>
      </c>
      <c r="D804">
        <v>52</v>
      </c>
      <c r="E804" t="s">
        <v>173</v>
      </c>
      <c r="F804" t="s">
        <v>29</v>
      </c>
      <c r="G804" t="s">
        <v>168</v>
      </c>
      <c r="H804" t="s">
        <v>86</v>
      </c>
      <c r="I804" t="s">
        <v>2741</v>
      </c>
      <c r="J804">
        <v>4</v>
      </c>
      <c r="K804" t="s">
        <v>287</v>
      </c>
      <c r="L804" t="s">
        <v>2742</v>
      </c>
      <c r="M804">
        <v>11</v>
      </c>
      <c r="N804" t="s">
        <v>34</v>
      </c>
      <c r="O804" t="s">
        <v>35</v>
      </c>
      <c r="Q804" t="s">
        <v>36</v>
      </c>
      <c r="R804">
        <v>25</v>
      </c>
      <c r="S804" t="s">
        <v>77</v>
      </c>
      <c r="T804" t="s">
        <v>69</v>
      </c>
      <c r="U804">
        <v>4</v>
      </c>
      <c r="V804" t="s">
        <v>39</v>
      </c>
      <c r="W804" t="s">
        <v>40</v>
      </c>
      <c r="X804" t="s">
        <v>52</v>
      </c>
      <c r="Y804" t="s">
        <v>42</v>
      </c>
    </row>
    <row r="805" spans="1:25">
      <c r="A805" t="s">
        <v>2743</v>
      </c>
      <c r="B805" t="s">
        <v>2744</v>
      </c>
      <c r="C805" t="s">
        <v>27</v>
      </c>
      <c r="D805">
        <v>83</v>
      </c>
      <c r="E805" t="s">
        <v>92</v>
      </c>
      <c r="F805" t="s">
        <v>29</v>
      </c>
      <c r="G805" t="s">
        <v>150</v>
      </c>
      <c r="H805" t="s">
        <v>475</v>
      </c>
      <c r="I805" t="s">
        <v>2745</v>
      </c>
      <c r="J805">
        <v>24</v>
      </c>
      <c r="K805" t="s">
        <v>59</v>
      </c>
      <c r="L805" t="s">
        <v>2746</v>
      </c>
      <c r="M805">
        <v>29</v>
      </c>
      <c r="N805" t="s">
        <v>34</v>
      </c>
      <c r="O805" t="s">
        <v>35</v>
      </c>
      <c r="Q805" t="s">
        <v>36</v>
      </c>
      <c r="R805">
        <v>50</v>
      </c>
      <c r="S805" t="s">
        <v>77</v>
      </c>
      <c r="T805" t="s">
        <v>164</v>
      </c>
      <c r="U805">
        <v>1</v>
      </c>
      <c r="V805" t="s">
        <v>70</v>
      </c>
      <c r="W805" t="s">
        <v>40</v>
      </c>
      <c r="X805" t="s">
        <v>52</v>
      </c>
      <c r="Y805" t="s">
        <v>71</v>
      </c>
    </row>
    <row r="806" spans="1:25">
      <c r="A806" t="s">
        <v>2747</v>
      </c>
      <c r="B806" t="s">
        <v>2748</v>
      </c>
      <c r="C806" t="s">
        <v>204</v>
      </c>
      <c r="D806">
        <v>25</v>
      </c>
      <c r="E806" t="s">
        <v>92</v>
      </c>
      <c r="F806" t="s">
        <v>29</v>
      </c>
      <c r="G806" t="s">
        <v>45</v>
      </c>
      <c r="H806" t="s">
        <v>325</v>
      </c>
      <c r="I806" t="s">
        <v>2749</v>
      </c>
      <c r="J806">
        <v>24</v>
      </c>
      <c r="K806" t="s">
        <v>1339</v>
      </c>
      <c r="L806" t="s">
        <v>1015</v>
      </c>
      <c r="M806">
        <v>25</v>
      </c>
      <c r="N806" t="s">
        <v>34</v>
      </c>
      <c r="O806" t="s">
        <v>35</v>
      </c>
      <c r="Q806" t="s">
        <v>36</v>
      </c>
      <c r="R806">
        <v>50</v>
      </c>
      <c r="S806" t="s">
        <v>37</v>
      </c>
      <c r="T806" t="s">
        <v>50</v>
      </c>
      <c r="U806">
        <v>1</v>
      </c>
      <c r="V806" t="s">
        <v>39</v>
      </c>
      <c r="W806" t="s">
        <v>51</v>
      </c>
      <c r="X806" t="s">
        <v>52</v>
      </c>
      <c r="Y806" t="s">
        <v>53</v>
      </c>
    </row>
    <row r="807" spans="1:25">
      <c r="A807" t="s">
        <v>2750</v>
      </c>
      <c r="B807" t="s">
        <v>2751</v>
      </c>
      <c r="C807" t="s">
        <v>56</v>
      </c>
      <c r="D807">
        <v>87</v>
      </c>
      <c r="E807" t="s">
        <v>92</v>
      </c>
      <c r="F807" t="s">
        <v>29</v>
      </c>
      <c r="G807" t="s">
        <v>83</v>
      </c>
      <c r="H807" t="s">
        <v>1235</v>
      </c>
      <c r="I807" t="s">
        <v>283</v>
      </c>
      <c r="J807">
        <v>24</v>
      </c>
      <c r="K807" t="s">
        <v>274</v>
      </c>
      <c r="L807" t="s">
        <v>2752</v>
      </c>
      <c r="M807">
        <v>26</v>
      </c>
      <c r="N807" t="s">
        <v>34</v>
      </c>
      <c r="O807" t="s">
        <v>35</v>
      </c>
      <c r="Q807" t="s">
        <v>36</v>
      </c>
      <c r="R807">
        <v>50</v>
      </c>
      <c r="S807" t="s">
        <v>49</v>
      </c>
      <c r="T807" t="s">
        <v>38</v>
      </c>
      <c r="U807">
        <v>2</v>
      </c>
      <c r="V807" t="s">
        <v>70</v>
      </c>
      <c r="W807" t="s">
        <v>40</v>
      </c>
      <c r="X807" t="s">
        <v>41</v>
      </c>
      <c r="Y807" t="s">
        <v>42</v>
      </c>
    </row>
    <row r="808" spans="1:25">
      <c r="A808" t="s">
        <v>2753</v>
      </c>
      <c r="B808" t="s">
        <v>2754</v>
      </c>
      <c r="C808" t="s">
        <v>204</v>
      </c>
      <c r="D808">
        <v>36</v>
      </c>
      <c r="E808" t="s">
        <v>57</v>
      </c>
      <c r="F808" t="s">
        <v>29</v>
      </c>
      <c r="G808" t="s">
        <v>58</v>
      </c>
      <c r="H808" t="s">
        <v>1053</v>
      </c>
      <c r="I808" t="s">
        <v>412</v>
      </c>
      <c r="J808">
        <v>3</v>
      </c>
      <c r="K808" t="s">
        <v>1053</v>
      </c>
      <c r="L808" t="s">
        <v>2173</v>
      </c>
      <c r="M808">
        <v>5</v>
      </c>
      <c r="N808" t="s">
        <v>34</v>
      </c>
      <c r="O808" t="s">
        <v>35</v>
      </c>
      <c r="Q808" t="s">
        <v>36</v>
      </c>
      <c r="R808">
        <v>15</v>
      </c>
      <c r="S808" t="s">
        <v>49</v>
      </c>
      <c r="T808" t="s">
        <v>164</v>
      </c>
      <c r="U808">
        <v>1</v>
      </c>
      <c r="V808" t="s">
        <v>70</v>
      </c>
      <c r="W808" t="s">
        <v>51</v>
      </c>
      <c r="X808" t="s">
        <v>52</v>
      </c>
      <c r="Y808" t="s">
        <v>53</v>
      </c>
    </row>
    <row r="809" spans="1:25">
      <c r="A809" t="s">
        <v>2755</v>
      </c>
      <c r="B809" t="s">
        <v>2756</v>
      </c>
      <c r="C809" t="s">
        <v>56</v>
      </c>
      <c r="D809">
        <v>33</v>
      </c>
      <c r="E809" t="s">
        <v>81</v>
      </c>
      <c r="F809" t="s">
        <v>82</v>
      </c>
      <c r="G809" t="s">
        <v>83</v>
      </c>
      <c r="H809" t="s">
        <v>291</v>
      </c>
      <c r="I809" t="s">
        <v>2757</v>
      </c>
      <c r="J809">
        <v>8</v>
      </c>
      <c r="K809" t="s">
        <v>291</v>
      </c>
      <c r="L809" t="s">
        <v>954</v>
      </c>
      <c r="M809">
        <v>7</v>
      </c>
      <c r="N809" t="s">
        <v>68</v>
      </c>
      <c r="O809" t="s">
        <v>35</v>
      </c>
      <c r="Q809" t="s">
        <v>36</v>
      </c>
      <c r="R809">
        <v>20</v>
      </c>
      <c r="S809" t="s">
        <v>37</v>
      </c>
      <c r="T809" t="s">
        <v>38</v>
      </c>
      <c r="U809">
        <v>5</v>
      </c>
      <c r="V809" t="s">
        <v>62</v>
      </c>
      <c r="W809" t="s">
        <v>51</v>
      </c>
      <c r="X809" t="s">
        <v>109</v>
      </c>
      <c r="Y809" t="s">
        <v>71</v>
      </c>
    </row>
    <row r="810" spans="1:25">
      <c r="A810" t="s">
        <v>2758</v>
      </c>
      <c r="B810" t="s">
        <v>2759</v>
      </c>
      <c r="C810" t="s">
        <v>56</v>
      </c>
      <c r="D810">
        <v>12</v>
      </c>
      <c r="E810" t="s">
        <v>173</v>
      </c>
      <c r="F810" t="s">
        <v>29</v>
      </c>
      <c r="G810" t="s">
        <v>168</v>
      </c>
      <c r="H810" t="s">
        <v>1092</v>
      </c>
      <c r="I810" t="s">
        <v>796</v>
      </c>
      <c r="J810">
        <v>4</v>
      </c>
      <c r="K810" t="s">
        <v>1092</v>
      </c>
      <c r="L810" t="s">
        <v>1094</v>
      </c>
      <c r="M810">
        <v>12</v>
      </c>
      <c r="N810" t="s">
        <v>34</v>
      </c>
      <c r="O810" t="s">
        <v>35</v>
      </c>
      <c r="Q810" t="s">
        <v>36</v>
      </c>
      <c r="R810">
        <v>25</v>
      </c>
      <c r="S810" t="s">
        <v>37</v>
      </c>
      <c r="T810" t="s">
        <v>69</v>
      </c>
      <c r="U810">
        <v>1</v>
      </c>
      <c r="V810" t="s">
        <v>62</v>
      </c>
      <c r="W810" t="s">
        <v>40</v>
      </c>
      <c r="X810" t="s">
        <v>41</v>
      </c>
      <c r="Y810" t="s">
        <v>71</v>
      </c>
    </row>
    <row r="811" spans="1:25">
      <c r="A811" t="s">
        <v>2760</v>
      </c>
      <c r="B811" t="s">
        <v>2761</v>
      </c>
      <c r="C811" t="s">
        <v>56</v>
      </c>
      <c r="D811">
        <v>85</v>
      </c>
      <c r="E811" t="s">
        <v>28</v>
      </c>
      <c r="F811" t="s">
        <v>29</v>
      </c>
      <c r="G811" t="s">
        <v>30</v>
      </c>
      <c r="H811" t="s">
        <v>375</v>
      </c>
      <c r="I811" t="s">
        <v>2260</v>
      </c>
      <c r="J811">
        <v>5</v>
      </c>
      <c r="K811" t="s">
        <v>1625</v>
      </c>
      <c r="L811" t="s">
        <v>2762</v>
      </c>
      <c r="M811">
        <v>13</v>
      </c>
      <c r="N811" t="s">
        <v>34</v>
      </c>
      <c r="O811" t="s">
        <v>35</v>
      </c>
      <c r="Q811" t="s">
        <v>36</v>
      </c>
      <c r="R811">
        <v>35</v>
      </c>
      <c r="S811" t="s">
        <v>77</v>
      </c>
      <c r="T811" t="s">
        <v>96</v>
      </c>
      <c r="U811">
        <v>1</v>
      </c>
      <c r="V811" t="s">
        <v>89</v>
      </c>
      <c r="W811" t="s">
        <v>40</v>
      </c>
      <c r="X811" t="s">
        <v>52</v>
      </c>
      <c r="Y811" t="s">
        <v>53</v>
      </c>
    </row>
    <row r="812" spans="1:25">
      <c r="A812" t="s">
        <v>2763</v>
      </c>
      <c r="B812" t="s">
        <v>2764</v>
      </c>
      <c r="C812" t="s">
        <v>56</v>
      </c>
      <c r="D812">
        <v>35</v>
      </c>
      <c r="E812" t="s">
        <v>57</v>
      </c>
      <c r="F812" t="s">
        <v>29</v>
      </c>
      <c r="G812" t="s">
        <v>58</v>
      </c>
      <c r="H812" t="s">
        <v>1283</v>
      </c>
      <c r="I812" t="s">
        <v>957</v>
      </c>
      <c r="J812">
        <v>3</v>
      </c>
      <c r="K812" t="s">
        <v>1283</v>
      </c>
      <c r="L812" t="s">
        <v>1296</v>
      </c>
      <c r="M812">
        <v>7</v>
      </c>
      <c r="N812" t="s">
        <v>34</v>
      </c>
      <c r="O812" t="s">
        <v>35</v>
      </c>
      <c r="Q812" t="s">
        <v>36</v>
      </c>
      <c r="R812">
        <v>15</v>
      </c>
      <c r="S812" t="s">
        <v>37</v>
      </c>
      <c r="T812" t="s">
        <v>50</v>
      </c>
      <c r="U812">
        <v>2</v>
      </c>
      <c r="V812" t="s">
        <v>70</v>
      </c>
      <c r="W812" t="s">
        <v>51</v>
      </c>
      <c r="X812" t="s">
        <v>52</v>
      </c>
      <c r="Y812" t="s">
        <v>71</v>
      </c>
    </row>
    <row r="813" spans="1:25">
      <c r="A813" t="s">
        <v>2765</v>
      </c>
      <c r="B813" t="s">
        <v>2766</v>
      </c>
      <c r="C813" t="s">
        <v>80</v>
      </c>
      <c r="D813">
        <v>54</v>
      </c>
      <c r="E813" t="s">
        <v>149</v>
      </c>
      <c r="F813" t="s">
        <v>29</v>
      </c>
      <c r="G813" t="s">
        <v>30</v>
      </c>
      <c r="H813" t="s">
        <v>1557</v>
      </c>
      <c r="I813" t="s">
        <v>1637</v>
      </c>
      <c r="J813">
        <v>6</v>
      </c>
      <c r="K813" t="s">
        <v>1557</v>
      </c>
      <c r="L813" t="s">
        <v>1615</v>
      </c>
      <c r="M813">
        <v>7</v>
      </c>
      <c r="N813" t="s">
        <v>34</v>
      </c>
      <c r="O813" t="s">
        <v>35</v>
      </c>
      <c r="Q813" t="s">
        <v>36</v>
      </c>
      <c r="R813">
        <v>40</v>
      </c>
      <c r="S813" t="s">
        <v>37</v>
      </c>
      <c r="T813" t="s">
        <v>38</v>
      </c>
      <c r="U813">
        <v>2</v>
      </c>
      <c r="V813" t="s">
        <v>89</v>
      </c>
      <c r="W813" t="s">
        <v>40</v>
      </c>
      <c r="X813" t="s">
        <v>109</v>
      </c>
      <c r="Y813" t="s">
        <v>71</v>
      </c>
    </row>
    <row r="814" spans="1:25">
      <c r="A814" t="s">
        <v>2767</v>
      </c>
      <c r="B814" t="s">
        <v>2768</v>
      </c>
      <c r="C814" t="s">
        <v>80</v>
      </c>
      <c r="D814">
        <v>17</v>
      </c>
      <c r="E814" t="s">
        <v>28</v>
      </c>
      <c r="F814" t="s">
        <v>29</v>
      </c>
      <c r="G814" t="s">
        <v>45</v>
      </c>
      <c r="H814" t="s">
        <v>500</v>
      </c>
      <c r="I814" t="s">
        <v>237</v>
      </c>
      <c r="J814">
        <v>5</v>
      </c>
      <c r="K814" t="s">
        <v>500</v>
      </c>
      <c r="L814" t="s">
        <v>2769</v>
      </c>
      <c r="M814">
        <v>11</v>
      </c>
      <c r="N814" t="s">
        <v>34</v>
      </c>
      <c r="O814" t="s">
        <v>270</v>
      </c>
      <c r="P814" t="s">
        <v>677</v>
      </c>
      <c r="Q814" t="s">
        <v>36</v>
      </c>
      <c r="R814">
        <v>35</v>
      </c>
      <c r="S814" t="s">
        <v>77</v>
      </c>
      <c r="T814" t="s">
        <v>69</v>
      </c>
      <c r="U814">
        <v>3</v>
      </c>
      <c r="V814" t="s">
        <v>89</v>
      </c>
      <c r="W814" t="s">
        <v>103</v>
      </c>
      <c r="X814" t="s">
        <v>109</v>
      </c>
      <c r="Y814" t="s">
        <v>42</v>
      </c>
    </row>
    <row r="815" spans="1:25">
      <c r="A815" t="s">
        <v>2770</v>
      </c>
      <c r="B815" t="s">
        <v>2771</v>
      </c>
      <c r="C815" t="s">
        <v>56</v>
      </c>
      <c r="D815">
        <v>63</v>
      </c>
      <c r="E815" t="s">
        <v>173</v>
      </c>
      <c r="F815" t="s">
        <v>29</v>
      </c>
      <c r="G815" t="s">
        <v>93</v>
      </c>
      <c r="H815" t="s">
        <v>615</v>
      </c>
      <c r="I815" t="s">
        <v>860</v>
      </c>
      <c r="J815">
        <v>4</v>
      </c>
      <c r="K815" t="s">
        <v>615</v>
      </c>
      <c r="L815" t="s">
        <v>588</v>
      </c>
      <c r="M815">
        <v>8</v>
      </c>
      <c r="N815" t="s">
        <v>34</v>
      </c>
      <c r="O815" t="s">
        <v>35</v>
      </c>
      <c r="Q815" t="s">
        <v>36</v>
      </c>
      <c r="R815">
        <v>25</v>
      </c>
      <c r="S815" t="s">
        <v>37</v>
      </c>
      <c r="T815" t="s">
        <v>69</v>
      </c>
      <c r="U815">
        <v>2</v>
      </c>
      <c r="V815" t="s">
        <v>62</v>
      </c>
      <c r="W815" t="s">
        <v>103</v>
      </c>
      <c r="X815" t="s">
        <v>109</v>
      </c>
      <c r="Y815" t="s">
        <v>42</v>
      </c>
    </row>
    <row r="816" spans="1:25">
      <c r="A816" t="s">
        <v>2772</v>
      </c>
      <c r="B816" t="s">
        <v>2773</v>
      </c>
      <c r="C816" t="s">
        <v>204</v>
      </c>
      <c r="D816">
        <v>39</v>
      </c>
      <c r="E816" t="s">
        <v>57</v>
      </c>
      <c r="F816" t="s">
        <v>29</v>
      </c>
      <c r="G816" t="s">
        <v>58</v>
      </c>
      <c r="H816" t="s">
        <v>482</v>
      </c>
      <c r="I816" t="s">
        <v>596</v>
      </c>
      <c r="J816">
        <v>3</v>
      </c>
      <c r="K816" t="s">
        <v>482</v>
      </c>
      <c r="L816" t="s">
        <v>2774</v>
      </c>
      <c r="M816">
        <v>8</v>
      </c>
      <c r="N816" t="s">
        <v>34</v>
      </c>
      <c r="O816" t="s">
        <v>35</v>
      </c>
      <c r="Q816" t="s">
        <v>36</v>
      </c>
      <c r="R816">
        <v>15</v>
      </c>
      <c r="S816" t="s">
        <v>37</v>
      </c>
      <c r="T816" t="s">
        <v>164</v>
      </c>
      <c r="U816">
        <v>5</v>
      </c>
      <c r="V816" t="s">
        <v>89</v>
      </c>
      <c r="W816" t="s">
        <v>103</v>
      </c>
      <c r="X816" t="s">
        <v>109</v>
      </c>
      <c r="Y816" t="s">
        <v>53</v>
      </c>
    </row>
    <row r="817" spans="1:25">
      <c r="A817" t="s">
        <v>2775</v>
      </c>
      <c r="B817" t="s">
        <v>2776</v>
      </c>
      <c r="C817" t="s">
        <v>56</v>
      </c>
      <c r="D817">
        <v>27</v>
      </c>
      <c r="E817" t="s">
        <v>149</v>
      </c>
      <c r="F817" t="s">
        <v>29</v>
      </c>
      <c r="G817" t="s">
        <v>30</v>
      </c>
      <c r="H817" t="s">
        <v>118</v>
      </c>
      <c r="I817" t="s">
        <v>2259</v>
      </c>
      <c r="J817">
        <v>6</v>
      </c>
      <c r="K817" t="s">
        <v>118</v>
      </c>
      <c r="L817" t="s">
        <v>2436</v>
      </c>
      <c r="M817">
        <v>5</v>
      </c>
      <c r="N817" t="s">
        <v>68</v>
      </c>
      <c r="O817" t="s">
        <v>35</v>
      </c>
      <c r="Q817" t="s">
        <v>36</v>
      </c>
      <c r="R817">
        <v>40</v>
      </c>
      <c r="S817" t="s">
        <v>77</v>
      </c>
      <c r="T817" t="s">
        <v>88</v>
      </c>
      <c r="U817">
        <v>2</v>
      </c>
      <c r="V817" t="s">
        <v>39</v>
      </c>
      <c r="W817" t="s">
        <v>103</v>
      </c>
      <c r="X817" t="s">
        <v>52</v>
      </c>
      <c r="Y817" t="s">
        <v>71</v>
      </c>
    </row>
    <row r="818" spans="1:25">
      <c r="A818" t="s">
        <v>2777</v>
      </c>
      <c r="B818" t="s">
        <v>2778</v>
      </c>
      <c r="C818" t="s">
        <v>204</v>
      </c>
      <c r="D818">
        <v>68</v>
      </c>
      <c r="E818" t="s">
        <v>92</v>
      </c>
      <c r="F818" t="s">
        <v>29</v>
      </c>
      <c r="G818" t="s">
        <v>93</v>
      </c>
      <c r="H818" t="s">
        <v>106</v>
      </c>
      <c r="I818" t="s">
        <v>633</v>
      </c>
      <c r="J818">
        <v>24</v>
      </c>
      <c r="K818" t="s">
        <v>1804</v>
      </c>
      <c r="L818" t="s">
        <v>1852</v>
      </c>
      <c r="M818">
        <v>30</v>
      </c>
      <c r="N818" t="s">
        <v>34</v>
      </c>
      <c r="O818" t="s">
        <v>35</v>
      </c>
      <c r="Q818" t="s">
        <v>36</v>
      </c>
      <c r="R818">
        <v>50</v>
      </c>
      <c r="S818" t="s">
        <v>77</v>
      </c>
      <c r="T818" t="s">
        <v>38</v>
      </c>
      <c r="U818">
        <v>2</v>
      </c>
      <c r="V818" t="s">
        <v>62</v>
      </c>
      <c r="W818" t="s">
        <v>40</v>
      </c>
      <c r="X818" t="s">
        <v>52</v>
      </c>
      <c r="Y818" t="s">
        <v>53</v>
      </c>
    </row>
    <row r="819" spans="1:25">
      <c r="A819" t="s">
        <v>2779</v>
      </c>
      <c r="B819" t="s">
        <v>2780</v>
      </c>
      <c r="C819" t="s">
        <v>80</v>
      </c>
      <c r="D819">
        <v>72</v>
      </c>
      <c r="E819" t="s">
        <v>28</v>
      </c>
      <c r="F819" t="s">
        <v>29</v>
      </c>
      <c r="G819" t="s">
        <v>45</v>
      </c>
      <c r="H819" t="s">
        <v>780</v>
      </c>
      <c r="I819" t="s">
        <v>241</v>
      </c>
      <c r="J819">
        <v>5</v>
      </c>
      <c r="K819" t="s">
        <v>780</v>
      </c>
      <c r="L819" t="s">
        <v>1453</v>
      </c>
      <c r="M819">
        <v>9</v>
      </c>
      <c r="N819" t="s">
        <v>34</v>
      </c>
      <c r="O819" t="s">
        <v>35</v>
      </c>
      <c r="Q819" t="s">
        <v>36</v>
      </c>
      <c r="R819">
        <v>35</v>
      </c>
      <c r="S819" t="s">
        <v>37</v>
      </c>
      <c r="T819" t="s">
        <v>69</v>
      </c>
      <c r="U819">
        <v>1</v>
      </c>
      <c r="V819" t="s">
        <v>62</v>
      </c>
      <c r="W819" t="s">
        <v>165</v>
      </c>
      <c r="X819" t="s">
        <v>109</v>
      </c>
      <c r="Y819" t="s">
        <v>42</v>
      </c>
    </row>
    <row r="820" spans="1:25">
      <c r="A820" t="s">
        <v>2781</v>
      </c>
      <c r="B820" t="s">
        <v>2782</v>
      </c>
      <c r="C820" t="s">
        <v>204</v>
      </c>
      <c r="D820">
        <v>6</v>
      </c>
      <c r="E820" t="s">
        <v>149</v>
      </c>
      <c r="F820" t="s">
        <v>29</v>
      </c>
      <c r="G820" t="s">
        <v>30</v>
      </c>
      <c r="H820" t="s">
        <v>870</v>
      </c>
      <c r="I820" t="s">
        <v>1277</v>
      </c>
      <c r="J820">
        <v>6</v>
      </c>
      <c r="K820" t="s">
        <v>685</v>
      </c>
      <c r="L820" t="s">
        <v>2783</v>
      </c>
      <c r="M820">
        <v>14</v>
      </c>
      <c r="N820" t="s">
        <v>34</v>
      </c>
      <c r="O820" t="s">
        <v>35</v>
      </c>
      <c r="Q820" t="s">
        <v>36</v>
      </c>
      <c r="R820">
        <v>40</v>
      </c>
      <c r="S820" t="s">
        <v>37</v>
      </c>
      <c r="T820" t="s">
        <v>88</v>
      </c>
      <c r="U820">
        <v>1</v>
      </c>
      <c r="V820" t="s">
        <v>62</v>
      </c>
      <c r="W820" t="s">
        <v>103</v>
      </c>
      <c r="X820" t="s">
        <v>41</v>
      </c>
      <c r="Y820" t="s">
        <v>42</v>
      </c>
    </row>
    <row r="821" spans="1:25">
      <c r="A821" t="s">
        <v>2784</v>
      </c>
      <c r="B821" t="s">
        <v>2785</v>
      </c>
      <c r="C821" t="s">
        <v>204</v>
      </c>
      <c r="D821">
        <v>33</v>
      </c>
      <c r="E821" t="s">
        <v>81</v>
      </c>
      <c r="F821" t="s">
        <v>82</v>
      </c>
      <c r="G821" t="s">
        <v>150</v>
      </c>
      <c r="H821" t="s">
        <v>344</v>
      </c>
      <c r="I821" t="s">
        <v>228</v>
      </c>
      <c r="J821">
        <v>8</v>
      </c>
      <c r="K821" t="s">
        <v>344</v>
      </c>
      <c r="L821" t="s">
        <v>1154</v>
      </c>
      <c r="M821">
        <v>13</v>
      </c>
      <c r="N821" t="s">
        <v>34</v>
      </c>
      <c r="O821" t="s">
        <v>35</v>
      </c>
      <c r="Q821" t="s">
        <v>36</v>
      </c>
      <c r="R821">
        <v>20</v>
      </c>
      <c r="S821" t="s">
        <v>37</v>
      </c>
      <c r="T821" t="s">
        <v>88</v>
      </c>
      <c r="U821">
        <v>3</v>
      </c>
      <c r="V821" t="s">
        <v>62</v>
      </c>
      <c r="W821" t="s">
        <v>103</v>
      </c>
      <c r="X821" t="s">
        <v>52</v>
      </c>
      <c r="Y821" t="s">
        <v>71</v>
      </c>
    </row>
    <row r="822" spans="1:25">
      <c r="A822" t="s">
        <v>2786</v>
      </c>
      <c r="B822" t="s">
        <v>2787</v>
      </c>
      <c r="C822" t="s">
        <v>80</v>
      </c>
      <c r="D822">
        <v>76</v>
      </c>
      <c r="E822" t="s">
        <v>57</v>
      </c>
      <c r="F822" t="s">
        <v>29</v>
      </c>
      <c r="G822" t="s">
        <v>58</v>
      </c>
      <c r="H822" t="s">
        <v>1494</v>
      </c>
      <c r="I822" t="s">
        <v>1315</v>
      </c>
      <c r="J822">
        <v>3</v>
      </c>
      <c r="K822" t="s">
        <v>1494</v>
      </c>
      <c r="L822" t="s">
        <v>1637</v>
      </c>
      <c r="M822">
        <v>7</v>
      </c>
      <c r="N822" t="s">
        <v>34</v>
      </c>
      <c r="O822" t="s">
        <v>35</v>
      </c>
      <c r="Q822" t="s">
        <v>36</v>
      </c>
      <c r="R822">
        <v>15</v>
      </c>
      <c r="S822" t="s">
        <v>37</v>
      </c>
      <c r="T822" t="s">
        <v>38</v>
      </c>
      <c r="U822">
        <v>3</v>
      </c>
      <c r="V822" t="s">
        <v>89</v>
      </c>
      <c r="W822" t="s">
        <v>165</v>
      </c>
      <c r="X822" t="s">
        <v>109</v>
      </c>
      <c r="Y822" t="s">
        <v>53</v>
      </c>
    </row>
    <row r="823" spans="1:25">
      <c r="A823" t="s">
        <v>2788</v>
      </c>
      <c r="B823" t="s">
        <v>2789</v>
      </c>
      <c r="C823" t="s">
        <v>80</v>
      </c>
      <c r="D823">
        <v>54</v>
      </c>
      <c r="E823" t="s">
        <v>149</v>
      </c>
      <c r="F823" t="s">
        <v>29</v>
      </c>
      <c r="G823" t="s">
        <v>168</v>
      </c>
      <c r="H823" t="s">
        <v>375</v>
      </c>
      <c r="I823" t="s">
        <v>1976</v>
      </c>
      <c r="J823">
        <v>6</v>
      </c>
      <c r="K823" t="s">
        <v>1625</v>
      </c>
      <c r="L823" t="s">
        <v>1385</v>
      </c>
      <c r="M823">
        <v>12</v>
      </c>
      <c r="N823" t="s">
        <v>34</v>
      </c>
      <c r="O823" t="s">
        <v>35</v>
      </c>
      <c r="Q823" t="s">
        <v>36</v>
      </c>
      <c r="R823">
        <v>40</v>
      </c>
      <c r="S823" t="s">
        <v>37</v>
      </c>
      <c r="T823" t="s">
        <v>164</v>
      </c>
      <c r="U823">
        <v>5</v>
      </c>
      <c r="V823" t="s">
        <v>39</v>
      </c>
      <c r="W823" t="s">
        <v>51</v>
      </c>
      <c r="X823" t="s">
        <v>52</v>
      </c>
      <c r="Y823" t="s">
        <v>42</v>
      </c>
    </row>
    <row r="824" spans="1:25">
      <c r="A824" t="s">
        <v>2790</v>
      </c>
      <c r="B824" t="s">
        <v>2791</v>
      </c>
      <c r="C824" t="s">
        <v>56</v>
      </c>
      <c r="D824">
        <v>37</v>
      </c>
      <c r="E824" t="s">
        <v>149</v>
      </c>
      <c r="F824" t="s">
        <v>29</v>
      </c>
      <c r="G824" t="s">
        <v>30</v>
      </c>
      <c r="H824" t="s">
        <v>780</v>
      </c>
      <c r="I824" t="s">
        <v>1773</v>
      </c>
      <c r="J824">
        <v>6</v>
      </c>
      <c r="K824" t="s">
        <v>780</v>
      </c>
      <c r="L824" t="s">
        <v>1539</v>
      </c>
      <c r="M824">
        <v>14</v>
      </c>
      <c r="N824" t="s">
        <v>34</v>
      </c>
      <c r="O824" t="s">
        <v>35</v>
      </c>
      <c r="Q824" t="s">
        <v>36</v>
      </c>
      <c r="R824">
        <v>40</v>
      </c>
      <c r="S824" t="s">
        <v>77</v>
      </c>
      <c r="T824" t="s">
        <v>96</v>
      </c>
      <c r="U824">
        <v>3</v>
      </c>
      <c r="V824" t="s">
        <v>62</v>
      </c>
      <c r="W824" t="s">
        <v>40</v>
      </c>
      <c r="X824" t="s">
        <v>41</v>
      </c>
      <c r="Y824" t="s">
        <v>71</v>
      </c>
    </row>
    <row r="825" spans="1:25">
      <c r="A825" t="s">
        <v>2792</v>
      </c>
      <c r="B825" t="s">
        <v>2793</v>
      </c>
      <c r="C825" t="s">
        <v>27</v>
      </c>
      <c r="D825">
        <v>18</v>
      </c>
      <c r="E825" t="s">
        <v>81</v>
      </c>
      <c r="F825" t="s">
        <v>82</v>
      </c>
      <c r="G825" t="s">
        <v>83</v>
      </c>
      <c r="H825" t="s">
        <v>893</v>
      </c>
      <c r="I825" t="s">
        <v>1896</v>
      </c>
      <c r="J825">
        <v>8</v>
      </c>
      <c r="K825" t="s">
        <v>893</v>
      </c>
      <c r="L825" t="s">
        <v>1767</v>
      </c>
      <c r="M825">
        <v>10</v>
      </c>
      <c r="N825" t="s">
        <v>34</v>
      </c>
      <c r="O825" t="s">
        <v>35</v>
      </c>
      <c r="Q825" t="s">
        <v>36</v>
      </c>
      <c r="R825">
        <v>20</v>
      </c>
      <c r="S825" t="s">
        <v>37</v>
      </c>
      <c r="T825" t="s">
        <v>50</v>
      </c>
      <c r="U825">
        <v>4</v>
      </c>
      <c r="V825" t="s">
        <v>39</v>
      </c>
      <c r="W825" t="s">
        <v>51</v>
      </c>
      <c r="X825" t="s">
        <v>41</v>
      </c>
      <c r="Y825" t="s">
        <v>71</v>
      </c>
    </row>
    <row r="826" spans="1:25">
      <c r="A826" t="s">
        <v>2794</v>
      </c>
      <c r="B826" t="s">
        <v>2795</v>
      </c>
      <c r="C826" t="s">
        <v>56</v>
      </c>
      <c r="D826">
        <v>25</v>
      </c>
      <c r="E826" t="s">
        <v>81</v>
      </c>
      <c r="F826" t="s">
        <v>82</v>
      </c>
      <c r="G826" t="s">
        <v>58</v>
      </c>
      <c r="H826" t="s">
        <v>379</v>
      </c>
      <c r="I826" t="s">
        <v>2413</v>
      </c>
      <c r="J826">
        <v>8</v>
      </c>
      <c r="K826" t="s">
        <v>379</v>
      </c>
      <c r="L826" t="s">
        <v>2796</v>
      </c>
      <c r="M826">
        <v>11</v>
      </c>
      <c r="N826" t="s">
        <v>34</v>
      </c>
      <c r="O826" t="s">
        <v>35</v>
      </c>
      <c r="Q826" t="s">
        <v>36</v>
      </c>
      <c r="R826">
        <v>20</v>
      </c>
      <c r="S826" t="s">
        <v>49</v>
      </c>
      <c r="T826" t="s">
        <v>88</v>
      </c>
      <c r="U826">
        <v>5</v>
      </c>
      <c r="V826" t="s">
        <v>39</v>
      </c>
      <c r="W826" t="s">
        <v>103</v>
      </c>
      <c r="X826" t="s">
        <v>52</v>
      </c>
      <c r="Y826" t="s">
        <v>53</v>
      </c>
    </row>
    <row r="827" spans="1:25">
      <c r="A827" t="s">
        <v>2797</v>
      </c>
      <c r="B827" t="s">
        <v>2798</v>
      </c>
      <c r="C827" t="s">
        <v>204</v>
      </c>
      <c r="D827">
        <v>58</v>
      </c>
      <c r="E827" t="s">
        <v>81</v>
      </c>
      <c r="F827" t="s">
        <v>82</v>
      </c>
      <c r="G827" t="s">
        <v>83</v>
      </c>
      <c r="H827" t="s">
        <v>723</v>
      </c>
      <c r="I827" t="s">
        <v>2641</v>
      </c>
      <c r="J827">
        <v>8</v>
      </c>
      <c r="K827" t="s">
        <v>723</v>
      </c>
      <c r="L827" t="s">
        <v>434</v>
      </c>
      <c r="M827">
        <v>8</v>
      </c>
      <c r="N827" t="s">
        <v>68</v>
      </c>
      <c r="O827" t="s">
        <v>35</v>
      </c>
      <c r="Q827" t="s">
        <v>36</v>
      </c>
      <c r="R827">
        <v>20</v>
      </c>
      <c r="S827" t="s">
        <v>49</v>
      </c>
      <c r="T827" t="s">
        <v>88</v>
      </c>
      <c r="U827">
        <v>3</v>
      </c>
      <c r="V827" t="s">
        <v>89</v>
      </c>
      <c r="W827" t="s">
        <v>103</v>
      </c>
      <c r="X827" t="s">
        <v>109</v>
      </c>
      <c r="Y827" t="s">
        <v>53</v>
      </c>
    </row>
    <row r="828" spans="1:25">
      <c r="A828" t="s">
        <v>2799</v>
      </c>
      <c r="B828" t="s">
        <v>2800</v>
      </c>
      <c r="C828" t="s">
        <v>56</v>
      </c>
      <c r="D828">
        <v>43</v>
      </c>
      <c r="E828" t="s">
        <v>149</v>
      </c>
      <c r="F828" t="s">
        <v>29</v>
      </c>
      <c r="G828" t="s">
        <v>30</v>
      </c>
      <c r="H828" t="s">
        <v>247</v>
      </c>
      <c r="I828" t="s">
        <v>1083</v>
      </c>
      <c r="J828">
        <v>6</v>
      </c>
      <c r="K828" t="s">
        <v>586</v>
      </c>
      <c r="L828" t="s">
        <v>2801</v>
      </c>
      <c r="M828">
        <v>12</v>
      </c>
      <c r="N828" t="s">
        <v>34</v>
      </c>
      <c r="O828" t="s">
        <v>35</v>
      </c>
      <c r="Q828" t="s">
        <v>36</v>
      </c>
      <c r="R828">
        <v>40</v>
      </c>
      <c r="S828" t="s">
        <v>77</v>
      </c>
      <c r="T828" t="s">
        <v>88</v>
      </c>
      <c r="U828">
        <v>3</v>
      </c>
      <c r="V828" t="s">
        <v>39</v>
      </c>
      <c r="W828" t="s">
        <v>40</v>
      </c>
      <c r="X828" t="s">
        <v>41</v>
      </c>
      <c r="Y828" t="s">
        <v>53</v>
      </c>
    </row>
    <row r="829" spans="1:25">
      <c r="A829" t="s">
        <v>2802</v>
      </c>
      <c r="B829" t="s">
        <v>2803</v>
      </c>
      <c r="C829" t="s">
        <v>80</v>
      </c>
      <c r="D829">
        <v>10</v>
      </c>
      <c r="E829" t="s">
        <v>81</v>
      </c>
      <c r="F829" t="s">
        <v>82</v>
      </c>
      <c r="G829" t="s">
        <v>93</v>
      </c>
      <c r="H829" t="s">
        <v>1565</v>
      </c>
      <c r="I829" t="s">
        <v>1259</v>
      </c>
      <c r="J829">
        <v>8</v>
      </c>
      <c r="K829" t="s">
        <v>828</v>
      </c>
      <c r="L829" t="s">
        <v>2804</v>
      </c>
      <c r="M829">
        <v>9</v>
      </c>
      <c r="N829" t="s">
        <v>34</v>
      </c>
      <c r="O829" t="s">
        <v>35</v>
      </c>
      <c r="Q829" t="s">
        <v>36</v>
      </c>
      <c r="R829">
        <v>20</v>
      </c>
      <c r="S829" t="s">
        <v>37</v>
      </c>
      <c r="T829" t="s">
        <v>69</v>
      </c>
      <c r="U829">
        <v>5</v>
      </c>
      <c r="V829" t="s">
        <v>89</v>
      </c>
      <c r="W829" t="s">
        <v>103</v>
      </c>
      <c r="X829" t="s">
        <v>52</v>
      </c>
      <c r="Y829" t="s">
        <v>53</v>
      </c>
    </row>
    <row r="830" spans="1:25">
      <c r="A830" t="s">
        <v>2805</v>
      </c>
      <c r="B830" t="s">
        <v>2806</v>
      </c>
      <c r="C830" t="s">
        <v>80</v>
      </c>
      <c r="D830">
        <v>45</v>
      </c>
      <c r="E830" t="s">
        <v>149</v>
      </c>
      <c r="F830" t="s">
        <v>29</v>
      </c>
      <c r="G830" t="s">
        <v>45</v>
      </c>
      <c r="H830" t="s">
        <v>807</v>
      </c>
      <c r="I830" t="s">
        <v>241</v>
      </c>
      <c r="J830">
        <v>6</v>
      </c>
      <c r="K830" t="s">
        <v>807</v>
      </c>
      <c r="L830" t="s">
        <v>1453</v>
      </c>
      <c r="M830">
        <v>9</v>
      </c>
      <c r="N830" t="s">
        <v>34</v>
      </c>
      <c r="O830" t="s">
        <v>35</v>
      </c>
      <c r="Q830" t="s">
        <v>36</v>
      </c>
      <c r="R830">
        <v>40</v>
      </c>
      <c r="S830" t="s">
        <v>77</v>
      </c>
      <c r="T830" t="s">
        <v>96</v>
      </c>
      <c r="U830">
        <v>4</v>
      </c>
      <c r="V830" t="s">
        <v>89</v>
      </c>
      <c r="W830" t="s">
        <v>165</v>
      </c>
      <c r="X830" t="s">
        <v>52</v>
      </c>
      <c r="Y830" t="s">
        <v>42</v>
      </c>
    </row>
    <row r="831" spans="1:25">
      <c r="A831" t="s">
        <v>2807</v>
      </c>
      <c r="B831" t="s">
        <v>2808</v>
      </c>
      <c r="C831" t="s">
        <v>56</v>
      </c>
      <c r="D831">
        <v>9</v>
      </c>
      <c r="E831" t="s">
        <v>149</v>
      </c>
      <c r="F831" t="s">
        <v>29</v>
      </c>
      <c r="G831" t="s">
        <v>150</v>
      </c>
      <c r="H831" t="s">
        <v>1027</v>
      </c>
      <c r="I831" t="s">
        <v>2809</v>
      </c>
      <c r="J831">
        <v>6</v>
      </c>
      <c r="K831" t="s">
        <v>1027</v>
      </c>
      <c r="L831" t="s">
        <v>2769</v>
      </c>
      <c r="M831">
        <v>12</v>
      </c>
      <c r="N831" t="s">
        <v>34</v>
      </c>
      <c r="O831" t="s">
        <v>35</v>
      </c>
      <c r="Q831" t="s">
        <v>36</v>
      </c>
      <c r="R831">
        <v>40</v>
      </c>
      <c r="S831" t="s">
        <v>37</v>
      </c>
      <c r="T831" t="s">
        <v>69</v>
      </c>
      <c r="U831">
        <v>5</v>
      </c>
      <c r="V831" t="s">
        <v>62</v>
      </c>
      <c r="W831" t="s">
        <v>165</v>
      </c>
      <c r="X831" t="s">
        <v>41</v>
      </c>
      <c r="Y831" t="s">
        <v>53</v>
      </c>
    </row>
    <row r="832" spans="1:25">
      <c r="A832" t="s">
        <v>2810</v>
      </c>
      <c r="B832" t="s">
        <v>2811</v>
      </c>
      <c r="C832" t="s">
        <v>56</v>
      </c>
      <c r="D832">
        <v>49</v>
      </c>
      <c r="E832" t="s">
        <v>173</v>
      </c>
      <c r="F832" t="s">
        <v>29</v>
      </c>
      <c r="G832" t="s">
        <v>168</v>
      </c>
      <c r="H832" t="s">
        <v>1213</v>
      </c>
      <c r="I832" t="s">
        <v>2812</v>
      </c>
      <c r="J832">
        <v>4</v>
      </c>
      <c r="K832" t="s">
        <v>542</v>
      </c>
      <c r="L832" t="s">
        <v>2813</v>
      </c>
      <c r="M832">
        <v>12</v>
      </c>
      <c r="N832" t="s">
        <v>34</v>
      </c>
      <c r="O832" t="s">
        <v>35</v>
      </c>
      <c r="Q832" t="s">
        <v>36</v>
      </c>
      <c r="R832">
        <v>25</v>
      </c>
      <c r="S832" t="s">
        <v>49</v>
      </c>
      <c r="T832" t="s">
        <v>50</v>
      </c>
      <c r="U832">
        <v>4</v>
      </c>
      <c r="V832" t="s">
        <v>62</v>
      </c>
      <c r="W832" t="s">
        <v>103</v>
      </c>
      <c r="X832" t="s">
        <v>109</v>
      </c>
      <c r="Y832" t="s">
        <v>42</v>
      </c>
    </row>
    <row r="833" spans="1:25">
      <c r="A833" t="s">
        <v>2814</v>
      </c>
      <c r="B833" t="s">
        <v>2815</v>
      </c>
      <c r="C833" t="s">
        <v>56</v>
      </c>
      <c r="D833">
        <v>27</v>
      </c>
      <c r="E833" t="s">
        <v>92</v>
      </c>
      <c r="F833" t="s">
        <v>29</v>
      </c>
      <c r="G833" t="s">
        <v>30</v>
      </c>
      <c r="H833" t="s">
        <v>314</v>
      </c>
      <c r="I833" t="s">
        <v>2644</v>
      </c>
      <c r="J833">
        <v>24</v>
      </c>
      <c r="K833" t="s">
        <v>560</v>
      </c>
      <c r="L833" t="s">
        <v>302</v>
      </c>
      <c r="M833">
        <v>29</v>
      </c>
      <c r="N833" t="s">
        <v>34</v>
      </c>
      <c r="O833" t="s">
        <v>35</v>
      </c>
      <c r="Q833" t="s">
        <v>36</v>
      </c>
      <c r="R833">
        <v>50</v>
      </c>
      <c r="S833" t="s">
        <v>77</v>
      </c>
      <c r="T833" t="s">
        <v>69</v>
      </c>
      <c r="U833">
        <v>3</v>
      </c>
      <c r="V833" t="s">
        <v>62</v>
      </c>
      <c r="W833" t="s">
        <v>103</v>
      </c>
      <c r="X833" t="s">
        <v>52</v>
      </c>
      <c r="Y833" t="s">
        <v>71</v>
      </c>
    </row>
    <row r="834" spans="1:25">
      <c r="A834" t="s">
        <v>2816</v>
      </c>
      <c r="B834" t="s">
        <v>2817</v>
      </c>
      <c r="C834" t="s">
        <v>56</v>
      </c>
      <c r="D834">
        <v>25</v>
      </c>
      <c r="E834" t="s">
        <v>149</v>
      </c>
      <c r="F834" t="s">
        <v>29</v>
      </c>
      <c r="G834" t="s">
        <v>30</v>
      </c>
      <c r="H834" t="s">
        <v>784</v>
      </c>
      <c r="I834" t="s">
        <v>60</v>
      </c>
      <c r="J834">
        <v>6</v>
      </c>
      <c r="K834" t="s">
        <v>784</v>
      </c>
      <c r="L834" t="s">
        <v>2556</v>
      </c>
      <c r="M834">
        <v>7</v>
      </c>
      <c r="N834" t="s">
        <v>34</v>
      </c>
      <c r="O834" t="s">
        <v>270</v>
      </c>
      <c r="P834" t="s">
        <v>271</v>
      </c>
      <c r="Q834" t="s">
        <v>36</v>
      </c>
      <c r="R834">
        <v>40</v>
      </c>
      <c r="S834" t="s">
        <v>49</v>
      </c>
      <c r="T834" t="s">
        <v>38</v>
      </c>
      <c r="U834">
        <v>3</v>
      </c>
      <c r="V834" t="s">
        <v>39</v>
      </c>
      <c r="W834" t="s">
        <v>103</v>
      </c>
      <c r="X834" t="s">
        <v>109</v>
      </c>
      <c r="Y834" t="s">
        <v>71</v>
      </c>
    </row>
    <row r="835" spans="1:25">
      <c r="A835" t="s">
        <v>2818</v>
      </c>
      <c r="B835" t="s">
        <v>2819</v>
      </c>
      <c r="C835" t="s">
        <v>204</v>
      </c>
      <c r="D835">
        <v>13</v>
      </c>
      <c r="E835" t="s">
        <v>149</v>
      </c>
      <c r="F835" t="s">
        <v>29</v>
      </c>
      <c r="G835" t="s">
        <v>30</v>
      </c>
      <c r="H835" t="s">
        <v>1685</v>
      </c>
      <c r="I835" t="s">
        <v>2183</v>
      </c>
      <c r="J835">
        <v>6</v>
      </c>
      <c r="K835" t="s">
        <v>1685</v>
      </c>
      <c r="L835" t="s">
        <v>2820</v>
      </c>
      <c r="M835">
        <v>12</v>
      </c>
      <c r="N835" t="s">
        <v>34</v>
      </c>
      <c r="O835" t="s">
        <v>35</v>
      </c>
      <c r="Q835" t="s">
        <v>36</v>
      </c>
      <c r="R835">
        <v>40</v>
      </c>
      <c r="S835" t="s">
        <v>77</v>
      </c>
      <c r="T835" t="s">
        <v>96</v>
      </c>
      <c r="U835">
        <v>1</v>
      </c>
      <c r="V835" t="s">
        <v>39</v>
      </c>
      <c r="W835" t="s">
        <v>103</v>
      </c>
      <c r="X835" t="s">
        <v>41</v>
      </c>
      <c r="Y835" t="s">
        <v>53</v>
      </c>
    </row>
    <row r="836" spans="1:25">
      <c r="A836" t="s">
        <v>2821</v>
      </c>
      <c r="B836" t="s">
        <v>2822</v>
      </c>
      <c r="C836" t="s">
        <v>56</v>
      </c>
      <c r="D836">
        <v>29</v>
      </c>
      <c r="E836" t="s">
        <v>57</v>
      </c>
      <c r="F836" t="s">
        <v>29</v>
      </c>
      <c r="G836" t="s">
        <v>58</v>
      </c>
      <c r="H836" t="s">
        <v>668</v>
      </c>
      <c r="I836" t="s">
        <v>2263</v>
      </c>
      <c r="J836">
        <v>3</v>
      </c>
      <c r="K836" t="s">
        <v>668</v>
      </c>
      <c r="L836" t="s">
        <v>1918</v>
      </c>
      <c r="M836">
        <v>2</v>
      </c>
      <c r="N836" t="s">
        <v>68</v>
      </c>
      <c r="O836" t="s">
        <v>35</v>
      </c>
      <c r="Q836" t="s">
        <v>36</v>
      </c>
      <c r="R836">
        <v>15</v>
      </c>
      <c r="S836" t="s">
        <v>49</v>
      </c>
      <c r="T836" t="s">
        <v>38</v>
      </c>
      <c r="U836">
        <v>2</v>
      </c>
      <c r="V836" t="s">
        <v>39</v>
      </c>
      <c r="W836" t="s">
        <v>51</v>
      </c>
      <c r="X836" t="s">
        <v>41</v>
      </c>
      <c r="Y836" t="s">
        <v>42</v>
      </c>
    </row>
    <row r="837" spans="1:25">
      <c r="A837" t="s">
        <v>2823</v>
      </c>
      <c r="B837" t="s">
        <v>2824</v>
      </c>
      <c r="C837" t="s">
        <v>27</v>
      </c>
      <c r="D837">
        <v>85</v>
      </c>
      <c r="E837" t="s">
        <v>28</v>
      </c>
      <c r="F837" t="s">
        <v>29</v>
      </c>
      <c r="G837" t="s">
        <v>150</v>
      </c>
      <c r="H837" t="s">
        <v>189</v>
      </c>
      <c r="I837" t="s">
        <v>1509</v>
      </c>
      <c r="J837">
        <v>5</v>
      </c>
      <c r="K837" t="s">
        <v>189</v>
      </c>
      <c r="L837" t="s">
        <v>954</v>
      </c>
      <c r="M837">
        <v>5</v>
      </c>
      <c r="N837" t="s">
        <v>68</v>
      </c>
      <c r="O837" t="s">
        <v>35</v>
      </c>
      <c r="Q837" t="s">
        <v>36</v>
      </c>
      <c r="R837">
        <v>35</v>
      </c>
      <c r="S837" t="s">
        <v>37</v>
      </c>
      <c r="T837" t="s">
        <v>164</v>
      </c>
      <c r="U837">
        <v>1</v>
      </c>
      <c r="V837" t="s">
        <v>62</v>
      </c>
      <c r="W837" t="s">
        <v>40</v>
      </c>
      <c r="X837" t="s">
        <v>52</v>
      </c>
      <c r="Y837" t="s">
        <v>42</v>
      </c>
    </row>
    <row r="838" spans="1:25">
      <c r="A838" t="s">
        <v>2825</v>
      </c>
      <c r="B838" t="s">
        <v>2826</v>
      </c>
      <c r="C838" t="s">
        <v>27</v>
      </c>
      <c r="D838">
        <v>5</v>
      </c>
      <c r="E838" t="s">
        <v>81</v>
      </c>
      <c r="F838" t="s">
        <v>82</v>
      </c>
      <c r="G838" t="s">
        <v>83</v>
      </c>
      <c r="H838" t="s">
        <v>153</v>
      </c>
      <c r="I838" t="s">
        <v>1351</v>
      </c>
      <c r="J838">
        <v>8</v>
      </c>
      <c r="K838" t="s">
        <v>1027</v>
      </c>
      <c r="L838" t="s">
        <v>2827</v>
      </c>
      <c r="M838">
        <v>11</v>
      </c>
      <c r="N838" t="s">
        <v>34</v>
      </c>
      <c r="O838" t="s">
        <v>35</v>
      </c>
      <c r="Q838" t="s">
        <v>36</v>
      </c>
      <c r="R838">
        <v>20</v>
      </c>
      <c r="S838" t="s">
        <v>77</v>
      </c>
      <c r="T838" t="s">
        <v>50</v>
      </c>
      <c r="U838">
        <v>4</v>
      </c>
      <c r="V838" t="s">
        <v>62</v>
      </c>
      <c r="W838" t="s">
        <v>103</v>
      </c>
      <c r="X838" t="s">
        <v>109</v>
      </c>
      <c r="Y838" t="s">
        <v>53</v>
      </c>
    </row>
    <row r="839" spans="1:25">
      <c r="A839" t="s">
        <v>2828</v>
      </c>
      <c r="B839" t="s">
        <v>2829</v>
      </c>
      <c r="C839" t="s">
        <v>204</v>
      </c>
      <c r="D839">
        <v>88</v>
      </c>
      <c r="E839" t="s">
        <v>92</v>
      </c>
      <c r="F839" t="s">
        <v>29</v>
      </c>
      <c r="G839" t="s">
        <v>93</v>
      </c>
      <c r="H839" t="s">
        <v>828</v>
      </c>
      <c r="I839" t="s">
        <v>863</v>
      </c>
      <c r="J839">
        <v>24</v>
      </c>
      <c r="K839" t="s">
        <v>245</v>
      </c>
      <c r="L839" t="s">
        <v>283</v>
      </c>
      <c r="M839">
        <v>31</v>
      </c>
      <c r="N839" t="s">
        <v>34</v>
      </c>
      <c r="O839" t="s">
        <v>35</v>
      </c>
      <c r="Q839" t="s">
        <v>36</v>
      </c>
      <c r="R839">
        <v>50</v>
      </c>
      <c r="S839" t="s">
        <v>37</v>
      </c>
      <c r="T839" t="s">
        <v>50</v>
      </c>
      <c r="U839">
        <v>3</v>
      </c>
      <c r="V839" t="s">
        <v>70</v>
      </c>
      <c r="W839" t="s">
        <v>51</v>
      </c>
      <c r="X839" t="s">
        <v>52</v>
      </c>
      <c r="Y839" t="s">
        <v>42</v>
      </c>
    </row>
    <row r="840" spans="1:25">
      <c r="A840" t="s">
        <v>2830</v>
      </c>
      <c r="B840" t="s">
        <v>2831</v>
      </c>
      <c r="C840" t="s">
        <v>204</v>
      </c>
      <c r="D840">
        <v>4</v>
      </c>
      <c r="E840" t="s">
        <v>28</v>
      </c>
      <c r="F840" t="s">
        <v>29</v>
      </c>
      <c r="G840" t="s">
        <v>83</v>
      </c>
      <c r="H840" t="s">
        <v>784</v>
      </c>
      <c r="I840" t="s">
        <v>2832</v>
      </c>
      <c r="J840">
        <v>5</v>
      </c>
      <c r="K840" t="s">
        <v>784</v>
      </c>
      <c r="L840" t="s">
        <v>2833</v>
      </c>
      <c r="M840">
        <v>10</v>
      </c>
      <c r="N840" t="s">
        <v>34</v>
      </c>
      <c r="O840" t="s">
        <v>35</v>
      </c>
      <c r="Q840" t="s">
        <v>36</v>
      </c>
      <c r="R840">
        <v>35</v>
      </c>
      <c r="S840" t="s">
        <v>49</v>
      </c>
      <c r="T840" t="s">
        <v>38</v>
      </c>
      <c r="U840">
        <v>2</v>
      </c>
      <c r="V840" t="s">
        <v>62</v>
      </c>
      <c r="W840" t="s">
        <v>51</v>
      </c>
      <c r="X840" t="s">
        <v>109</v>
      </c>
      <c r="Y840" t="s">
        <v>71</v>
      </c>
    </row>
    <row r="841" spans="1:25">
      <c r="A841" t="s">
        <v>2834</v>
      </c>
      <c r="B841" t="s">
        <v>2835</v>
      </c>
      <c r="C841" t="s">
        <v>56</v>
      </c>
      <c r="D841">
        <v>33</v>
      </c>
      <c r="E841" t="s">
        <v>173</v>
      </c>
      <c r="F841" t="s">
        <v>29</v>
      </c>
      <c r="G841" t="s">
        <v>58</v>
      </c>
      <c r="H841" t="s">
        <v>1208</v>
      </c>
      <c r="I841" t="s">
        <v>816</v>
      </c>
      <c r="J841">
        <v>4</v>
      </c>
      <c r="K841" t="s">
        <v>1208</v>
      </c>
      <c r="L841" t="s">
        <v>523</v>
      </c>
      <c r="M841">
        <v>9</v>
      </c>
      <c r="N841" t="s">
        <v>34</v>
      </c>
      <c r="O841" t="s">
        <v>35</v>
      </c>
      <c r="Q841" t="s">
        <v>36</v>
      </c>
      <c r="R841">
        <v>25</v>
      </c>
      <c r="S841" t="s">
        <v>49</v>
      </c>
      <c r="T841" t="s">
        <v>88</v>
      </c>
      <c r="U841">
        <v>2</v>
      </c>
      <c r="V841" t="s">
        <v>89</v>
      </c>
      <c r="W841" t="s">
        <v>40</v>
      </c>
      <c r="X841" t="s">
        <v>109</v>
      </c>
      <c r="Y841" t="s">
        <v>71</v>
      </c>
    </row>
    <row r="842" spans="1:25">
      <c r="A842" t="s">
        <v>2836</v>
      </c>
      <c r="B842" t="s">
        <v>2837</v>
      </c>
      <c r="C842" t="s">
        <v>56</v>
      </c>
      <c r="D842">
        <v>39</v>
      </c>
      <c r="E842" t="s">
        <v>173</v>
      </c>
      <c r="F842" t="s">
        <v>29</v>
      </c>
      <c r="G842" t="s">
        <v>168</v>
      </c>
      <c r="H842" t="s">
        <v>128</v>
      </c>
      <c r="I842" t="s">
        <v>2838</v>
      </c>
      <c r="J842">
        <v>4</v>
      </c>
      <c r="K842" t="s">
        <v>128</v>
      </c>
      <c r="L842" t="s">
        <v>2839</v>
      </c>
      <c r="M842">
        <v>10</v>
      </c>
      <c r="N842" t="s">
        <v>34</v>
      </c>
      <c r="O842" t="s">
        <v>35</v>
      </c>
      <c r="Q842" t="s">
        <v>36</v>
      </c>
      <c r="R842">
        <v>25</v>
      </c>
      <c r="S842" t="s">
        <v>77</v>
      </c>
      <c r="T842" t="s">
        <v>50</v>
      </c>
      <c r="U842">
        <v>5</v>
      </c>
      <c r="V842" t="s">
        <v>62</v>
      </c>
      <c r="W842" t="s">
        <v>51</v>
      </c>
      <c r="X842" t="s">
        <v>109</v>
      </c>
      <c r="Y842" t="s">
        <v>53</v>
      </c>
    </row>
    <row r="843" spans="1:25">
      <c r="A843" t="s">
        <v>2840</v>
      </c>
      <c r="B843" t="s">
        <v>2841</v>
      </c>
      <c r="C843" t="s">
        <v>27</v>
      </c>
      <c r="D843">
        <v>54</v>
      </c>
      <c r="E843" t="s">
        <v>173</v>
      </c>
      <c r="F843" t="s">
        <v>29</v>
      </c>
      <c r="G843" t="s">
        <v>168</v>
      </c>
      <c r="H843" t="s">
        <v>902</v>
      </c>
      <c r="I843" t="s">
        <v>874</v>
      </c>
      <c r="J843">
        <v>4</v>
      </c>
      <c r="K843" t="s">
        <v>902</v>
      </c>
      <c r="L843" t="s">
        <v>2842</v>
      </c>
      <c r="M843">
        <v>11</v>
      </c>
      <c r="N843" t="s">
        <v>34</v>
      </c>
      <c r="O843" t="s">
        <v>35</v>
      </c>
      <c r="Q843" t="s">
        <v>132</v>
      </c>
      <c r="R843">
        <v>25</v>
      </c>
      <c r="S843" t="s">
        <v>49</v>
      </c>
      <c r="T843" t="s">
        <v>69</v>
      </c>
      <c r="U843">
        <v>1</v>
      </c>
      <c r="V843" t="s">
        <v>70</v>
      </c>
      <c r="W843" t="s">
        <v>51</v>
      </c>
      <c r="X843" t="s">
        <v>109</v>
      </c>
      <c r="Y843" t="s">
        <v>42</v>
      </c>
    </row>
    <row r="844" spans="1:25">
      <c r="A844" t="s">
        <v>2843</v>
      </c>
      <c r="B844" t="s">
        <v>2844</v>
      </c>
      <c r="C844" t="s">
        <v>56</v>
      </c>
      <c r="D844">
        <v>59</v>
      </c>
      <c r="E844" t="s">
        <v>149</v>
      </c>
      <c r="F844" t="s">
        <v>29</v>
      </c>
      <c r="G844" t="s">
        <v>83</v>
      </c>
      <c r="H844" t="s">
        <v>893</v>
      </c>
      <c r="I844" t="s">
        <v>2845</v>
      </c>
      <c r="J844">
        <v>6</v>
      </c>
      <c r="K844" t="s">
        <v>189</v>
      </c>
      <c r="L844" t="s">
        <v>2846</v>
      </c>
      <c r="M844">
        <v>13</v>
      </c>
      <c r="N844" t="s">
        <v>34</v>
      </c>
      <c r="O844" t="s">
        <v>35</v>
      </c>
      <c r="Q844" t="s">
        <v>36</v>
      </c>
      <c r="R844">
        <v>40</v>
      </c>
      <c r="S844" t="s">
        <v>37</v>
      </c>
      <c r="T844" t="s">
        <v>50</v>
      </c>
      <c r="U844">
        <v>2</v>
      </c>
      <c r="V844" t="s">
        <v>62</v>
      </c>
      <c r="W844" t="s">
        <v>165</v>
      </c>
      <c r="X844" t="s">
        <v>41</v>
      </c>
      <c r="Y844" t="s">
        <v>42</v>
      </c>
    </row>
    <row r="845" spans="1:25">
      <c r="A845" t="s">
        <v>2847</v>
      </c>
      <c r="B845" t="s">
        <v>2848</v>
      </c>
      <c r="C845" t="s">
        <v>56</v>
      </c>
      <c r="D845">
        <v>68</v>
      </c>
      <c r="E845" t="s">
        <v>92</v>
      </c>
      <c r="F845" t="s">
        <v>29</v>
      </c>
      <c r="G845" t="s">
        <v>93</v>
      </c>
      <c r="H845" t="s">
        <v>130</v>
      </c>
      <c r="I845" t="s">
        <v>2553</v>
      </c>
      <c r="J845">
        <v>24</v>
      </c>
      <c r="K845" t="s">
        <v>405</v>
      </c>
      <c r="L845" t="s">
        <v>2465</v>
      </c>
      <c r="M845">
        <v>30</v>
      </c>
      <c r="N845" t="s">
        <v>34</v>
      </c>
      <c r="O845" t="s">
        <v>35</v>
      </c>
      <c r="Q845" t="s">
        <v>132</v>
      </c>
      <c r="R845">
        <v>50</v>
      </c>
      <c r="S845" t="s">
        <v>77</v>
      </c>
      <c r="T845" t="s">
        <v>50</v>
      </c>
      <c r="U845">
        <v>4</v>
      </c>
      <c r="V845" t="s">
        <v>39</v>
      </c>
      <c r="W845" t="s">
        <v>103</v>
      </c>
      <c r="X845" t="s">
        <v>109</v>
      </c>
      <c r="Y845" t="s">
        <v>53</v>
      </c>
    </row>
    <row r="846" spans="1:25">
      <c r="A846" t="s">
        <v>2849</v>
      </c>
      <c r="B846" t="s">
        <v>2850</v>
      </c>
      <c r="C846" t="s">
        <v>204</v>
      </c>
      <c r="D846">
        <v>15</v>
      </c>
      <c r="E846" t="s">
        <v>92</v>
      </c>
      <c r="F846" t="s">
        <v>29</v>
      </c>
      <c r="G846" t="s">
        <v>150</v>
      </c>
      <c r="H846" t="s">
        <v>482</v>
      </c>
      <c r="I846" t="s">
        <v>2832</v>
      </c>
      <c r="J846">
        <v>24</v>
      </c>
      <c r="K846" t="s">
        <v>118</v>
      </c>
      <c r="L846" t="s">
        <v>2832</v>
      </c>
      <c r="M846">
        <v>24</v>
      </c>
      <c r="N846" t="s">
        <v>68</v>
      </c>
      <c r="O846" t="s">
        <v>35</v>
      </c>
      <c r="Q846" t="s">
        <v>36</v>
      </c>
      <c r="R846">
        <v>50</v>
      </c>
      <c r="S846" t="s">
        <v>77</v>
      </c>
      <c r="T846" t="s">
        <v>164</v>
      </c>
      <c r="U846">
        <v>3</v>
      </c>
      <c r="V846" t="s">
        <v>39</v>
      </c>
      <c r="W846" t="s">
        <v>165</v>
      </c>
      <c r="X846" t="s">
        <v>41</v>
      </c>
      <c r="Y846" t="s">
        <v>42</v>
      </c>
    </row>
    <row r="847" spans="1:25">
      <c r="A847" t="s">
        <v>2851</v>
      </c>
      <c r="B847" t="s">
        <v>2852</v>
      </c>
      <c r="C847" t="s">
        <v>56</v>
      </c>
      <c r="D847">
        <v>61</v>
      </c>
      <c r="E847" t="s">
        <v>28</v>
      </c>
      <c r="F847" t="s">
        <v>29</v>
      </c>
      <c r="G847" t="s">
        <v>45</v>
      </c>
      <c r="H847" t="s">
        <v>845</v>
      </c>
      <c r="I847" t="s">
        <v>543</v>
      </c>
      <c r="J847">
        <v>5</v>
      </c>
      <c r="K847" t="s">
        <v>877</v>
      </c>
      <c r="L847" t="s">
        <v>2853</v>
      </c>
      <c r="M847">
        <v>10</v>
      </c>
      <c r="N847" t="s">
        <v>34</v>
      </c>
      <c r="O847" t="s">
        <v>35</v>
      </c>
      <c r="Q847" t="s">
        <v>36</v>
      </c>
      <c r="R847">
        <v>35</v>
      </c>
      <c r="S847" t="s">
        <v>37</v>
      </c>
      <c r="T847" t="s">
        <v>164</v>
      </c>
      <c r="U847">
        <v>3</v>
      </c>
      <c r="V847" t="s">
        <v>70</v>
      </c>
      <c r="W847" t="s">
        <v>103</v>
      </c>
      <c r="X847" t="s">
        <v>109</v>
      </c>
      <c r="Y847" t="s">
        <v>53</v>
      </c>
    </row>
    <row r="848" spans="1:25">
      <c r="A848" t="s">
        <v>2854</v>
      </c>
      <c r="B848" t="s">
        <v>2855</v>
      </c>
      <c r="C848" t="s">
        <v>56</v>
      </c>
      <c r="D848">
        <v>89</v>
      </c>
      <c r="E848" t="s">
        <v>149</v>
      </c>
      <c r="F848" t="s">
        <v>29</v>
      </c>
      <c r="G848" t="s">
        <v>45</v>
      </c>
      <c r="H848" t="s">
        <v>1240</v>
      </c>
      <c r="I848" t="s">
        <v>2856</v>
      </c>
      <c r="J848">
        <v>6</v>
      </c>
      <c r="K848" t="s">
        <v>1240</v>
      </c>
      <c r="L848" t="s">
        <v>897</v>
      </c>
      <c r="M848">
        <v>9</v>
      </c>
      <c r="N848" t="s">
        <v>34</v>
      </c>
      <c r="O848" t="s">
        <v>35</v>
      </c>
      <c r="Q848" t="s">
        <v>132</v>
      </c>
      <c r="R848">
        <v>40</v>
      </c>
      <c r="S848" t="s">
        <v>37</v>
      </c>
      <c r="T848" t="s">
        <v>164</v>
      </c>
      <c r="U848">
        <v>3</v>
      </c>
      <c r="V848" t="s">
        <v>70</v>
      </c>
      <c r="W848" t="s">
        <v>51</v>
      </c>
      <c r="X848" t="s">
        <v>41</v>
      </c>
      <c r="Y848" t="s">
        <v>53</v>
      </c>
    </row>
    <row r="849" spans="1:25">
      <c r="A849" t="s">
        <v>2857</v>
      </c>
      <c r="B849" t="s">
        <v>2858</v>
      </c>
      <c r="C849" t="s">
        <v>80</v>
      </c>
      <c r="D849">
        <v>2</v>
      </c>
      <c r="E849" t="s">
        <v>81</v>
      </c>
      <c r="F849" t="s">
        <v>82</v>
      </c>
      <c r="G849" t="s">
        <v>93</v>
      </c>
      <c r="H849" t="s">
        <v>431</v>
      </c>
      <c r="I849" t="s">
        <v>1236</v>
      </c>
      <c r="J849">
        <v>8</v>
      </c>
      <c r="K849" t="s">
        <v>431</v>
      </c>
      <c r="L849" t="s">
        <v>2859</v>
      </c>
      <c r="M849">
        <v>10</v>
      </c>
      <c r="N849" t="s">
        <v>34</v>
      </c>
      <c r="O849" t="s">
        <v>35</v>
      </c>
      <c r="Q849" t="s">
        <v>36</v>
      </c>
      <c r="R849">
        <v>20</v>
      </c>
      <c r="S849" t="s">
        <v>77</v>
      </c>
      <c r="T849" t="s">
        <v>96</v>
      </c>
      <c r="U849">
        <v>4</v>
      </c>
      <c r="V849" t="s">
        <v>62</v>
      </c>
      <c r="W849" t="s">
        <v>165</v>
      </c>
      <c r="X849" t="s">
        <v>41</v>
      </c>
      <c r="Y849" t="s">
        <v>42</v>
      </c>
    </row>
    <row r="850" spans="1:25">
      <c r="A850" t="s">
        <v>2860</v>
      </c>
      <c r="B850" t="s">
        <v>2861</v>
      </c>
      <c r="C850" t="s">
        <v>27</v>
      </c>
      <c r="D850">
        <v>68</v>
      </c>
      <c r="E850" t="s">
        <v>149</v>
      </c>
      <c r="F850" t="s">
        <v>29</v>
      </c>
      <c r="G850" t="s">
        <v>150</v>
      </c>
      <c r="H850" t="s">
        <v>2565</v>
      </c>
      <c r="I850" t="s">
        <v>469</v>
      </c>
      <c r="J850">
        <v>6</v>
      </c>
      <c r="K850" t="s">
        <v>2565</v>
      </c>
      <c r="L850" t="s">
        <v>2862</v>
      </c>
      <c r="M850">
        <v>9</v>
      </c>
      <c r="N850" t="s">
        <v>34</v>
      </c>
      <c r="O850" t="s">
        <v>35</v>
      </c>
      <c r="Q850" t="s">
        <v>36</v>
      </c>
      <c r="R850">
        <v>40</v>
      </c>
      <c r="S850" t="s">
        <v>77</v>
      </c>
      <c r="T850" t="s">
        <v>164</v>
      </c>
      <c r="U850">
        <v>5</v>
      </c>
      <c r="V850" t="s">
        <v>62</v>
      </c>
      <c r="W850" t="s">
        <v>40</v>
      </c>
      <c r="X850" t="s">
        <v>109</v>
      </c>
      <c r="Y850" t="s">
        <v>53</v>
      </c>
    </row>
    <row r="851" spans="1:25">
      <c r="A851" t="s">
        <v>2863</v>
      </c>
      <c r="B851" t="s">
        <v>2864</v>
      </c>
      <c r="C851" t="s">
        <v>27</v>
      </c>
      <c r="D851">
        <v>12</v>
      </c>
      <c r="E851" t="s">
        <v>92</v>
      </c>
      <c r="F851" t="s">
        <v>29</v>
      </c>
      <c r="G851" t="s">
        <v>150</v>
      </c>
      <c r="H851" t="s">
        <v>291</v>
      </c>
      <c r="I851" t="s">
        <v>1478</v>
      </c>
      <c r="J851">
        <v>24</v>
      </c>
      <c r="K851" t="s">
        <v>128</v>
      </c>
      <c r="L851" t="s">
        <v>142</v>
      </c>
      <c r="M851">
        <v>30</v>
      </c>
      <c r="N851" t="s">
        <v>34</v>
      </c>
      <c r="O851" t="s">
        <v>35</v>
      </c>
      <c r="Q851" t="s">
        <v>36</v>
      </c>
      <c r="R851">
        <v>50</v>
      </c>
      <c r="S851" t="s">
        <v>77</v>
      </c>
      <c r="T851" t="s">
        <v>69</v>
      </c>
      <c r="U851">
        <v>4</v>
      </c>
      <c r="V851" t="s">
        <v>89</v>
      </c>
      <c r="W851" t="s">
        <v>40</v>
      </c>
      <c r="X851" t="s">
        <v>109</v>
      </c>
      <c r="Y851" t="s">
        <v>53</v>
      </c>
    </row>
    <row r="852" spans="1:25">
      <c r="A852" t="s">
        <v>2865</v>
      </c>
      <c r="B852" t="s">
        <v>2866</v>
      </c>
      <c r="C852" t="s">
        <v>204</v>
      </c>
      <c r="D852">
        <v>65</v>
      </c>
      <c r="E852" t="s">
        <v>57</v>
      </c>
      <c r="F852" t="s">
        <v>29</v>
      </c>
      <c r="G852" t="s">
        <v>93</v>
      </c>
      <c r="H852" t="s">
        <v>74</v>
      </c>
      <c r="I852" t="s">
        <v>812</v>
      </c>
      <c r="J852">
        <v>3</v>
      </c>
      <c r="K852" t="s">
        <v>74</v>
      </c>
      <c r="L852" t="s">
        <v>2867</v>
      </c>
      <c r="M852">
        <v>6</v>
      </c>
      <c r="N852" t="s">
        <v>34</v>
      </c>
      <c r="O852" t="s">
        <v>35</v>
      </c>
      <c r="Q852" t="s">
        <v>36</v>
      </c>
      <c r="R852">
        <v>15</v>
      </c>
      <c r="S852" t="s">
        <v>37</v>
      </c>
      <c r="T852" t="s">
        <v>69</v>
      </c>
      <c r="U852">
        <v>4</v>
      </c>
      <c r="V852" t="s">
        <v>89</v>
      </c>
      <c r="W852" t="s">
        <v>165</v>
      </c>
      <c r="X852" t="s">
        <v>109</v>
      </c>
      <c r="Y852" t="s">
        <v>53</v>
      </c>
    </row>
    <row r="853" spans="1:25">
      <c r="A853" t="s">
        <v>2868</v>
      </c>
      <c r="B853" t="s">
        <v>2869</v>
      </c>
      <c r="C853" t="s">
        <v>204</v>
      </c>
      <c r="D853">
        <v>7</v>
      </c>
      <c r="E853" t="s">
        <v>28</v>
      </c>
      <c r="F853" t="s">
        <v>29</v>
      </c>
      <c r="G853" t="s">
        <v>30</v>
      </c>
      <c r="H853" t="s">
        <v>442</v>
      </c>
      <c r="I853" t="s">
        <v>901</v>
      </c>
      <c r="J853">
        <v>5</v>
      </c>
      <c r="K853" t="s">
        <v>442</v>
      </c>
      <c r="L853" t="s">
        <v>381</v>
      </c>
      <c r="M853">
        <v>7</v>
      </c>
      <c r="N853" t="s">
        <v>34</v>
      </c>
      <c r="O853" t="s">
        <v>35</v>
      </c>
      <c r="Q853" t="s">
        <v>36</v>
      </c>
      <c r="R853">
        <v>35</v>
      </c>
      <c r="S853" t="s">
        <v>49</v>
      </c>
      <c r="T853" t="s">
        <v>96</v>
      </c>
      <c r="U853">
        <v>3</v>
      </c>
      <c r="V853" t="s">
        <v>70</v>
      </c>
      <c r="W853" t="s">
        <v>165</v>
      </c>
      <c r="X853" t="s">
        <v>52</v>
      </c>
      <c r="Y853" t="s">
        <v>71</v>
      </c>
    </row>
    <row r="854" spans="1:25">
      <c r="A854" t="s">
        <v>2870</v>
      </c>
      <c r="B854" t="s">
        <v>2871</v>
      </c>
      <c r="C854" t="s">
        <v>27</v>
      </c>
      <c r="D854">
        <v>38</v>
      </c>
      <c r="E854" t="s">
        <v>28</v>
      </c>
      <c r="F854" t="s">
        <v>29</v>
      </c>
      <c r="G854" t="s">
        <v>93</v>
      </c>
      <c r="H854" t="s">
        <v>1412</v>
      </c>
      <c r="I854" t="s">
        <v>310</v>
      </c>
      <c r="J854">
        <v>5</v>
      </c>
      <c r="K854" t="s">
        <v>1412</v>
      </c>
      <c r="L854" t="s">
        <v>311</v>
      </c>
      <c r="M854">
        <v>5</v>
      </c>
      <c r="N854" t="s">
        <v>68</v>
      </c>
      <c r="O854" t="s">
        <v>35</v>
      </c>
      <c r="Q854" t="s">
        <v>36</v>
      </c>
      <c r="R854">
        <v>35</v>
      </c>
      <c r="S854" t="s">
        <v>77</v>
      </c>
      <c r="T854" t="s">
        <v>88</v>
      </c>
      <c r="U854">
        <v>4</v>
      </c>
      <c r="V854" t="s">
        <v>62</v>
      </c>
      <c r="W854" t="s">
        <v>103</v>
      </c>
      <c r="X854" t="s">
        <v>41</v>
      </c>
      <c r="Y854" t="s">
        <v>53</v>
      </c>
    </row>
    <row r="855" spans="1:25">
      <c r="A855" t="s">
        <v>2872</v>
      </c>
      <c r="B855" t="s">
        <v>2873</v>
      </c>
      <c r="C855" t="s">
        <v>80</v>
      </c>
      <c r="D855">
        <v>64</v>
      </c>
      <c r="E855" t="s">
        <v>57</v>
      </c>
      <c r="F855" t="s">
        <v>29</v>
      </c>
      <c r="G855" t="s">
        <v>30</v>
      </c>
      <c r="H855" t="s">
        <v>211</v>
      </c>
      <c r="I855" t="s">
        <v>947</v>
      </c>
      <c r="J855">
        <v>3</v>
      </c>
      <c r="K855" t="s">
        <v>211</v>
      </c>
      <c r="L855" t="s">
        <v>2874</v>
      </c>
      <c r="M855">
        <v>9</v>
      </c>
      <c r="N855" t="s">
        <v>34</v>
      </c>
      <c r="O855" t="s">
        <v>35</v>
      </c>
      <c r="Q855" t="s">
        <v>36</v>
      </c>
      <c r="R855">
        <v>15</v>
      </c>
      <c r="S855" t="s">
        <v>37</v>
      </c>
      <c r="T855" t="s">
        <v>38</v>
      </c>
      <c r="U855">
        <v>3</v>
      </c>
      <c r="V855" t="s">
        <v>89</v>
      </c>
      <c r="W855" t="s">
        <v>165</v>
      </c>
      <c r="X855" t="s">
        <v>52</v>
      </c>
      <c r="Y855" t="s">
        <v>53</v>
      </c>
    </row>
    <row r="856" spans="1:25">
      <c r="A856" t="s">
        <v>2875</v>
      </c>
      <c r="B856" t="s">
        <v>2876</v>
      </c>
      <c r="C856" t="s">
        <v>56</v>
      </c>
      <c r="D856">
        <v>79</v>
      </c>
      <c r="E856" t="s">
        <v>92</v>
      </c>
      <c r="F856" t="s">
        <v>29</v>
      </c>
      <c r="G856" t="s">
        <v>30</v>
      </c>
      <c r="H856" t="s">
        <v>262</v>
      </c>
      <c r="I856" t="s">
        <v>279</v>
      </c>
      <c r="J856">
        <v>24</v>
      </c>
      <c r="K856" t="s">
        <v>333</v>
      </c>
      <c r="L856" t="s">
        <v>2877</v>
      </c>
      <c r="M856">
        <v>32</v>
      </c>
      <c r="N856" t="s">
        <v>34</v>
      </c>
      <c r="O856" t="s">
        <v>270</v>
      </c>
      <c r="P856" t="s">
        <v>271</v>
      </c>
      <c r="Q856" t="s">
        <v>36</v>
      </c>
      <c r="R856">
        <v>50</v>
      </c>
      <c r="S856" t="s">
        <v>37</v>
      </c>
      <c r="T856" t="s">
        <v>164</v>
      </c>
      <c r="U856">
        <v>1</v>
      </c>
      <c r="V856" t="s">
        <v>39</v>
      </c>
      <c r="W856" t="s">
        <v>103</v>
      </c>
      <c r="X856" t="s">
        <v>52</v>
      </c>
      <c r="Y856" t="s">
        <v>53</v>
      </c>
    </row>
    <row r="857" spans="1:25">
      <c r="A857" t="s">
        <v>2878</v>
      </c>
      <c r="B857" t="s">
        <v>2879</v>
      </c>
      <c r="C857" t="s">
        <v>27</v>
      </c>
      <c r="D857">
        <v>17</v>
      </c>
      <c r="E857" t="s">
        <v>149</v>
      </c>
      <c r="F857" t="s">
        <v>29</v>
      </c>
      <c r="G857" t="s">
        <v>30</v>
      </c>
      <c r="H857" t="s">
        <v>1097</v>
      </c>
      <c r="I857" t="s">
        <v>370</v>
      </c>
      <c r="J857">
        <v>6</v>
      </c>
      <c r="K857" t="s">
        <v>1097</v>
      </c>
      <c r="L857" t="s">
        <v>2880</v>
      </c>
      <c r="M857">
        <v>13</v>
      </c>
      <c r="N857" t="s">
        <v>34</v>
      </c>
      <c r="O857" t="s">
        <v>35</v>
      </c>
      <c r="Q857" t="s">
        <v>36</v>
      </c>
      <c r="R857">
        <v>40</v>
      </c>
      <c r="S857" t="s">
        <v>37</v>
      </c>
      <c r="T857" t="s">
        <v>38</v>
      </c>
      <c r="U857">
        <v>3</v>
      </c>
      <c r="V857" t="s">
        <v>62</v>
      </c>
      <c r="W857" t="s">
        <v>40</v>
      </c>
      <c r="X857" t="s">
        <v>52</v>
      </c>
      <c r="Y857" t="s">
        <v>71</v>
      </c>
    </row>
    <row r="858" spans="1:25">
      <c r="A858" t="s">
        <v>2881</v>
      </c>
      <c r="B858" t="s">
        <v>2882</v>
      </c>
      <c r="C858" t="s">
        <v>204</v>
      </c>
      <c r="D858">
        <v>46</v>
      </c>
      <c r="E858" t="s">
        <v>92</v>
      </c>
      <c r="F858" t="s">
        <v>29</v>
      </c>
      <c r="G858" t="s">
        <v>45</v>
      </c>
      <c r="H858" t="s">
        <v>446</v>
      </c>
      <c r="I858" t="s">
        <v>1146</v>
      </c>
      <c r="J858">
        <v>24</v>
      </c>
      <c r="K858" t="s">
        <v>217</v>
      </c>
      <c r="L858" t="s">
        <v>2883</v>
      </c>
      <c r="M858">
        <v>23</v>
      </c>
      <c r="N858" t="s">
        <v>68</v>
      </c>
      <c r="O858" t="s">
        <v>270</v>
      </c>
      <c r="P858" t="s">
        <v>677</v>
      </c>
      <c r="Q858" t="s">
        <v>36</v>
      </c>
      <c r="R858">
        <v>50</v>
      </c>
      <c r="S858" t="s">
        <v>37</v>
      </c>
      <c r="T858" t="s">
        <v>88</v>
      </c>
      <c r="U858">
        <v>4</v>
      </c>
      <c r="V858" t="s">
        <v>62</v>
      </c>
      <c r="W858" t="s">
        <v>51</v>
      </c>
      <c r="X858" t="s">
        <v>52</v>
      </c>
      <c r="Y858" t="s">
        <v>53</v>
      </c>
    </row>
    <row r="859" spans="1:25">
      <c r="A859" t="s">
        <v>2884</v>
      </c>
      <c r="B859" t="s">
        <v>2885</v>
      </c>
      <c r="C859" t="s">
        <v>204</v>
      </c>
      <c r="D859">
        <v>84</v>
      </c>
      <c r="E859" t="s">
        <v>28</v>
      </c>
      <c r="F859" t="s">
        <v>29</v>
      </c>
      <c r="G859" t="s">
        <v>58</v>
      </c>
      <c r="H859" t="s">
        <v>1213</v>
      </c>
      <c r="I859" t="s">
        <v>2856</v>
      </c>
      <c r="J859">
        <v>5</v>
      </c>
      <c r="K859" t="s">
        <v>1213</v>
      </c>
      <c r="L859" t="s">
        <v>2886</v>
      </c>
      <c r="M859">
        <v>13</v>
      </c>
      <c r="N859" t="s">
        <v>34</v>
      </c>
      <c r="O859" t="s">
        <v>35</v>
      </c>
      <c r="Q859" t="s">
        <v>36</v>
      </c>
      <c r="R859">
        <v>35</v>
      </c>
      <c r="S859" t="s">
        <v>49</v>
      </c>
      <c r="T859" t="s">
        <v>88</v>
      </c>
      <c r="U859">
        <v>5</v>
      </c>
      <c r="V859" t="s">
        <v>70</v>
      </c>
      <c r="W859" t="s">
        <v>165</v>
      </c>
      <c r="X859" t="s">
        <v>52</v>
      </c>
      <c r="Y859" t="s">
        <v>71</v>
      </c>
    </row>
    <row r="860" spans="1:25">
      <c r="A860" t="s">
        <v>2887</v>
      </c>
      <c r="B860" t="s">
        <v>2888</v>
      </c>
      <c r="C860" t="s">
        <v>27</v>
      </c>
      <c r="D860">
        <v>56</v>
      </c>
      <c r="E860" t="s">
        <v>92</v>
      </c>
      <c r="F860" t="s">
        <v>29</v>
      </c>
      <c r="G860" t="s">
        <v>30</v>
      </c>
      <c r="H860" t="s">
        <v>537</v>
      </c>
      <c r="I860" t="s">
        <v>2845</v>
      </c>
      <c r="J860">
        <v>24</v>
      </c>
      <c r="K860" t="s">
        <v>305</v>
      </c>
      <c r="L860" t="s">
        <v>753</v>
      </c>
      <c r="M860">
        <v>26</v>
      </c>
      <c r="N860" t="s">
        <v>34</v>
      </c>
      <c r="O860" t="s">
        <v>35</v>
      </c>
      <c r="Q860" t="s">
        <v>36</v>
      </c>
      <c r="R860">
        <v>50</v>
      </c>
      <c r="S860" t="s">
        <v>77</v>
      </c>
      <c r="T860" t="s">
        <v>50</v>
      </c>
      <c r="U860">
        <v>2</v>
      </c>
      <c r="V860" t="s">
        <v>89</v>
      </c>
      <c r="W860" t="s">
        <v>40</v>
      </c>
      <c r="X860" t="s">
        <v>52</v>
      </c>
      <c r="Y860" t="s">
        <v>42</v>
      </c>
    </row>
    <row r="861" spans="1:25">
      <c r="A861" t="s">
        <v>2889</v>
      </c>
      <c r="B861" t="s">
        <v>2890</v>
      </c>
      <c r="C861" t="s">
        <v>56</v>
      </c>
      <c r="D861">
        <v>4</v>
      </c>
      <c r="E861" t="s">
        <v>81</v>
      </c>
      <c r="F861" t="s">
        <v>82</v>
      </c>
      <c r="G861" t="s">
        <v>83</v>
      </c>
      <c r="H861" t="s">
        <v>338</v>
      </c>
      <c r="I861" t="s">
        <v>1691</v>
      </c>
      <c r="J861">
        <v>8</v>
      </c>
      <c r="K861" t="s">
        <v>338</v>
      </c>
      <c r="L861" t="s">
        <v>923</v>
      </c>
      <c r="M861">
        <v>8</v>
      </c>
      <c r="N861" t="s">
        <v>68</v>
      </c>
      <c r="O861" t="s">
        <v>35</v>
      </c>
      <c r="Q861" t="s">
        <v>36</v>
      </c>
      <c r="R861">
        <v>20</v>
      </c>
      <c r="S861" t="s">
        <v>49</v>
      </c>
      <c r="T861" t="s">
        <v>88</v>
      </c>
      <c r="U861">
        <v>4</v>
      </c>
      <c r="V861" t="s">
        <v>39</v>
      </c>
      <c r="W861" t="s">
        <v>40</v>
      </c>
      <c r="X861" t="s">
        <v>41</v>
      </c>
      <c r="Y861" t="s">
        <v>53</v>
      </c>
    </row>
    <row r="862" spans="1:25">
      <c r="A862" t="s">
        <v>2891</v>
      </c>
      <c r="B862" t="s">
        <v>2892</v>
      </c>
      <c r="C862" t="s">
        <v>27</v>
      </c>
      <c r="D862">
        <v>30</v>
      </c>
      <c r="E862" t="s">
        <v>57</v>
      </c>
      <c r="F862" t="s">
        <v>29</v>
      </c>
      <c r="G862" t="s">
        <v>168</v>
      </c>
      <c r="H862" t="s">
        <v>1626</v>
      </c>
      <c r="I862" t="s">
        <v>2838</v>
      </c>
      <c r="J862">
        <v>3</v>
      </c>
      <c r="K862" t="s">
        <v>1626</v>
      </c>
      <c r="L862" t="s">
        <v>1701</v>
      </c>
      <c r="M862">
        <v>6</v>
      </c>
      <c r="N862" t="s">
        <v>34</v>
      </c>
      <c r="O862" t="s">
        <v>35</v>
      </c>
      <c r="Q862" t="s">
        <v>36</v>
      </c>
      <c r="R862">
        <v>15</v>
      </c>
      <c r="S862" t="s">
        <v>37</v>
      </c>
      <c r="T862" t="s">
        <v>164</v>
      </c>
      <c r="U862">
        <v>1</v>
      </c>
      <c r="V862" t="s">
        <v>62</v>
      </c>
      <c r="W862" t="s">
        <v>165</v>
      </c>
      <c r="X862" t="s">
        <v>41</v>
      </c>
      <c r="Y862" t="s">
        <v>71</v>
      </c>
    </row>
    <row r="863" spans="1:25">
      <c r="A863" t="s">
        <v>2893</v>
      </c>
      <c r="B863" t="s">
        <v>2894</v>
      </c>
      <c r="C863" t="s">
        <v>27</v>
      </c>
      <c r="D863">
        <v>34</v>
      </c>
      <c r="E863" t="s">
        <v>57</v>
      </c>
      <c r="F863" t="s">
        <v>29</v>
      </c>
      <c r="G863" t="s">
        <v>58</v>
      </c>
      <c r="H863" t="s">
        <v>475</v>
      </c>
      <c r="I863" t="s">
        <v>2413</v>
      </c>
      <c r="J863">
        <v>3</v>
      </c>
      <c r="K863" t="s">
        <v>475</v>
      </c>
      <c r="L863" t="s">
        <v>837</v>
      </c>
      <c r="M863">
        <v>2</v>
      </c>
      <c r="N863" t="s">
        <v>68</v>
      </c>
      <c r="O863" t="s">
        <v>35</v>
      </c>
      <c r="Q863" t="s">
        <v>132</v>
      </c>
      <c r="R863">
        <v>15</v>
      </c>
      <c r="S863" t="s">
        <v>37</v>
      </c>
      <c r="T863" t="s">
        <v>69</v>
      </c>
      <c r="U863">
        <v>5</v>
      </c>
      <c r="V863" t="s">
        <v>39</v>
      </c>
      <c r="W863" t="s">
        <v>40</v>
      </c>
      <c r="X863" t="s">
        <v>109</v>
      </c>
      <c r="Y863" t="s">
        <v>42</v>
      </c>
    </row>
    <row r="864" spans="1:25">
      <c r="A864" t="s">
        <v>2895</v>
      </c>
      <c r="B864" t="s">
        <v>2896</v>
      </c>
      <c r="C864" t="s">
        <v>204</v>
      </c>
      <c r="D864">
        <v>45</v>
      </c>
      <c r="E864" t="s">
        <v>57</v>
      </c>
      <c r="F864" t="s">
        <v>29</v>
      </c>
      <c r="G864" t="s">
        <v>58</v>
      </c>
      <c r="H864" t="s">
        <v>446</v>
      </c>
      <c r="I864" t="s">
        <v>573</v>
      </c>
      <c r="J864">
        <v>3</v>
      </c>
      <c r="K864" t="s">
        <v>446</v>
      </c>
      <c r="L864" t="s">
        <v>85</v>
      </c>
      <c r="M864">
        <v>6</v>
      </c>
      <c r="N864" t="s">
        <v>34</v>
      </c>
      <c r="O864" t="s">
        <v>35</v>
      </c>
      <c r="Q864" t="s">
        <v>36</v>
      </c>
      <c r="R864">
        <v>15</v>
      </c>
      <c r="S864" t="s">
        <v>49</v>
      </c>
      <c r="T864" t="s">
        <v>50</v>
      </c>
      <c r="U864">
        <v>2</v>
      </c>
      <c r="V864" t="s">
        <v>62</v>
      </c>
      <c r="W864" t="s">
        <v>103</v>
      </c>
      <c r="X864" t="s">
        <v>41</v>
      </c>
      <c r="Y864" t="s">
        <v>71</v>
      </c>
    </row>
    <row r="865" spans="1:25">
      <c r="A865" t="s">
        <v>2897</v>
      </c>
      <c r="B865" t="s">
        <v>2898</v>
      </c>
      <c r="C865" t="s">
        <v>204</v>
      </c>
      <c r="D865">
        <v>73</v>
      </c>
      <c r="E865" t="s">
        <v>149</v>
      </c>
      <c r="F865" t="s">
        <v>29</v>
      </c>
      <c r="G865" t="s">
        <v>83</v>
      </c>
      <c r="H865" t="s">
        <v>652</v>
      </c>
      <c r="I865" t="s">
        <v>241</v>
      </c>
      <c r="J865">
        <v>6</v>
      </c>
      <c r="K865" t="s">
        <v>652</v>
      </c>
      <c r="L865" t="s">
        <v>115</v>
      </c>
      <c r="M865">
        <v>13</v>
      </c>
      <c r="N865" t="s">
        <v>34</v>
      </c>
      <c r="O865" t="s">
        <v>35</v>
      </c>
      <c r="Q865" t="s">
        <v>36</v>
      </c>
      <c r="R865">
        <v>40</v>
      </c>
      <c r="S865" t="s">
        <v>37</v>
      </c>
      <c r="T865" t="s">
        <v>88</v>
      </c>
      <c r="U865">
        <v>2</v>
      </c>
      <c r="V865" t="s">
        <v>89</v>
      </c>
      <c r="W865" t="s">
        <v>165</v>
      </c>
      <c r="X865" t="s">
        <v>52</v>
      </c>
      <c r="Y865" t="s">
        <v>71</v>
      </c>
    </row>
    <row r="866" spans="1:25">
      <c r="A866" t="s">
        <v>2899</v>
      </c>
      <c r="B866" t="s">
        <v>2900</v>
      </c>
      <c r="C866" t="s">
        <v>27</v>
      </c>
      <c r="D866">
        <v>13</v>
      </c>
      <c r="E866" t="s">
        <v>173</v>
      </c>
      <c r="F866" t="s">
        <v>29</v>
      </c>
      <c r="G866" t="s">
        <v>168</v>
      </c>
      <c r="H866" t="s">
        <v>451</v>
      </c>
      <c r="I866" t="s">
        <v>2901</v>
      </c>
      <c r="J866">
        <v>4</v>
      </c>
      <c r="K866" t="s">
        <v>451</v>
      </c>
      <c r="L866" t="s">
        <v>1274</v>
      </c>
      <c r="M866">
        <v>5</v>
      </c>
      <c r="N866" t="s">
        <v>34</v>
      </c>
      <c r="O866" t="s">
        <v>35</v>
      </c>
      <c r="Q866" t="s">
        <v>36</v>
      </c>
      <c r="R866">
        <v>25</v>
      </c>
      <c r="S866" t="s">
        <v>37</v>
      </c>
      <c r="T866" t="s">
        <v>96</v>
      </c>
      <c r="U866">
        <v>4</v>
      </c>
      <c r="V866" t="s">
        <v>70</v>
      </c>
      <c r="W866" t="s">
        <v>103</v>
      </c>
      <c r="X866" t="s">
        <v>41</v>
      </c>
      <c r="Y866" t="s">
        <v>42</v>
      </c>
    </row>
    <row r="867" spans="1:25">
      <c r="A867" t="s">
        <v>2902</v>
      </c>
      <c r="B867" t="s">
        <v>2903</v>
      </c>
      <c r="C867" t="s">
        <v>56</v>
      </c>
      <c r="D867">
        <v>19</v>
      </c>
      <c r="E867" t="s">
        <v>149</v>
      </c>
      <c r="F867" t="s">
        <v>29</v>
      </c>
      <c r="G867" t="s">
        <v>168</v>
      </c>
      <c r="H867" t="s">
        <v>106</v>
      </c>
      <c r="I867" t="s">
        <v>2812</v>
      </c>
      <c r="J867">
        <v>6</v>
      </c>
      <c r="K867" t="s">
        <v>1804</v>
      </c>
      <c r="L867" t="s">
        <v>2145</v>
      </c>
      <c r="M867">
        <v>11</v>
      </c>
      <c r="N867" t="s">
        <v>34</v>
      </c>
      <c r="O867" t="s">
        <v>35</v>
      </c>
      <c r="Q867" t="s">
        <v>36</v>
      </c>
      <c r="R867">
        <v>40</v>
      </c>
      <c r="S867" t="s">
        <v>37</v>
      </c>
      <c r="T867" t="s">
        <v>69</v>
      </c>
      <c r="U867">
        <v>2</v>
      </c>
      <c r="V867" t="s">
        <v>62</v>
      </c>
      <c r="W867" t="s">
        <v>103</v>
      </c>
      <c r="X867" t="s">
        <v>41</v>
      </c>
      <c r="Y867" t="s">
        <v>53</v>
      </c>
    </row>
    <row r="868" spans="1:25">
      <c r="A868" t="s">
        <v>2904</v>
      </c>
      <c r="B868" t="s">
        <v>2905</v>
      </c>
      <c r="C868" t="s">
        <v>27</v>
      </c>
      <c r="D868">
        <v>8</v>
      </c>
      <c r="E868" t="s">
        <v>92</v>
      </c>
      <c r="F868" t="s">
        <v>29</v>
      </c>
      <c r="G868" t="s">
        <v>93</v>
      </c>
      <c r="H868" t="s">
        <v>1177</v>
      </c>
      <c r="I868" t="s">
        <v>401</v>
      </c>
      <c r="J868">
        <v>24</v>
      </c>
      <c r="K868" t="s">
        <v>1087</v>
      </c>
      <c r="L868" t="s">
        <v>60</v>
      </c>
      <c r="M868">
        <v>28</v>
      </c>
      <c r="N868" t="s">
        <v>34</v>
      </c>
      <c r="O868" t="s">
        <v>35</v>
      </c>
      <c r="Q868" t="s">
        <v>36</v>
      </c>
      <c r="R868">
        <v>50</v>
      </c>
      <c r="S868" t="s">
        <v>37</v>
      </c>
      <c r="T868" t="s">
        <v>88</v>
      </c>
      <c r="U868">
        <v>2</v>
      </c>
      <c r="V868" t="s">
        <v>39</v>
      </c>
      <c r="W868" t="s">
        <v>165</v>
      </c>
      <c r="X868" t="s">
        <v>109</v>
      </c>
      <c r="Y868" t="s">
        <v>53</v>
      </c>
    </row>
    <row r="869" spans="1:25">
      <c r="A869" t="s">
        <v>2906</v>
      </c>
      <c r="B869" t="s">
        <v>2907</v>
      </c>
      <c r="C869" t="s">
        <v>56</v>
      </c>
      <c r="D869">
        <v>82</v>
      </c>
      <c r="E869" t="s">
        <v>28</v>
      </c>
      <c r="F869" t="s">
        <v>29</v>
      </c>
      <c r="G869" t="s">
        <v>30</v>
      </c>
      <c r="H869" t="s">
        <v>369</v>
      </c>
      <c r="I869" t="s">
        <v>2908</v>
      </c>
      <c r="J869">
        <v>5</v>
      </c>
      <c r="K869" t="s">
        <v>427</v>
      </c>
      <c r="L869" t="s">
        <v>2909</v>
      </c>
      <c r="M869">
        <v>12</v>
      </c>
      <c r="N869" t="s">
        <v>34</v>
      </c>
      <c r="O869" t="s">
        <v>35</v>
      </c>
      <c r="Q869" t="s">
        <v>36</v>
      </c>
      <c r="R869">
        <v>35</v>
      </c>
      <c r="S869" t="s">
        <v>49</v>
      </c>
      <c r="T869" t="s">
        <v>164</v>
      </c>
      <c r="U869">
        <v>3</v>
      </c>
      <c r="V869" t="s">
        <v>39</v>
      </c>
      <c r="W869" t="s">
        <v>165</v>
      </c>
      <c r="X869" t="s">
        <v>109</v>
      </c>
      <c r="Y869" t="s">
        <v>53</v>
      </c>
    </row>
    <row r="870" spans="1:25">
      <c r="A870" t="s">
        <v>2910</v>
      </c>
      <c r="B870" t="s">
        <v>2911</v>
      </c>
      <c r="C870" t="s">
        <v>80</v>
      </c>
      <c r="D870">
        <v>53</v>
      </c>
      <c r="E870" t="s">
        <v>28</v>
      </c>
      <c r="F870" t="s">
        <v>29</v>
      </c>
      <c r="G870" t="s">
        <v>93</v>
      </c>
      <c r="H870" t="s">
        <v>1580</v>
      </c>
      <c r="I870" t="s">
        <v>2626</v>
      </c>
      <c r="J870">
        <v>5</v>
      </c>
      <c r="K870" t="s">
        <v>1440</v>
      </c>
      <c r="L870" t="s">
        <v>1252</v>
      </c>
      <c r="M870">
        <v>13</v>
      </c>
      <c r="N870" t="s">
        <v>34</v>
      </c>
      <c r="O870" t="s">
        <v>35</v>
      </c>
      <c r="Q870" t="s">
        <v>36</v>
      </c>
      <c r="R870">
        <v>35</v>
      </c>
      <c r="S870" t="s">
        <v>77</v>
      </c>
      <c r="T870" t="s">
        <v>38</v>
      </c>
      <c r="U870">
        <v>4</v>
      </c>
      <c r="V870" t="s">
        <v>70</v>
      </c>
      <c r="W870" t="s">
        <v>51</v>
      </c>
      <c r="X870" t="s">
        <v>52</v>
      </c>
      <c r="Y870" t="s">
        <v>71</v>
      </c>
    </row>
    <row r="871" spans="1:25">
      <c r="A871" t="s">
        <v>2912</v>
      </c>
      <c r="B871" t="s">
        <v>2913</v>
      </c>
      <c r="C871" t="s">
        <v>80</v>
      </c>
      <c r="D871">
        <v>19</v>
      </c>
      <c r="E871" t="s">
        <v>81</v>
      </c>
      <c r="F871" t="s">
        <v>82</v>
      </c>
      <c r="G871" t="s">
        <v>83</v>
      </c>
      <c r="H871" t="s">
        <v>879</v>
      </c>
      <c r="I871" t="s">
        <v>816</v>
      </c>
      <c r="J871">
        <v>8</v>
      </c>
      <c r="K871" t="s">
        <v>879</v>
      </c>
      <c r="L871" t="s">
        <v>1569</v>
      </c>
      <c r="M871">
        <v>10</v>
      </c>
      <c r="N871" t="s">
        <v>34</v>
      </c>
      <c r="O871" t="s">
        <v>35</v>
      </c>
      <c r="Q871" t="s">
        <v>36</v>
      </c>
      <c r="R871">
        <v>20</v>
      </c>
      <c r="S871" t="s">
        <v>77</v>
      </c>
      <c r="T871" t="s">
        <v>38</v>
      </c>
      <c r="U871">
        <v>3</v>
      </c>
      <c r="V871" t="s">
        <v>62</v>
      </c>
      <c r="W871" t="s">
        <v>51</v>
      </c>
      <c r="X871" t="s">
        <v>52</v>
      </c>
      <c r="Y871" t="s">
        <v>71</v>
      </c>
    </row>
    <row r="872" spans="1:25">
      <c r="A872" t="s">
        <v>2914</v>
      </c>
      <c r="B872" t="s">
        <v>2915</v>
      </c>
      <c r="C872" t="s">
        <v>27</v>
      </c>
      <c r="D872">
        <v>77</v>
      </c>
      <c r="E872" t="s">
        <v>92</v>
      </c>
      <c r="F872" t="s">
        <v>29</v>
      </c>
      <c r="G872" t="s">
        <v>30</v>
      </c>
      <c r="H872" t="s">
        <v>369</v>
      </c>
      <c r="I872" t="s">
        <v>2916</v>
      </c>
      <c r="J872">
        <v>24</v>
      </c>
      <c r="K872" t="s">
        <v>427</v>
      </c>
      <c r="L872" t="s">
        <v>2916</v>
      </c>
      <c r="M872">
        <v>24</v>
      </c>
      <c r="N872" t="s">
        <v>68</v>
      </c>
      <c r="O872" t="s">
        <v>35</v>
      </c>
      <c r="Q872" t="s">
        <v>36</v>
      </c>
      <c r="R872">
        <v>50</v>
      </c>
      <c r="S872" t="s">
        <v>49</v>
      </c>
      <c r="T872" t="s">
        <v>50</v>
      </c>
      <c r="U872">
        <v>3</v>
      </c>
      <c r="V872" t="s">
        <v>89</v>
      </c>
      <c r="W872" t="s">
        <v>40</v>
      </c>
      <c r="X872" t="s">
        <v>41</v>
      </c>
      <c r="Y872" t="s">
        <v>42</v>
      </c>
    </row>
    <row r="873" spans="1:25">
      <c r="A873" t="s">
        <v>2917</v>
      </c>
      <c r="B873" t="s">
        <v>2918</v>
      </c>
      <c r="C873" t="s">
        <v>56</v>
      </c>
      <c r="D873">
        <v>54</v>
      </c>
      <c r="E873" t="s">
        <v>92</v>
      </c>
      <c r="F873" t="s">
        <v>29</v>
      </c>
      <c r="G873" t="s">
        <v>93</v>
      </c>
      <c r="H873" t="s">
        <v>1097</v>
      </c>
      <c r="I873" t="s">
        <v>438</v>
      </c>
      <c r="J873">
        <v>24</v>
      </c>
      <c r="K873" t="s">
        <v>728</v>
      </c>
      <c r="L873" t="s">
        <v>2542</v>
      </c>
      <c r="M873">
        <v>28</v>
      </c>
      <c r="N873" t="s">
        <v>34</v>
      </c>
      <c r="O873" t="s">
        <v>35</v>
      </c>
      <c r="Q873" t="s">
        <v>36</v>
      </c>
      <c r="R873">
        <v>50</v>
      </c>
      <c r="S873" t="s">
        <v>49</v>
      </c>
      <c r="T873" t="s">
        <v>50</v>
      </c>
      <c r="U873">
        <v>2</v>
      </c>
      <c r="V873" t="s">
        <v>89</v>
      </c>
      <c r="W873" t="s">
        <v>51</v>
      </c>
      <c r="X873" t="s">
        <v>41</v>
      </c>
      <c r="Y873" t="s">
        <v>71</v>
      </c>
    </row>
    <row r="874" spans="1:25">
      <c r="A874" t="s">
        <v>2919</v>
      </c>
      <c r="B874" t="s">
        <v>2920</v>
      </c>
      <c r="C874" t="s">
        <v>80</v>
      </c>
      <c r="D874">
        <v>53</v>
      </c>
      <c r="E874" t="s">
        <v>28</v>
      </c>
      <c r="F874" t="s">
        <v>29</v>
      </c>
      <c r="G874" t="s">
        <v>58</v>
      </c>
      <c r="H874" t="s">
        <v>1240</v>
      </c>
      <c r="I874" t="s">
        <v>292</v>
      </c>
      <c r="J874">
        <v>5</v>
      </c>
      <c r="K874" t="s">
        <v>1240</v>
      </c>
      <c r="L874" t="s">
        <v>2921</v>
      </c>
      <c r="M874">
        <v>5</v>
      </c>
      <c r="N874" t="s">
        <v>68</v>
      </c>
      <c r="O874" t="s">
        <v>35</v>
      </c>
      <c r="Q874" t="s">
        <v>36</v>
      </c>
      <c r="R874">
        <v>35</v>
      </c>
      <c r="S874" t="s">
        <v>37</v>
      </c>
      <c r="T874" t="s">
        <v>96</v>
      </c>
      <c r="U874">
        <v>2</v>
      </c>
      <c r="V874" t="s">
        <v>70</v>
      </c>
      <c r="W874" t="s">
        <v>51</v>
      </c>
      <c r="X874" t="s">
        <v>52</v>
      </c>
      <c r="Y874" t="s">
        <v>53</v>
      </c>
    </row>
    <row r="875" spans="1:25">
      <c r="A875" t="s">
        <v>2922</v>
      </c>
      <c r="B875" t="s">
        <v>2923</v>
      </c>
      <c r="C875" t="s">
        <v>80</v>
      </c>
      <c r="D875">
        <v>87</v>
      </c>
      <c r="E875" t="s">
        <v>92</v>
      </c>
      <c r="F875" t="s">
        <v>29</v>
      </c>
      <c r="G875" t="s">
        <v>93</v>
      </c>
      <c r="H875" t="s">
        <v>353</v>
      </c>
      <c r="I875" t="s">
        <v>1744</v>
      </c>
      <c r="J875">
        <v>24</v>
      </c>
      <c r="K875" t="s">
        <v>355</v>
      </c>
      <c r="L875" t="s">
        <v>2498</v>
      </c>
      <c r="M875">
        <v>30</v>
      </c>
      <c r="N875" t="s">
        <v>34</v>
      </c>
      <c r="O875" t="s">
        <v>35</v>
      </c>
      <c r="Q875" t="s">
        <v>36</v>
      </c>
      <c r="R875">
        <v>-20</v>
      </c>
      <c r="S875" t="s">
        <v>49</v>
      </c>
      <c r="T875" t="s">
        <v>38</v>
      </c>
      <c r="U875">
        <v>2</v>
      </c>
      <c r="V875" t="s">
        <v>62</v>
      </c>
      <c r="W875" t="s">
        <v>165</v>
      </c>
      <c r="X875" t="s">
        <v>109</v>
      </c>
      <c r="Y875" t="s">
        <v>71</v>
      </c>
    </row>
    <row r="876" spans="1:25">
      <c r="A876" t="s">
        <v>2924</v>
      </c>
      <c r="B876" t="s">
        <v>2925</v>
      </c>
      <c r="C876" t="s">
        <v>56</v>
      </c>
      <c r="D876">
        <v>29</v>
      </c>
      <c r="E876" t="s">
        <v>173</v>
      </c>
      <c r="F876" t="s">
        <v>29</v>
      </c>
      <c r="G876" t="s">
        <v>30</v>
      </c>
      <c r="H876" t="s">
        <v>394</v>
      </c>
      <c r="I876" t="s">
        <v>1744</v>
      </c>
      <c r="J876">
        <v>4</v>
      </c>
      <c r="K876" t="s">
        <v>394</v>
      </c>
      <c r="L876" t="s">
        <v>2498</v>
      </c>
      <c r="M876">
        <v>6</v>
      </c>
      <c r="N876" t="s">
        <v>34</v>
      </c>
      <c r="O876" t="s">
        <v>35</v>
      </c>
      <c r="Q876" t="s">
        <v>36</v>
      </c>
      <c r="R876">
        <v>25</v>
      </c>
      <c r="S876" t="s">
        <v>49</v>
      </c>
      <c r="T876" t="s">
        <v>88</v>
      </c>
      <c r="U876">
        <v>2</v>
      </c>
      <c r="V876" t="s">
        <v>39</v>
      </c>
      <c r="W876" t="s">
        <v>165</v>
      </c>
      <c r="X876" t="s">
        <v>41</v>
      </c>
      <c r="Y876" t="s">
        <v>71</v>
      </c>
    </row>
    <row r="877" spans="1:25">
      <c r="A877" t="s">
        <v>2926</v>
      </c>
      <c r="B877" t="s">
        <v>2927</v>
      </c>
      <c r="C877" t="s">
        <v>27</v>
      </c>
      <c r="D877">
        <v>41</v>
      </c>
      <c r="E877" t="s">
        <v>92</v>
      </c>
      <c r="F877" t="s">
        <v>29</v>
      </c>
      <c r="G877" t="s">
        <v>150</v>
      </c>
      <c r="H877" t="s">
        <v>586</v>
      </c>
      <c r="I877" t="s">
        <v>2928</v>
      </c>
      <c r="J877">
        <v>24</v>
      </c>
      <c r="K877" t="s">
        <v>490</v>
      </c>
      <c r="L877" t="s">
        <v>191</v>
      </c>
      <c r="M877">
        <v>32</v>
      </c>
      <c r="N877" t="s">
        <v>34</v>
      </c>
      <c r="O877" t="s">
        <v>35</v>
      </c>
      <c r="Q877" t="s">
        <v>132</v>
      </c>
      <c r="R877">
        <v>50</v>
      </c>
      <c r="S877" t="s">
        <v>77</v>
      </c>
      <c r="T877" t="s">
        <v>50</v>
      </c>
      <c r="U877">
        <v>4</v>
      </c>
      <c r="V877" t="s">
        <v>70</v>
      </c>
      <c r="W877" t="s">
        <v>51</v>
      </c>
      <c r="X877" t="s">
        <v>109</v>
      </c>
      <c r="Y877" t="s">
        <v>42</v>
      </c>
    </row>
    <row r="878" spans="1:25">
      <c r="A878" t="s">
        <v>2929</v>
      </c>
      <c r="B878" t="s">
        <v>2930</v>
      </c>
      <c r="C878" t="s">
        <v>80</v>
      </c>
      <c r="D878">
        <v>77</v>
      </c>
      <c r="E878" t="s">
        <v>57</v>
      </c>
      <c r="F878" t="s">
        <v>29</v>
      </c>
      <c r="G878" t="s">
        <v>45</v>
      </c>
      <c r="H878" t="s">
        <v>1170</v>
      </c>
      <c r="I878" t="s">
        <v>2931</v>
      </c>
      <c r="J878">
        <v>3</v>
      </c>
      <c r="K878" t="s">
        <v>1170</v>
      </c>
      <c r="L878" t="s">
        <v>2932</v>
      </c>
      <c r="M878">
        <v>9</v>
      </c>
      <c r="N878" t="s">
        <v>34</v>
      </c>
      <c r="O878" t="s">
        <v>35</v>
      </c>
      <c r="Q878" t="s">
        <v>36</v>
      </c>
      <c r="R878">
        <v>15</v>
      </c>
      <c r="S878" t="s">
        <v>49</v>
      </c>
      <c r="T878" t="s">
        <v>69</v>
      </c>
      <c r="U878">
        <v>5</v>
      </c>
      <c r="V878" t="s">
        <v>39</v>
      </c>
      <c r="W878" t="s">
        <v>103</v>
      </c>
      <c r="X878" t="s">
        <v>52</v>
      </c>
      <c r="Y878" t="s">
        <v>53</v>
      </c>
    </row>
    <row r="879" spans="1:25">
      <c r="A879" t="s">
        <v>2933</v>
      </c>
      <c r="B879" t="s">
        <v>2934</v>
      </c>
      <c r="C879" t="s">
        <v>80</v>
      </c>
      <c r="D879">
        <v>16</v>
      </c>
      <c r="E879" t="s">
        <v>173</v>
      </c>
      <c r="F879" t="s">
        <v>29</v>
      </c>
      <c r="G879" t="s">
        <v>168</v>
      </c>
      <c r="H879" t="s">
        <v>482</v>
      </c>
      <c r="I879" t="s">
        <v>947</v>
      </c>
      <c r="J879">
        <v>4</v>
      </c>
      <c r="K879" t="s">
        <v>482</v>
      </c>
      <c r="L879" t="s">
        <v>2935</v>
      </c>
      <c r="M879">
        <v>8</v>
      </c>
      <c r="N879" t="s">
        <v>34</v>
      </c>
      <c r="O879" t="s">
        <v>270</v>
      </c>
      <c r="P879" t="s">
        <v>271</v>
      </c>
      <c r="Q879" t="s">
        <v>36</v>
      </c>
      <c r="R879">
        <v>25</v>
      </c>
      <c r="S879" t="s">
        <v>77</v>
      </c>
      <c r="T879" t="s">
        <v>69</v>
      </c>
      <c r="U879">
        <v>2</v>
      </c>
      <c r="V879" t="s">
        <v>89</v>
      </c>
      <c r="W879" t="s">
        <v>51</v>
      </c>
      <c r="X879" t="s">
        <v>41</v>
      </c>
      <c r="Y879" t="s">
        <v>42</v>
      </c>
    </row>
    <row r="880" spans="1:25">
      <c r="A880" t="s">
        <v>2936</v>
      </c>
      <c r="B880" t="s">
        <v>2937</v>
      </c>
      <c r="C880" t="s">
        <v>80</v>
      </c>
      <c r="D880">
        <v>32</v>
      </c>
      <c r="E880" t="s">
        <v>92</v>
      </c>
      <c r="F880" t="s">
        <v>29</v>
      </c>
      <c r="G880" t="s">
        <v>93</v>
      </c>
      <c r="H880" t="s">
        <v>542</v>
      </c>
      <c r="I880" t="s">
        <v>1805</v>
      </c>
      <c r="J880">
        <v>24</v>
      </c>
      <c r="K880" t="s">
        <v>544</v>
      </c>
      <c r="L880" t="s">
        <v>2239</v>
      </c>
      <c r="M880">
        <v>32</v>
      </c>
      <c r="N880" t="s">
        <v>34</v>
      </c>
      <c r="O880" t="s">
        <v>270</v>
      </c>
      <c r="P880" t="s">
        <v>271</v>
      </c>
      <c r="Q880" t="s">
        <v>36</v>
      </c>
      <c r="R880">
        <v>50</v>
      </c>
      <c r="S880" t="s">
        <v>37</v>
      </c>
      <c r="T880" t="s">
        <v>88</v>
      </c>
      <c r="U880">
        <v>2</v>
      </c>
      <c r="V880" t="s">
        <v>89</v>
      </c>
      <c r="W880" t="s">
        <v>40</v>
      </c>
      <c r="X880" t="s">
        <v>41</v>
      </c>
      <c r="Y880" t="s">
        <v>71</v>
      </c>
    </row>
    <row r="881" spans="1:25">
      <c r="A881" t="s">
        <v>2938</v>
      </c>
      <c r="B881" t="s">
        <v>2939</v>
      </c>
      <c r="C881" t="s">
        <v>80</v>
      </c>
      <c r="D881">
        <v>73</v>
      </c>
      <c r="E881" t="s">
        <v>173</v>
      </c>
      <c r="F881" t="s">
        <v>29</v>
      </c>
      <c r="G881" t="s">
        <v>168</v>
      </c>
      <c r="H881" t="s">
        <v>475</v>
      </c>
      <c r="I881" t="s">
        <v>2017</v>
      </c>
      <c r="J881">
        <v>4</v>
      </c>
      <c r="K881" t="s">
        <v>475</v>
      </c>
      <c r="L881" t="s">
        <v>354</v>
      </c>
      <c r="M881">
        <v>6</v>
      </c>
      <c r="N881" t="s">
        <v>34</v>
      </c>
      <c r="O881" t="s">
        <v>270</v>
      </c>
      <c r="P881" t="s">
        <v>391</v>
      </c>
      <c r="Q881" t="s">
        <v>36</v>
      </c>
      <c r="R881">
        <v>25</v>
      </c>
      <c r="S881" t="s">
        <v>77</v>
      </c>
      <c r="T881" t="s">
        <v>50</v>
      </c>
      <c r="U881">
        <v>4</v>
      </c>
      <c r="V881" t="s">
        <v>39</v>
      </c>
      <c r="W881" t="s">
        <v>165</v>
      </c>
      <c r="X881" t="s">
        <v>41</v>
      </c>
      <c r="Y881" t="s">
        <v>53</v>
      </c>
    </row>
    <row r="882" spans="1:25">
      <c r="A882" t="s">
        <v>2940</v>
      </c>
      <c r="B882" t="s">
        <v>2941</v>
      </c>
      <c r="C882" t="s">
        <v>204</v>
      </c>
      <c r="D882">
        <v>27</v>
      </c>
      <c r="E882" t="s">
        <v>28</v>
      </c>
      <c r="F882" t="s">
        <v>29</v>
      </c>
      <c r="G882" t="s">
        <v>30</v>
      </c>
      <c r="H882" t="s">
        <v>2111</v>
      </c>
      <c r="I882" t="s">
        <v>2626</v>
      </c>
      <c r="J882">
        <v>5</v>
      </c>
      <c r="K882" t="s">
        <v>2111</v>
      </c>
      <c r="L882" t="s">
        <v>2649</v>
      </c>
      <c r="M882">
        <v>10</v>
      </c>
      <c r="N882" t="s">
        <v>34</v>
      </c>
      <c r="O882" t="s">
        <v>270</v>
      </c>
      <c r="P882" t="s">
        <v>620</v>
      </c>
      <c r="Q882" t="s">
        <v>36</v>
      </c>
      <c r="R882">
        <v>35</v>
      </c>
      <c r="S882" t="s">
        <v>37</v>
      </c>
      <c r="T882" t="s">
        <v>96</v>
      </c>
      <c r="U882">
        <v>5</v>
      </c>
      <c r="V882" t="s">
        <v>39</v>
      </c>
      <c r="W882" t="s">
        <v>165</v>
      </c>
      <c r="X882" t="s">
        <v>109</v>
      </c>
      <c r="Y882" t="s">
        <v>42</v>
      </c>
    </row>
    <row r="883" spans="1:25">
      <c r="A883" t="s">
        <v>2942</v>
      </c>
      <c r="B883" t="s">
        <v>2943</v>
      </c>
      <c r="C883" t="s">
        <v>56</v>
      </c>
      <c r="D883">
        <v>30</v>
      </c>
      <c r="E883" t="s">
        <v>149</v>
      </c>
      <c r="F883" t="s">
        <v>29</v>
      </c>
      <c r="G883" t="s">
        <v>30</v>
      </c>
      <c r="H883" t="s">
        <v>572</v>
      </c>
      <c r="I883" t="s">
        <v>829</v>
      </c>
      <c r="J883">
        <v>6</v>
      </c>
      <c r="K883" t="s">
        <v>300</v>
      </c>
      <c r="L883" t="s">
        <v>846</v>
      </c>
      <c r="M883">
        <v>9</v>
      </c>
      <c r="N883" t="s">
        <v>34</v>
      </c>
      <c r="O883" t="s">
        <v>35</v>
      </c>
      <c r="Q883" t="s">
        <v>36</v>
      </c>
      <c r="R883">
        <v>40</v>
      </c>
      <c r="S883" t="s">
        <v>49</v>
      </c>
      <c r="T883" t="s">
        <v>88</v>
      </c>
      <c r="U883">
        <v>4</v>
      </c>
      <c r="V883" t="s">
        <v>39</v>
      </c>
      <c r="W883" t="s">
        <v>51</v>
      </c>
      <c r="X883" t="s">
        <v>109</v>
      </c>
      <c r="Y883" t="s">
        <v>42</v>
      </c>
    </row>
    <row r="884" spans="1:25">
      <c r="A884" t="s">
        <v>2944</v>
      </c>
      <c r="B884" t="s">
        <v>2945</v>
      </c>
      <c r="C884" t="s">
        <v>56</v>
      </c>
      <c r="D884">
        <v>67</v>
      </c>
      <c r="E884" t="s">
        <v>57</v>
      </c>
      <c r="F884" t="s">
        <v>29</v>
      </c>
      <c r="G884" t="s">
        <v>58</v>
      </c>
      <c r="H884" t="s">
        <v>278</v>
      </c>
      <c r="I884" t="s">
        <v>1217</v>
      </c>
      <c r="J884">
        <v>3</v>
      </c>
      <c r="K884" t="s">
        <v>278</v>
      </c>
      <c r="L884" t="s">
        <v>1470</v>
      </c>
      <c r="M884">
        <v>11</v>
      </c>
      <c r="N884" t="s">
        <v>34</v>
      </c>
      <c r="O884" t="s">
        <v>35</v>
      </c>
      <c r="Q884" t="s">
        <v>36</v>
      </c>
      <c r="R884">
        <v>15</v>
      </c>
      <c r="S884" t="s">
        <v>37</v>
      </c>
      <c r="T884" t="s">
        <v>38</v>
      </c>
      <c r="U884">
        <v>5</v>
      </c>
      <c r="V884" t="s">
        <v>62</v>
      </c>
      <c r="W884" t="s">
        <v>40</v>
      </c>
      <c r="X884" t="s">
        <v>52</v>
      </c>
      <c r="Y884" t="s">
        <v>53</v>
      </c>
    </row>
    <row r="885" spans="1:25">
      <c r="A885" t="s">
        <v>2946</v>
      </c>
      <c r="B885" t="s">
        <v>2947</v>
      </c>
      <c r="C885" t="s">
        <v>204</v>
      </c>
      <c r="D885">
        <v>21</v>
      </c>
      <c r="E885" t="s">
        <v>28</v>
      </c>
      <c r="F885" t="s">
        <v>29</v>
      </c>
      <c r="G885" t="s">
        <v>30</v>
      </c>
      <c r="H885" t="s">
        <v>652</v>
      </c>
      <c r="I885" t="s">
        <v>1681</v>
      </c>
      <c r="J885">
        <v>5</v>
      </c>
      <c r="K885" t="s">
        <v>1494</v>
      </c>
      <c r="L885" t="s">
        <v>2948</v>
      </c>
      <c r="M885">
        <v>13</v>
      </c>
      <c r="N885" t="s">
        <v>34</v>
      </c>
      <c r="O885" t="s">
        <v>35</v>
      </c>
      <c r="Q885" t="s">
        <v>36</v>
      </c>
      <c r="R885">
        <v>35</v>
      </c>
      <c r="S885" t="s">
        <v>77</v>
      </c>
      <c r="T885" t="s">
        <v>69</v>
      </c>
      <c r="U885">
        <v>4</v>
      </c>
      <c r="V885" t="s">
        <v>89</v>
      </c>
      <c r="W885" t="s">
        <v>51</v>
      </c>
      <c r="X885" t="s">
        <v>52</v>
      </c>
      <c r="Y885" t="s">
        <v>53</v>
      </c>
    </row>
    <row r="886" spans="1:25">
      <c r="A886" t="s">
        <v>2949</v>
      </c>
      <c r="B886" t="s">
        <v>2950</v>
      </c>
      <c r="C886" t="s">
        <v>204</v>
      </c>
      <c r="D886">
        <v>17</v>
      </c>
      <c r="E886" t="s">
        <v>173</v>
      </c>
      <c r="F886" t="s">
        <v>29</v>
      </c>
      <c r="G886" t="s">
        <v>168</v>
      </c>
      <c r="H886" t="s">
        <v>305</v>
      </c>
      <c r="I886" t="s">
        <v>656</v>
      </c>
      <c r="J886">
        <v>4</v>
      </c>
      <c r="K886" t="s">
        <v>900</v>
      </c>
      <c r="L886" t="s">
        <v>1005</v>
      </c>
      <c r="M886">
        <v>10</v>
      </c>
      <c r="N886" t="s">
        <v>34</v>
      </c>
      <c r="O886" t="s">
        <v>35</v>
      </c>
      <c r="Q886" t="s">
        <v>36</v>
      </c>
      <c r="R886">
        <v>25</v>
      </c>
      <c r="S886" t="s">
        <v>77</v>
      </c>
      <c r="T886" t="s">
        <v>50</v>
      </c>
      <c r="U886">
        <v>5</v>
      </c>
      <c r="V886" t="s">
        <v>70</v>
      </c>
      <c r="W886" t="s">
        <v>40</v>
      </c>
      <c r="X886" t="s">
        <v>41</v>
      </c>
      <c r="Y886" t="s">
        <v>53</v>
      </c>
    </row>
    <row r="887" spans="1:25">
      <c r="A887" t="s">
        <v>2951</v>
      </c>
      <c r="B887" t="s">
        <v>2952</v>
      </c>
      <c r="C887" t="s">
        <v>204</v>
      </c>
      <c r="D887">
        <v>79</v>
      </c>
      <c r="E887" t="s">
        <v>81</v>
      </c>
      <c r="F887" t="s">
        <v>82</v>
      </c>
      <c r="G887" t="s">
        <v>83</v>
      </c>
      <c r="H887" t="s">
        <v>784</v>
      </c>
      <c r="I887" t="s">
        <v>417</v>
      </c>
      <c r="J887">
        <v>8</v>
      </c>
      <c r="K887" t="s">
        <v>784</v>
      </c>
      <c r="L887" t="s">
        <v>439</v>
      </c>
      <c r="M887">
        <v>10</v>
      </c>
      <c r="N887" t="s">
        <v>34</v>
      </c>
      <c r="O887" t="s">
        <v>35</v>
      </c>
      <c r="Q887" t="s">
        <v>36</v>
      </c>
      <c r="R887">
        <v>20</v>
      </c>
      <c r="S887" t="s">
        <v>37</v>
      </c>
      <c r="T887" t="s">
        <v>69</v>
      </c>
      <c r="U887">
        <v>1</v>
      </c>
      <c r="V887" t="s">
        <v>62</v>
      </c>
      <c r="W887" t="s">
        <v>40</v>
      </c>
      <c r="X887" t="s">
        <v>52</v>
      </c>
      <c r="Y887" t="s">
        <v>42</v>
      </c>
    </row>
    <row r="888" spans="1:25">
      <c r="A888" t="s">
        <v>2953</v>
      </c>
      <c r="B888" t="s">
        <v>2954</v>
      </c>
      <c r="C888" t="s">
        <v>56</v>
      </c>
      <c r="D888">
        <v>10</v>
      </c>
      <c r="E888" t="s">
        <v>81</v>
      </c>
      <c r="F888" t="s">
        <v>82</v>
      </c>
      <c r="G888" t="s">
        <v>83</v>
      </c>
      <c r="H888" t="s">
        <v>112</v>
      </c>
      <c r="I888" t="s">
        <v>2955</v>
      </c>
      <c r="J888">
        <v>8</v>
      </c>
      <c r="K888" t="s">
        <v>114</v>
      </c>
      <c r="L888" t="s">
        <v>2956</v>
      </c>
      <c r="M888">
        <v>16</v>
      </c>
      <c r="N888" t="s">
        <v>34</v>
      </c>
      <c r="O888" t="s">
        <v>35</v>
      </c>
      <c r="Q888" t="s">
        <v>36</v>
      </c>
      <c r="R888">
        <v>20</v>
      </c>
      <c r="S888" t="s">
        <v>49</v>
      </c>
      <c r="T888" t="s">
        <v>88</v>
      </c>
      <c r="U888">
        <v>1</v>
      </c>
      <c r="V888" t="s">
        <v>70</v>
      </c>
      <c r="W888" t="s">
        <v>103</v>
      </c>
      <c r="X888" t="s">
        <v>109</v>
      </c>
      <c r="Y888" t="s">
        <v>42</v>
      </c>
    </row>
    <row r="889" spans="1:25">
      <c r="A889" t="s">
        <v>2957</v>
      </c>
      <c r="B889" t="s">
        <v>2958</v>
      </c>
      <c r="C889" t="s">
        <v>56</v>
      </c>
      <c r="D889">
        <v>10</v>
      </c>
      <c r="E889" t="s">
        <v>173</v>
      </c>
      <c r="F889" t="s">
        <v>29</v>
      </c>
      <c r="G889" t="s">
        <v>45</v>
      </c>
      <c r="H889" t="s">
        <v>475</v>
      </c>
      <c r="I889" t="s">
        <v>501</v>
      </c>
      <c r="J889">
        <v>4</v>
      </c>
      <c r="K889" t="s">
        <v>475</v>
      </c>
      <c r="L889" t="s">
        <v>412</v>
      </c>
      <c r="M889">
        <v>7</v>
      </c>
      <c r="N889" t="s">
        <v>34</v>
      </c>
      <c r="O889" t="s">
        <v>35</v>
      </c>
      <c r="Q889" t="s">
        <v>36</v>
      </c>
      <c r="R889">
        <v>25</v>
      </c>
      <c r="S889" t="s">
        <v>77</v>
      </c>
      <c r="T889" t="s">
        <v>96</v>
      </c>
      <c r="U889">
        <v>5</v>
      </c>
      <c r="V889" t="s">
        <v>70</v>
      </c>
      <c r="W889" t="s">
        <v>51</v>
      </c>
      <c r="X889" t="s">
        <v>109</v>
      </c>
      <c r="Y889" t="s">
        <v>71</v>
      </c>
    </row>
    <row r="890" spans="1:25">
      <c r="A890" t="s">
        <v>2959</v>
      </c>
      <c r="B890" t="s">
        <v>2960</v>
      </c>
      <c r="C890" t="s">
        <v>27</v>
      </c>
      <c r="D890">
        <v>9</v>
      </c>
      <c r="E890" t="s">
        <v>149</v>
      </c>
      <c r="F890" t="s">
        <v>29</v>
      </c>
      <c r="G890" t="s">
        <v>93</v>
      </c>
      <c r="H890" t="s">
        <v>189</v>
      </c>
      <c r="I890" t="s">
        <v>2921</v>
      </c>
      <c r="J890">
        <v>6</v>
      </c>
      <c r="K890" t="s">
        <v>189</v>
      </c>
      <c r="L890" t="s">
        <v>1312</v>
      </c>
      <c r="M890">
        <v>8</v>
      </c>
      <c r="N890" t="s">
        <v>34</v>
      </c>
      <c r="O890" t="s">
        <v>35</v>
      </c>
      <c r="Q890" t="s">
        <v>36</v>
      </c>
      <c r="R890">
        <v>40</v>
      </c>
      <c r="S890" t="s">
        <v>49</v>
      </c>
      <c r="T890" t="s">
        <v>69</v>
      </c>
      <c r="U890">
        <v>1</v>
      </c>
      <c r="V890" t="s">
        <v>89</v>
      </c>
      <c r="W890" t="s">
        <v>51</v>
      </c>
      <c r="X890" t="s">
        <v>52</v>
      </c>
      <c r="Y890" t="s">
        <v>53</v>
      </c>
    </row>
    <row r="891" spans="1:25">
      <c r="A891" t="s">
        <v>2961</v>
      </c>
      <c r="B891" t="s">
        <v>2962</v>
      </c>
      <c r="C891" t="s">
        <v>204</v>
      </c>
      <c r="D891">
        <v>74</v>
      </c>
      <c r="E891" t="s">
        <v>149</v>
      </c>
      <c r="F891" t="s">
        <v>29</v>
      </c>
      <c r="G891" t="s">
        <v>83</v>
      </c>
      <c r="H891" t="s">
        <v>396</v>
      </c>
      <c r="I891" t="s">
        <v>1957</v>
      </c>
      <c r="J891">
        <v>6</v>
      </c>
      <c r="K891" t="s">
        <v>396</v>
      </c>
      <c r="L891" t="s">
        <v>1320</v>
      </c>
      <c r="M891">
        <v>8</v>
      </c>
      <c r="N891" t="s">
        <v>34</v>
      </c>
      <c r="O891" t="s">
        <v>35</v>
      </c>
      <c r="Q891" t="s">
        <v>36</v>
      </c>
      <c r="R891">
        <v>40</v>
      </c>
      <c r="S891" t="s">
        <v>49</v>
      </c>
      <c r="T891" t="s">
        <v>38</v>
      </c>
      <c r="U891">
        <v>3</v>
      </c>
      <c r="V891" t="s">
        <v>62</v>
      </c>
      <c r="W891" t="s">
        <v>165</v>
      </c>
      <c r="X891" t="s">
        <v>41</v>
      </c>
      <c r="Y891" t="s">
        <v>53</v>
      </c>
    </row>
    <row r="892" spans="1:25">
      <c r="A892" t="s">
        <v>2963</v>
      </c>
      <c r="B892" t="s">
        <v>2964</v>
      </c>
      <c r="C892" t="s">
        <v>27</v>
      </c>
      <c r="D892">
        <v>70</v>
      </c>
      <c r="E892" t="s">
        <v>149</v>
      </c>
      <c r="F892" t="s">
        <v>29</v>
      </c>
      <c r="G892" t="s">
        <v>45</v>
      </c>
      <c r="H892" t="s">
        <v>291</v>
      </c>
      <c r="I892" t="s">
        <v>292</v>
      </c>
      <c r="J892">
        <v>6</v>
      </c>
      <c r="K892" t="s">
        <v>291</v>
      </c>
      <c r="L892" t="s">
        <v>1284</v>
      </c>
      <c r="M892">
        <v>10</v>
      </c>
      <c r="N892" t="s">
        <v>34</v>
      </c>
      <c r="O892" t="s">
        <v>35</v>
      </c>
      <c r="Q892" t="s">
        <v>36</v>
      </c>
      <c r="R892">
        <v>40</v>
      </c>
      <c r="S892" t="s">
        <v>49</v>
      </c>
      <c r="T892" t="s">
        <v>50</v>
      </c>
      <c r="U892">
        <v>5</v>
      </c>
      <c r="V892" t="s">
        <v>70</v>
      </c>
      <c r="W892" t="s">
        <v>165</v>
      </c>
      <c r="X892" t="s">
        <v>52</v>
      </c>
      <c r="Y892" t="s">
        <v>53</v>
      </c>
    </row>
    <row r="893" spans="1:25">
      <c r="A893" t="s">
        <v>2965</v>
      </c>
      <c r="B893" t="s">
        <v>2966</v>
      </c>
      <c r="C893" t="s">
        <v>27</v>
      </c>
      <c r="D893">
        <v>70</v>
      </c>
      <c r="E893" t="s">
        <v>149</v>
      </c>
      <c r="F893" t="s">
        <v>29</v>
      </c>
      <c r="G893" t="s">
        <v>150</v>
      </c>
      <c r="H893" t="s">
        <v>128</v>
      </c>
      <c r="I893" t="s">
        <v>2967</v>
      </c>
      <c r="J893">
        <v>6</v>
      </c>
      <c r="K893" t="s">
        <v>130</v>
      </c>
      <c r="L893" t="s">
        <v>2968</v>
      </c>
      <c r="M893">
        <v>10</v>
      </c>
      <c r="N893" t="s">
        <v>34</v>
      </c>
      <c r="O893" t="s">
        <v>35</v>
      </c>
      <c r="Q893" t="s">
        <v>36</v>
      </c>
      <c r="R893">
        <v>40</v>
      </c>
      <c r="S893" t="s">
        <v>49</v>
      </c>
      <c r="T893" t="s">
        <v>164</v>
      </c>
      <c r="U893">
        <v>1</v>
      </c>
      <c r="V893" t="s">
        <v>89</v>
      </c>
      <c r="W893" t="s">
        <v>51</v>
      </c>
      <c r="X893" t="s">
        <v>109</v>
      </c>
      <c r="Y893" t="s">
        <v>42</v>
      </c>
    </row>
    <row r="894" spans="1:25">
      <c r="A894" t="s">
        <v>2969</v>
      </c>
      <c r="B894" t="s">
        <v>2970</v>
      </c>
      <c r="C894" t="s">
        <v>27</v>
      </c>
      <c r="D894">
        <v>23</v>
      </c>
      <c r="E894" t="s">
        <v>57</v>
      </c>
      <c r="F894" t="s">
        <v>29</v>
      </c>
      <c r="G894" t="s">
        <v>30</v>
      </c>
      <c r="H894" t="s">
        <v>537</v>
      </c>
      <c r="I894" t="s">
        <v>2332</v>
      </c>
      <c r="J894">
        <v>3</v>
      </c>
      <c r="K894" t="s">
        <v>537</v>
      </c>
      <c r="L894" t="s">
        <v>324</v>
      </c>
      <c r="M894">
        <v>5</v>
      </c>
      <c r="N894" t="s">
        <v>34</v>
      </c>
      <c r="O894" t="s">
        <v>35</v>
      </c>
      <c r="Q894" t="s">
        <v>36</v>
      </c>
      <c r="R894">
        <v>15</v>
      </c>
      <c r="S894" t="s">
        <v>77</v>
      </c>
      <c r="T894" t="s">
        <v>164</v>
      </c>
      <c r="U894">
        <v>3</v>
      </c>
      <c r="V894" t="s">
        <v>70</v>
      </c>
      <c r="W894" t="s">
        <v>51</v>
      </c>
      <c r="X894" t="s">
        <v>52</v>
      </c>
      <c r="Y894" t="s">
        <v>53</v>
      </c>
    </row>
    <row r="895" spans="1:25">
      <c r="A895" t="s">
        <v>2971</v>
      </c>
      <c r="B895" t="s">
        <v>2972</v>
      </c>
      <c r="C895" t="s">
        <v>204</v>
      </c>
      <c r="D895">
        <v>58</v>
      </c>
      <c r="E895" t="s">
        <v>28</v>
      </c>
      <c r="F895" t="s">
        <v>29</v>
      </c>
      <c r="G895" t="s">
        <v>30</v>
      </c>
      <c r="H895" t="s">
        <v>446</v>
      </c>
      <c r="I895" t="s">
        <v>1509</v>
      </c>
      <c r="J895">
        <v>5</v>
      </c>
      <c r="K895" t="s">
        <v>446</v>
      </c>
      <c r="L895" t="s">
        <v>2048</v>
      </c>
      <c r="M895">
        <v>4</v>
      </c>
      <c r="N895" t="s">
        <v>68</v>
      </c>
      <c r="O895" t="s">
        <v>35</v>
      </c>
      <c r="Q895" t="s">
        <v>36</v>
      </c>
      <c r="R895">
        <v>35</v>
      </c>
      <c r="S895" t="s">
        <v>49</v>
      </c>
      <c r="T895" t="s">
        <v>96</v>
      </c>
      <c r="U895">
        <v>2</v>
      </c>
      <c r="V895" t="s">
        <v>39</v>
      </c>
      <c r="W895" t="s">
        <v>165</v>
      </c>
      <c r="X895" t="s">
        <v>52</v>
      </c>
      <c r="Y895" t="s">
        <v>53</v>
      </c>
    </row>
    <row r="896" spans="1:25">
      <c r="A896" t="s">
        <v>2973</v>
      </c>
      <c r="B896" t="s">
        <v>2974</v>
      </c>
      <c r="C896" t="s">
        <v>27</v>
      </c>
      <c r="D896">
        <v>39</v>
      </c>
      <c r="E896" t="s">
        <v>173</v>
      </c>
      <c r="F896" t="s">
        <v>29</v>
      </c>
      <c r="G896" t="s">
        <v>168</v>
      </c>
      <c r="H896" t="s">
        <v>1113</v>
      </c>
      <c r="I896" t="s">
        <v>380</v>
      </c>
      <c r="J896">
        <v>4</v>
      </c>
      <c r="K896" t="s">
        <v>1113</v>
      </c>
      <c r="L896" t="s">
        <v>2223</v>
      </c>
      <c r="M896">
        <v>11</v>
      </c>
      <c r="N896" t="s">
        <v>34</v>
      </c>
      <c r="O896" t="s">
        <v>35</v>
      </c>
      <c r="Q896" t="s">
        <v>36</v>
      </c>
      <c r="R896">
        <v>25</v>
      </c>
      <c r="S896" t="s">
        <v>49</v>
      </c>
      <c r="T896" t="s">
        <v>38</v>
      </c>
      <c r="U896">
        <v>1</v>
      </c>
      <c r="V896" t="s">
        <v>70</v>
      </c>
      <c r="W896" t="s">
        <v>40</v>
      </c>
      <c r="X896" t="s">
        <v>109</v>
      </c>
      <c r="Y896" t="s">
        <v>42</v>
      </c>
    </row>
    <row r="897" spans="1:25">
      <c r="A897" t="s">
        <v>2975</v>
      </c>
      <c r="B897" t="s">
        <v>2976</v>
      </c>
      <c r="C897" t="s">
        <v>80</v>
      </c>
      <c r="D897">
        <v>1</v>
      </c>
      <c r="E897" t="s">
        <v>92</v>
      </c>
      <c r="F897" t="s">
        <v>29</v>
      </c>
      <c r="G897" t="s">
        <v>93</v>
      </c>
      <c r="H897" t="s">
        <v>1181</v>
      </c>
      <c r="I897" t="s">
        <v>927</v>
      </c>
      <c r="J897">
        <v>24</v>
      </c>
      <c r="K897" t="s">
        <v>205</v>
      </c>
      <c r="L897" t="s">
        <v>928</v>
      </c>
      <c r="M897">
        <v>29</v>
      </c>
      <c r="N897" t="s">
        <v>34</v>
      </c>
      <c r="O897" t="s">
        <v>270</v>
      </c>
      <c r="P897" t="s">
        <v>271</v>
      </c>
      <c r="Q897" t="s">
        <v>36</v>
      </c>
      <c r="R897">
        <v>50</v>
      </c>
      <c r="S897" t="s">
        <v>49</v>
      </c>
      <c r="T897" t="s">
        <v>38</v>
      </c>
      <c r="U897">
        <v>5</v>
      </c>
      <c r="V897" t="s">
        <v>62</v>
      </c>
      <c r="W897" t="s">
        <v>103</v>
      </c>
      <c r="X897" t="s">
        <v>109</v>
      </c>
      <c r="Y897" t="s">
        <v>71</v>
      </c>
    </row>
    <row r="898" spans="1:25">
      <c r="A898" t="s">
        <v>2977</v>
      </c>
      <c r="B898" t="s">
        <v>2978</v>
      </c>
      <c r="C898" t="s">
        <v>27</v>
      </c>
      <c r="D898">
        <v>29</v>
      </c>
      <c r="E898" t="s">
        <v>173</v>
      </c>
      <c r="F898" t="s">
        <v>29</v>
      </c>
      <c r="G898" t="s">
        <v>45</v>
      </c>
      <c r="H898" t="s">
        <v>1516</v>
      </c>
      <c r="I898" t="s">
        <v>964</v>
      </c>
      <c r="J898">
        <v>4</v>
      </c>
      <c r="K898" t="s">
        <v>1516</v>
      </c>
      <c r="L898" t="s">
        <v>2223</v>
      </c>
      <c r="M898">
        <v>7</v>
      </c>
      <c r="N898" t="s">
        <v>34</v>
      </c>
      <c r="O898" t="s">
        <v>270</v>
      </c>
      <c r="P898" t="s">
        <v>391</v>
      </c>
      <c r="Q898" t="s">
        <v>36</v>
      </c>
      <c r="R898">
        <v>25</v>
      </c>
      <c r="S898" t="s">
        <v>77</v>
      </c>
      <c r="T898" t="s">
        <v>69</v>
      </c>
      <c r="U898">
        <v>1</v>
      </c>
      <c r="V898" t="s">
        <v>70</v>
      </c>
      <c r="W898" t="s">
        <v>51</v>
      </c>
      <c r="X898" t="s">
        <v>41</v>
      </c>
      <c r="Y898" t="s">
        <v>53</v>
      </c>
    </row>
    <row r="899" spans="1:25">
      <c r="A899" t="s">
        <v>2979</v>
      </c>
      <c r="B899" t="s">
        <v>2980</v>
      </c>
      <c r="C899" t="s">
        <v>56</v>
      </c>
      <c r="D899">
        <v>7</v>
      </c>
      <c r="E899" t="s">
        <v>149</v>
      </c>
      <c r="F899" t="s">
        <v>29</v>
      </c>
      <c r="G899" t="s">
        <v>150</v>
      </c>
      <c r="H899" t="s">
        <v>615</v>
      </c>
      <c r="I899" t="s">
        <v>1299</v>
      </c>
      <c r="J899">
        <v>6</v>
      </c>
      <c r="K899" t="s">
        <v>615</v>
      </c>
      <c r="L899" t="s">
        <v>1937</v>
      </c>
      <c r="M899">
        <v>8</v>
      </c>
      <c r="N899" t="s">
        <v>34</v>
      </c>
      <c r="O899" t="s">
        <v>35</v>
      </c>
      <c r="Q899" t="s">
        <v>36</v>
      </c>
      <c r="R899">
        <v>40</v>
      </c>
      <c r="S899" t="s">
        <v>37</v>
      </c>
      <c r="T899" t="s">
        <v>96</v>
      </c>
      <c r="U899">
        <v>1</v>
      </c>
      <c r="V899" t="s">
        <v>70</v>
      </c>
      <c r="W899" t="s">
        <v>51</v>
      </c>
      <c r="X899" t="s">
        <v>52</v>
      </c>
      <c r="Y899" t="s">
        <v>71</v>
      </c>
    </row>
    <row r="900" spans="1:25">
      <c r="A900" t="s">
        <v>2981</v>
      </c>
      <c r="B900" t="s">
        <v>2982</v>
      </c>
      <c r="C900" t="s">
        <v>27</v>
      </c>
      <c r="D900">
        <v>150</v>
      </c>
      <c r="E900" t="s">
        <v>173</v>
      </c>
      <c r="F900" t="s">
        <v>29</v>
      </c>
      <c r="G900" t="s">
        <v>93</v>
      </c>
      <c r="H900" t="s">
        <v>141</v>
      </c>
      <c r="I900" t="s">
        <v>2094</v>
      </c>
      <c r="J900">
        <v>4</v>
      </c>
      <c r="K900" t="s">
        <v>141</v>
      </c>
      <c r="L900" t="s">
        <v>2983</v>
      </c>
      <c r="M900">
        <v>4</v>
      </c>
      <c r="N900" t="s">
        <v>68</v>
      </c>
      <c r="O900" t="s">
        <v>35</v>
      </c>
      <c r="Q900" t="s">
        <v>36</v>
      </c>
      <c r="R900">
        <v>25</v>
      </c>
      <c r="S900" t="s">
        <v>77</v>
      </c>
      <c r="T900" t="s">
        <v>69</v>
      </c>
      <c r="U900">
        <v>3</v>
      </c>
      <c r="V900" t="s">
        <v>70</v>
      </c>
      <c r="W900" t="s">
        <v>103</v>
      </c>
      <c r="X900" t="s">
        <v>52</v>
      </c>
      <c r="Y900" t="s">
        <v>71</v>
      </c>
    </row>
    <row r="901" spans="1:25">
      <c r="A901" t="s">
        <v>2984</v>
      </c>
      <c r="B901" t="s">
        <v>2985</v>
      </c>
      <c r="C901" t="s">
        <v>27</v>
      </c>
      <c r="D901">
        <v>89</v>
      </c>
      <c r="E901" t="s">
        <v>173</v>
      </c>
      <c r="F901" t="s">
        <v>29</v>
      </c>
      <c r="G901" t="s">
        <v>168</v>
      </c>
      <c r="H901" t="s">
        <v>112</v>
      </c>
      <c r="I901" t="s">
        <v>1157</v>
      </c>
      <c r="J901">
        <v>4</v>
      </c>
      <c r="K901" t="s">
        <v>112</v>
      </c>
      <c r="L901" t="s">
        <v>1158</v>
      </c>
      <c r="M901">
        <v>11</v>
      </c>
      <c r="N901" t="s">
        <v>34</v>
      </c>
      <c r="O901" t="s">
        <v>35</v>
      </c>
      <c r="Q901" t="s">
        <v>132</v>
      </c>
      <c r="R901">
        <v>25</v>
      </c>
      <c r="S901" t="s">
        <v>49</v>
      </c>
      <c r="T901" t="s">
        <v>50</v>
      </c>
      <c r="U901">
        <v>3</v>
      </c>
      <c r="V901" t="s">
        <v>70</v>
      </c>
      <c r="W901" t="s">
        <v>40</v>
      </c>
      <c r="X901" t="s">
        <v>109</v>
      </c>
      <c r="Y901" t="s">
        <v>42</v>
      </c>
    </row>
    <row r="902" spans="1:25">
      <c r="A902" t="s">
        <v>2986</v>
      </c>
      <c r="B902" t="s">
        <v>2987</v>
      </c>
      <c r="C902" t="s">
        <v>27</v>
      </c>
      <c r="D902">
        <v>56</v>
      </c>
      <c r="E902" t="s">
        <v>81</v>
      </c>
      <c r="F902" t="s">
        <v>82</v>
      </c>
      <c r="G902" t="s">
        <v>83</v>
      </c>
      <c r="H902" t="s">
        <v>291</v>
      </c>
      <c r="I902" t="s">
        <v>690</v>
      </c>
      <c r="J902">
        <v>8</v>
      </c>
      <c r="K902" t="s">
        <v>128</v>
      </c>
      <c r="L902" t="s">
        <v>2988</v>
      </c>
      <c r="M902">
        <v>12</v>
      </c>
      <c r="N902" t="s">
        <v>34</v>
      </c>
      <c r="O902" t="s">
        <v>35</v>
      </c>
      <c r="Q902" t="s">
        <v>36</v>
      </c>
      <c r="R902">
        <v>20</v>
      </c>
      <c r="S902" t="s">
        <v>49</v>
      </c>
      <c r="T902" t="s">
        <v>38</v>
      </c>
      <c r="U902">
        <v>5</v>
      </c>
      <c r="V902" t="s">
        <v>89</v>
      </c>
      <c r="W902" t="s">
        <v>40</v>
      </c>
      <c r="X902" t="s">
        <v>109</v>
      </c>
      <c r="Y902" t="s">
        <v>71</v>
      </c>
    </row>
    <row r="903" spans="1:25">
      <c r="A903" t="s">
        <v>2989</v>
      </c>
      <c r="B903" t="s">
        <v>2990</v>
      </c>
      <c r="C903" t="s">
        <v>80</v>
      </c>
      <c r="D903">
        <v>21</v>
      </c>
      <c r="E903" t="s">
        <v>81</v>
      </c>
      <c r="F903" t="s">
        <v>82</v>
      </c>
      <c r="G903" t="s">
        <v>150</v>
      </c>
      <c r="H903" t="s">
        <v>730</v>
      </c>
      <c r="I903" t="s">
        <v>1338</v>
      </c>
      <c r="J903">
        <v>8</v>
      </c>
      <c r="K903" t="s">
        <v>1748</v>
      </c>
      <c r="L903" t="s">
        <v>2991</v>
      </c>
      <c r="M903">
        <v>11</v>
      </c>
      <c r="N903" t="s">
        <v>34</v>
      </c>
      <c r="O903" t="s">
        <v>35</v>
      </c>
      <c r="Q903" t="s">
        <v>36</v>
      </c>
      <c r="R903">
        <v>20</v>
      </c>
      <c r="S903" t="s">
        <v>77</v>
      </c>
      <c r="T903" t="s">
        <v>88</v>
      </c>
      <c r="U903">
        <v>4</v>
      </c>
      <c r="V903" t="s">
        <v>39</v>
      </c>
      <c r="W903" t="s">
        <v>40</v>
      </c>
      <c r="X903" t="s">
        <v>52</v>
      </c>
      <c r="Y903" t="s">
        <v>71</v>
      </c>
    </row>
    <row r="904" spans="1:25">
      <c r="A904" t="s">
        <v>2992</v>
      </c>
      <c r="B904" t="s">
        <v>2993</v>
      </c>
      <c r="C904" t="s">
        <v>204</v>
      </c>
      <c r="D904">
        <v>31</v>
      </c>
      <c r="E904" t="s">
        <v>92</v>
      </c>
      <c r="F904" t="s">
        <v>29</v>
      </c>
      <c r="G904" t="s">
        <v>93</v>
      </c>
      <c r="H904" t="s">
        <v>879</v>
      </c>
      <c r="I904" t="s">
        <v>1287</v>
      </c>
      <c r="J904">
        <v>24</v>
      </c>
      <c r="K904" t="s">
        <v>394</v>
      </c>
      <c r="L904" t="s">
        <v>438</v>
      </c>
      <c r="M904">
        <v>25</v>
      </c>
      <c r="N904" t="s">
        <v>34</v>
      </c>
      <c r="O904" t="s">
        <v>35</v>
      </c>
      <c r="Q904" t="s">
        <v>36</v>
      </c>
      <c r="R904">
        <v>50</v>
      </c>
      <c r="S904" t="s">
        <v>37</v>
      </c>
      <c r="T904" t="s">
        <v>164</v>
      </c>
      <c r="U904">
        <v>4</v>
      </c>
      <c r="V904" t="s">
        <v>70</v>
      </c>
      <c r="W904" t="s">
        <v>165</v>
      </c>
      <c r="X904" t="s">
        <v>41</v>
      </c>
      <c r="Y904" t="s">
        <v>71</v>
      </c>
    </row>
    <row r="905" spans="1:25">
      <c r="A905" t="s">
        <v>2994</v>
      </c>
      <c r="B905" t="s">
        <v>2995</v>
      </c>
      <c r="C905" t="s">
        <v>56</v>
      </c>
      <c r="D905">
        <v>11</v>
      </c>
      <c r="E905" t="s">
        <v>92</v>
      </c>
      <c r="F905" t="s">
        <v>29</v>
      </c>
      <c r="G905" t="s">
        <v>93</v>
      </c>
      <c r="H905" t="s">
        <v>723</v>
      </c>
      <c r="I905" t="s">
        <v>1368</v>
      </c>
      <c r="J905">
        <v>24</v>
      </c>
      <c r="K905" t="s">
        <v>184</v>
      </c>
      <c r="L905" t="s">
        <v>2996</v>
      </c>
      <c r="M905">
        <v>23</v>
      </c>
      <c r="N905" t="s">
        <v>68</v>
      </c>
      <c r="O905" t="s">
        <v>35</v>
      </c>
      <c r="Q905" t="s">
        <v>36</v>
      </c>
      <c r="R905">
        <v>50</v>
      </c>
      <c r="S905" t="s">
        <v>77</v>
      </c>
      <c r="T905" t="s">
        <v>96</v>
      </c>
      <c r="U905">
        <v>3</v>
      </c>
      <c r="V905" t="s">
        <v>70</v>
      </c>
      <c r="W905" t="s">
        <v>51</v>
      </c>
      <c r="X905" t="s">
        <v>41</v>
      </c>
      <c r="Y905" t="s">
        <v>42</v>
      </c>
    </row>
    <row r="906" spans="1:25">
      <c r="A906" t="s">
        <v>2997</v>
      </c>
      <c r="B906" t="s">
        <v>1678</v>
      </c>
      <c r="C906" t="s">
        <v>27</v>
      </c>
      <c r="D906">
        <v>90</v>
      </c>
      <c r="E906" t="s">
        <v>173</v>
      </c>
      <c r="F906" t="s">
        <v>29</v>
      </c>
      <c r="G906" t="s">
        <v>168</v>
      </c>
      <c r="H906" t="s">
        <v>513</v>
      </c>
      <c r="I906" t="s">
        <v>1287</v>
      </c>
      <c r="J906">
        <v>4</v>
      </c>
      <c r="K906" t="s">
        <v>513</v>
      </c>
      <c r="L906" t="s">
        <v>418</v>
      </c>
      <c r="M906">
        <v>6</v>
      </c>
      <c r="N906" t="s">
        <v>34</v>
      </c>
      <c r="O906" t="s">
        <v>35</v>
      </c>
      <c r="Q906" t="s">
        <v>36</v>
      </c>
      <c r="R906">
        <v>25</v>
      </c>
      <c r="S906" t="s">
        <v>37</v>
      </c>
      <c r="T906" t="s">
        <v>38</v>
      </c>
      <c r="U906">
        <v>4</v>
      </c>
      <c r="V906" t="s">
        <v>39</v>
      </c>
      <c r="W906" t="s">
        <v>103</v>
      </c>
      <c r="X906" t="s">
        <v>52</v>
      </c>
      <c r="Y906" t="s">
        <v>53</v>
      </c>
    </row>
    <row r="907" spans="1:25">
      <c r="A907" t="s">
        <v>2998</v>
      </c>
      <c r="B907" t="s">
        <v>2999</v>
      </c>
      <c r="C907" t="s">
        <v>56</v>
      </c>
      <c r="D907">
        <v>56</v>
      </c>
      <c r="E907" t="s">
        <v>28</v>
      </c>
      <c r="F907" t="s">
        <v>29</v>
      </c>
      <c r="G907" t="s">
        <v>83</v>
      </c>
      <c r="H907" t="s">
        <v>1626</v>
      </c>
      <c r="I907" t="s">
        <v>1760</v>
      </c>
      <c r="J907">
        <v>5</v>
      </c>
      <c r="K907" t="s">
        <v>1626</v>
      </c>
      <c r="L907" t="s">
        <v>1619</v>
      </c>
      <c r="M907">
        <v>11</v>
      </c>
      <c r="N907" t="s">
        <v>34</v>
      </c>
      <c r="O907" t="s">
        <v>35</v>
      </c>
      <c r="Q907" t="s">
        <v>36</v>
      </c>
      <c r="R907">
        <v>35</v>
      </c>
      <c r="S907" t="s">
        <v>37</v>
      </c>
      <c r="T907" t="s">
        <v>88</v>
      </c>
      <c r="U907">
        <v>4</v>
      </c>
      <c r="V907" t="s">
        <v>89</v>
      </c>
      <c r="W907" t="s">
        <v>51</v>
      </c>
      <c r="X907" t="s">
        <v>41</v>
      </c>
      <c r="Y907" t="s">
        <v>42</v>
      </c>
    </row>
    <row r="908" spans="1:25">
      <c r="A908" t="s">
        <v>3000</v>
      </c>
      <c r="B908" t="s">
        <v>3001</v>
      </c>
      <c r="C908" t="s">
        <v>204</v>
      </c>
      <c r="D908">
        <v>6</v>
      </c>
      <c r="E908" t="s">
        <v>28</v>
      </c>
      <c r="F908" t="s">
        <v>29</v>
      </c>
      <c r="G908" t="s">
        <v>30</v>
      </c>
      <c r="H908" t="s">
        <v>668</v>
      </c>
      <c r="I908" t="s">
        <v>3002</v>
      </c>
      <c r="J908">
        <v>5</v>
      </c>
      <c r="K908" t="s">
        <v>668</v>
      </c>
      <c r="L908" t="s">
        <v>2867</v>
      </c>
      <c r="M908">
        <v>13</v>
      </c>
      <c r="N908" t="s">
        <v>34</v>
      </c>
      <c r="O908" t="s">
        <v>270</v>
      </c>
      <c r="P908" t="s">
        <v>271</v>
      </c>
      <c r="Q908" t="s">
        <v>36</v>
      </c>
      <c r="R908">
        <v>35</v>
      </c>
      <c r="S908" t="s">
        <v>37</v>
      </c>
      <c r="T908" t="s">
        <v>88</v>
      </c>
      <c r="U908">
        <v>3</v>
      </c>
      <c r="V908" t="s">
        <v>70</v>
      </c>
      <c r="W908" t="s">
        <v>103</v>
      </c>
      <c r="X908" t="s">
        <v>109</v>
      </c>
      <c r="Y908" t="s">
        <v>42</v>
      </c>
    </row>
    <row r="909" spans="1:25">
      <c r="A909" t="s">
        <v>3003</v>
      </c>
      <c r="B909" t="s">
        <v>3004</v>
      </c>
      <c r="C909" t="s">
        <v>56</v>
      </c>
      <c r="D909">
        <v>79</v>
      </c>
      <c r="E909" t="s">
        <v>28</v>
      </c>
      <c r="F909" t="s">
        <v>29</v>
      </c>
      <c r="G909" t="s">
        <v>30</v>
      </c>
      <c r="H909" t="s">
        <v>344</v>
      </c>
      <c r="I909" t="s">
        <v>107</v>
      </c>
      <c r="J909">
        <v>5</v>
      </c>
      <c r="K909" t="s">
        <v>344</v>
      </c>
      <c r="L909" t="s">
        <v>1882</v>
      </c>
      <c r="M909">
        <v>9</v>
      </c>
      <c r="N909" t="s">
        <v>34</v>
      </c>
      <c r="O909" t="s">
        <v>35</v>
      </c>
      <c r="Q909" t="s">
        <v>36</v>
      </c>
      <c r="R909">
        <v>35</v>
      </c>
      <c r="S909" t="s">
        <v>49</v>
      </c>
      <c r="T909" t="s">
        <v>88</v>
      </c>
      <c r="U909">
        <v>1</v>
      </c>
      <c r="V909" t="s">
        <v>62</v>
      </c>
      <c r="W909" t="s">
        <v>165</v>
      </c>
      <c r="X909" t="s">
        <v>109</v>
      </c>
      <c r="Y909" t="s">
        <v>53</v>
      </c>
    </row>
    <row r="910" spans="1:25">
      <c r="A910" t="s">
        <v>3005</v>
      </c>
      <c r="B910" t="s">
        <v>3006</v>
      </c>
      <c r="C910" t="s">
        <v>80</v>
      </c>
      <c r="D910">
        <v>68</v>
      </c>
      <c r="E910" t="s">
        <v>149</v>
      </c>
      <c r="F910" t="s">
        <v>29</v>
      </c>
      <c r="G910" t="s">
        <v>30</v>
      </c>
      <c r="H910" t="s">
        <v>247</v>
      </c>
      <c r="I910" t="s">
        <v>901</v>
      </c>
      <c r="J910">
        <v>6</v>
      </c>
      <c r="K910" t="s">
        <v>247</v>
      </c>
      <c r="L910" t="s">
        <v>1944</v>
      </c>
      <c r="M910">
        <v>5</v>
      </c>
      <c r="N910" t="s">
        <v>68</v>
      </c>
      <c r="O910" t="s">
        <v>35</v>
      </c>
      <c r="Q910" t="s">
        <v>36</v>
      </c>
      <c r="R910">
        <v>40</v>
      </c>
      <c r="S910" t="s">
        <v>77</v>
      </c>
      <c r="T910" t="s">
        <v>164</v>
      </c>
      <c r="U910">
        <v>1</v>
      </c>
      <c r="V910" t="s">
        <v>39</v>
      </c>
      <c r="W910" t="s">
        <v>51</v>
      </c>
      <c r="X910" t="s">
        <v>52</v>
      </c>
      <c r="Y910" t="s">
        <v>42</v>
      </c>
    </row>
    <row r="911" spans="1:25">
      <c r="A911" t="s">
        <v>3007</v>
      </c>
      <c r="B911" t="s">
        <v>3008</v>
      </c>
      <c r="C911" t="s">
        <v>80</v>
      </c>
      <c r="D911">
        <v>4</v>
      </c>
      <c r="E911" t="s">
        <v>81</v>
      </c>
      <c r="F911" t="s">
        <v>82</v>
      </c>
      <c r="G911" t="s">
        <v>83</v>
      </c>
      <c r="H911" t="s">
        <v>891</v>
      </c>
      <c r="I911" t="s">
        <v>2263</v>
      </c>
      <c r="J911">
        <v>8</v>
      </c>
      <c r="K911" t="s">
        <v>891</v>
      </c>
      <c r="L911" t="s">
        <v>3009</v>
      </c>
      <c r="M911">
        <v>8</v>
      </c>
      <c r="N911" t="s">
        <v>68</v>
      </c>
      <c r="O911" t="s">
        <v>35</v>
      </c>
      <c r="Q911" t="s">
        <v>36</v>
      </c>
      <c r="R911">
        <v>20</v>
      </c>
      <c r="S911" t="s">
        <v>49</v>
      </c>
      <c r="T911" t="s">
        <v>50</v>
      </c>
      <c r="U911">
        <v>1</v>
      </c>
      <c r="V911" t="s">
        <v>62</v>
      </c>
      <c r="W911" t="s">
        <v>51</v>
      </c>
      <c r="X911" t="s">
        <v>52</v>
      </c>
      <c r="Y911" t="s">
        <v>42</v>
      </c>
    </row>
    <row r="912" spans="1:25">
      <c r="A912" t="s">
        <v>3010</v>
      </c>
      <c r="B912" t="s">
        <v>3011</v>
      </c>
      <c r="C912" t="s">
        <v>80</v>
      </c>
      <c r="D912">
        <v>69</v>
      </c>
      <c r="E912" t="s">
        <v>149</v>
      </c>
      <c r="F912" t="s">
        <v>29</v>
      </c>
      <c r="G912" t="s">
        <v>58</v>
      </c>
      <c r="H912" t="s">
        <v>870</v>
      </c>
      <c r="I912" t="s">
        <v>406</v>
      </c>
      <c r="J912">
        <v>6</v>
      </c>
      <c r="K912" t="s">
        <v>685</v>
      </c>
      <c r="L912" t="s">
        <v>3012</v>
      </c>
      <c r="M912">
        <v>14</v>
      </c>
      <c r="N912" t="s">
        <v>34</v>
      </c>
      <c r="O912" t="s">
        <v>35</v>
      </c>
      <c r="Q912" t="s">
        <v>36</v>
      </c>
      <c r="R912">
        <v>40</v>
      </c>
      <c r="S912" t="s">
        <v>77</v>
      </c>
      <c r="T912" t="s">
        <v>164</v>
      </c>
      <c r="U912">
        <v>2</v>
      </c>
      <c r="V912" t="s">
        <v>62</v>
      </c>
      <c r="W912" t="s">
        <v>51</v>
      </c>
      <c r="X912" t="s">
        <v>52</v>
      </c>
      <c r="Y912" t="s">
        <v>53</v>
      </c>
    </row>
    <row r="913" spans="1:25">
      <c r="A913" t="s">
        <v>3013</v>
      </c>
      <c r="B913" t="s">
        <v>3014</v>
      </c>
      <c r="C913" t="s">
        <v>27</v>
      </c>
      <c r="D913">
        <v>64</v>
      </c>
      <c r="E913" t="s">
        <v>57</v>
      </c>
      <c r="F913" t="s">
        <v>29</v>
      </c>
      <c r="G913" t="s">
        <v>150</v>
      </c>
      <c r="H913" t="s">
        <v>464</v>
      </c>
      <c r="I913" t="s">
        <v>3015</v>
      </c>
      <c r="J913">
        <v>3</v>
      </c>
      <c r="K913" t="s">
        <v>464</v>
      </c>
      <c r="L913" t="s">
        <v>2542</v>
      </c>
      <c r="M913">
        <v>11</v>
      </c>
      <c r="N913" t="s">
        <v>34</v>
      </c>
      <c r="O913" t="s">
        <v>35</v>
      </c>
      <c r="Q913" t="s">
        <v>36</v>
      </c>
      <c r="R913">
        <v>15</v>
      </c>
      <c r="S913" t="s">
        <v>77</v>
      </c>
      <c r="T913" t="s">
        <v>164</v>
      </c>
      <c r="U913">
        <v>2</v>
      </c>
      <c r="V913" t="s">
        <v>39</v>
      </c>
      <c r="W913" t="s">
        <v>165</v>
      </c>
      <c r="X913" t="s">
        <v>52</v>
      </c>
      <c r="Y913" t="s">
        <v>71</v>
      </c>
    </row>
    <row r="914" spans="1:25">
      <c r="A914" t="s">
        <v>3016</v>
      </c>
      <c r="B914" t="s">
        <v>3017</v>
      </c>
      <c r="C914" t="s">
        <v>80</v>
      </c>
      <c r="D914">
        <v>77</v>
      </c>
      <c r="E914" t="s">
        <v>81</v>
      </c>
      <c r="F914" t="s">
        <v>82</v>
      </c>
      <c r="G914" t="s">
        <v>83</v>
      </c>
      <c r="H914" t="s">
        <v>355</v>
      </c>
      <c r="I914" t="s">
        <v>3018</v>
      </c>
      <c r="J914">
        <v>8</v>
      </c>
      <c r="K914" t="s">
        <v>996</v>
      </c>
      <c r="L914" t="s">
        <v>3019</v>
      </c>
      <c r="M914">
        <v>16</v>
      </c>
      <c r="N914" t="s">
        <v>34</v>
      </c>
      <c r="O914" t="s">
        <v>35</v>
      </c>
      <c r="Q914" t="s">
        <v>36</v>
      </c>
      <c r="R914">
        <v>20</v>
      </c>
      <c r="S914" t="s">
        <v>37</v>
      </c>
      <c r="T914" t="s">
        <v>96</v>
      </c>
      <c r="U914">
        <v>1</v>
      </c>
      <c r="V914" t="s">
        <v>39</v>
      </c>
      <c r="W914" t="s">
        <v>165</v>
      </c>
      <c r="X914" t="s">
        <v>41</v>
      </c>
      <c r="Y914" t="s">
        <v>53</v>
      </c>
    </row>
    <row r="915" spans="1:25">
      <c r="A915" t="s">
        <v>3020</v>
      </c>
      <c r="B915" t="s">
        <v>3021</v>
      </c>
      <c r="C915" t="s">
        <v>204</v>
      </c>
      <c r="D915">
        <v>35</v>
      </c>
      <c r="E915" t="s">
        <v>149</v>
      </c>
      <c r="F915" t="s">
        <v>29</v>
      </c>
      <c r="G915" t="s">
        <v>58</v>
      </c>
      <c r="H915" t="s">
        <v>355</v>
      </c>
      <c r="I915" t="s">
        <v>223</v>
      </c>
      <c r="J915">
        <v>6</v>
      </c>
      <c r="K915" t="s">
        <v>996</v>
      </c>
      <c r="L915" t="s">
        <v>3022</v>
      </c>
      <c r="M915">
        <v>13</v>
      </c>
      <c r="N915" t="s">
        <v>34</v>
      </c>
      <c r="O915" t="s">
        <v>35</v>
      </c>
      <c r="Q915" t="s">
        <v>36</v>
      </c>
      <c r="R915">
        <v>40</v>
      </c>
      <c r="S915" t="s">
        <v>77</v>
      </c>
      <c r="T915" t="s">
        <v>96</v>
      </c>
      <c r="U915">
        <v>5</v>
      </c>
      <c r="V915" t="s">
        <v>62</v>
      </c>
      <c r="W915" t="s">
        <v>51</v>
      </c>
      <c r="X915" t="s">
        <v>109</v>
      </c>
      <c r="Y915" t="s">
        <v>42</v>
      </c>
    </row>
    <row r="916" spans="1:25">
      <c r="A916" t="s">
        <v>3023</v>
      </c>
      <c r="B916" t="s">
        <v>3024</v>
      </c>
      <c r="C916" t="s">
        <v>80</v>
      </c>
      <c r="D916">
        <v>4</v>
      </c>
      <c r="E916" t="s">
        <v>92</v>
      </c>
      <c r="F916" t="s">
        <v>29</v>
      </c>
      <c r="G916" t="s">
        <v>83</v>
      </c>
      <c r="H916" t="s">
        <v>1235</v>
      </c>
      <c r="I916" t="s">
        <v>1495</v>
      </c>
      <c r="J916">
        <v>24</v>
      </c>
      <c r="K916" t="s">
        <v>274</v>
      </c>
      <c r="L916" t="s">
        <v>916</v>
      </c>
      <c r="M916">
        <v>23</v>
      </c>
      <c r="N916" t="s">
        <v>68</v>
      </c>
      <c r="O916" t="s">
        <v>35</v>
      </c>
      <c r="Q916" t="s">
        <v>132</v>
      </c>
      <c r="R916">
        <v>50</v>
      </c>
      <c r="S916" t="s">
        <v>49</v>
      </c>
      <c r="T916" t="s">
        <v>96</v>
      </c>
      <c r="U916">
        <v>1</v>
      </c>
      <c r="V916" t="s">
        <v>70</v>
      </c>
      <c r="W916" t="s">
        <v>103</v>
      </c>
      <c r="X916" t="s">
        <v>41</v>
      </c>
      <c r="Y916" t="s">
        <v>71</v>
      </c>
    </row>
    <row r="917" spans="1:25">
      <c r="A917" t="s">
        <v>3025</v>
      </c>
      <c r="B917" t="s">
        <v>3026</v>
      </c>
      <c r="C917" t="s">
        <v>56</v>
      </c>
      <c r="D917">
        <v>70</v>
      </c>
      <c r="E917" t="s">
        <v>28</v>
      </c>
      <c r="F917" t="s">
        <v>29</v>
      </c>
      <c r="G917" t="s">
        <v>83</v>
      </c>
      <c r="H917" t="s">
        <v>251</v>
      </c>
      <c r="I917" t="s">
        <v>1205</v>
      </c>
      <c r="J917">
        <v>5</v>
      </c>
      <c r="K917" t="s">
        <v>251</v>
      </c>
      <c r="L917" t="s">
        <v>3027</v>
      </c>
      <c r="M917">
        <v>13</v>
      </c>
      <c r="N917" t="s">
        <v>34</v>
      </c>
      <c r="O917" t="s">
        <v>35</v>
      </c>
      <c r="Q917" t="s">
        <v>36</v>
      </c>
      <c r="R917">
        <v>35</v>
      </c>
      <c r="S917" t="s">
        <v>77</v>
      </c>
      <c r="T917" t="s">
        <v>38</v>
      </c>
      <c r="U917">
        <v>2</v>
      </c>
      <c r="V917" t="s">
        <v>70</v>
      </c>
      <c r="W917" t="s">
        <v>103</v>
      </c>
      <c r="X917" t="s">
        <v>41</v>
      </c>
      <c r="Y917" t="s">
        <v>42</v>
      </c>
    </row>
    <row r="918" spans="1:25">
      <c r="A918" t="s">
        <v>3028</v>
      </c>
      <c r="B918" t="s">
        <v>3029</v>
      </c>
      <c r="C918" t="s">
        <v>56</v>
      </c>
      <c r="D918">
        <v>56</v>
      </c>
      <c r="E918" t="s">
        <v>57</v>
      </c>
      <c r="F918" t="s">
        <v>29</v>
      </c>
      <c r="G918" t="s">
        <v>58</v>
      </c>
      <c r="H918" t="s">
        <v>1170</v>
      </c>
      <c r="I918" t="s">
        <v>136</v>
      </c>
      <c r="J918">
        <v>3</v>
      </c>
      <c r="K918" t="s">
        <v>1053</v>
      </c>
      <c r="L918" t="s">
        <v>3030</v>
      </c>
      <c r="M918">
        <v>10</v>
      </c>
      <c r="N918" t="s">
        <v>34</v>
      </c>
      <c r="O918" t="s">
        <v>270</v>
      </c>
      <c r="P918" t="s">
        <v>391</v>
      </c>
      <c r="Q918" t="s">
        <v>36</v>
      </c>
      <c r="R918">
        <v>15</v>
      </c>
      <c r="S918" t="s">
        <v>49</v>
      </c>
      <c r="T918" t="s">
        <v>164</v>
      </c>
      <c r="U918">
        <v>2</v>
      </c>
      <c r="V918" t="s">
        <v>89</v>
      </c>
      <c r="W918" t="s">
        <v>103</v>
      </c>
      <c r="X918" t="s">
        <v>41</v>
      </c>
      <c r="Y918" t="s">
        <v>71</v>
      </c>
    </row>
    <row r="919" spans="1:25">
      <c r="A919" t="s">
        <v>3031</v>
      </c>
      <c r="B919" t="s">
        <v>3032</v>
      </c>
      <c r="C919" t="s">
        <v>204</v>
      </c>
      <c r="D919">
        <v>74</v>
      </c>
      <c r="E919" t="s">
        <v>28</v>
      </c>
      <c r="F919" t="s">
        <v>29</v>
      </c>
      <c r="G919" t="s">
        <v>30</v>
      </c>
      <c r="H919" t="s">
        <v>314</v>
      </c>
      <c r="I919" t="s">
        <v>2054</v>
      </c>
      <c r="J919">
        <v>5</v>
      </c>
      <c r="K919" t="s">
        <v>314</v>
      </c>
      <c r="L919" t="s">
        <v>596</v>
      </c>
      <c r="M919">
        <v>4</v>
      </c>
      <c r="N919" t="s">
        <v>68</v>
      </c>
      <c r="O919" t="s">
        <v>35</v>
      </c>
      <c r="Q919" t="s">
        <v>36</v>
      </c>
      <c r="R919">
        <v>35</v>
      </c>
      <c r="S919" t="s">
        <v>49</v>
      </c>
      <c r="T919" t="s">
        <v>38</v>
      </c>
      <c r="U919">
        <v>3</v>
      </c>
      <c r="V919" t="s">
        <v>39</v>
      </c>
      <c r="W919" t="s">
        <v>51</v>
      </c>
      <c r="X919" t="s">
        <v>109</v>
      </c>
      <c r="Y919" t="s">
        <v>71</v>
      </c>
    </row>
    <row r="920" spans="1:25">
      <c r="A920" t="s">
        <v>3033</v>
      </c>
      <c r="B920" t="s">
        <v>3034</v>
      </c>
      <c r="C920" t="s">
        <v>56</v>
      </c>
      <c r="D920">
        <v>1</v>
      </c>
      <c r="E920" t="s">
        <v>57</v>
      </c>
      <c r="F920" t="s">
        <v>29</v>
      </c>
      <c r="G920" t="s">
        <v>168</v>
      </c>
      <c r="H920" t="s">
        <v>337</v>
      </c>
      <c r="I920" t="s">
        <v>976</v>
      </c>
      <c r="J920">
        <v>3</v>
      </c>
      <c r="K920" t="s">
        <v>337</v>
      </c>
      <c r="L920" t="s">
        <v>2749</v>
      </c>
      <c r="M920">
        <v>2</v>
      </c>
      <c r="N920" t="s">
        <v>68</v>
      </c>
      <c r="O920" t="s">
        <v>35</v>
      </c>
      <c r="Q920" t="s">
        <v>36</v>
      </c>
      <c r="R920">
        <v>15</v>
      </c>
      <c r="S920" t="s">
        <v>37</v>
      </c>
      <c r="T920" t="s">
        <v>69</v>
      </c>
      <c r="U920">
        <v>3</v>
      </c>
      <c r="V920" t="s">
        <v>62</v>
      </c>
      <c r="W920" t="s">
        <v>103</v>
      </c>
      <c r="X920" t="s">
        <v>109</v>
      </c>
      <c r="Y920" t="s">
        <v>53</v>
      </c>
    </row>
    <row r="921" spans="1:25">
      <c r="A921" t="s">
        <v>3035</v>
      </c>
      <c r="B921" t="s">
        <v>3036</v>
      </c>
      <c r="C921" t="s">
        <v>27</v>
      </c>
      <c r="D921">
        <v>16</v>
      </c>
      <c r="E921" t="s">
        <v>28</v>
      </c>
      <c r="F921" t="s">
        <v>29</v>
      </c>
      <c r="G921" t="s">
        <v>58</v>
      </c>
      <c r="H921" t="s">
        <v>602</v>
      </c>
      <c r="I921" t="s">
        <v>3037</v>
      </c>
      <c r="J921">
        <v>5</v>
      </c>
      <c r="K921" t="s">
        <v>602</v>
      </c>
      <c r="L921" t="s">
        <v>1417</v>
      </c>
      <c r="M921">
        <v>4</v>
      </c>
      <c r="N921" t="s">
        <v>68</v>
      </c>
      <c r="O921" t="s">
        <v>35</v>
      </c>
      <c r="Q921" t="s">
        <v>36</v>
      </c>
      <c r="R921">
        <v>35</v>
      </c>
      <c r="S921" t="s">
        <v>77</v>
      </c>
      <c r="T921" t="s">
        <v>164</v>
      </c>
      <c r="U921">
        <v>3</v>
      </c>
      <c r="V921" t="s">
        <v>62</v>
      </c>
      <c r="W921" t="s">
        <v>51</v>
      </c>
      <c r="X921" t="s">
        <v>41</v>
      </c>
      <c r="Y921" t="s">
        <v>53</v>
      </c>
    </row>
    <row r="922" spans="1:25">
      <c r="A922" t="s">
        <v>3038</v>
      </c>
      <c r="B922" t="s">
        <v>3039</v>
      </c>
      <c r="C922" t="s">
        <v>204</v>
      </c>
      <c r="D922">
        <v>68</v>
      </c>
      <c r="E922" t="s">
        <v>92</v>
      </c>
      <c r="F922" t="s">
        <v>29</v>
      </c>
      <c r="G922" t="s">
        <v>93</v>
      </c>
      <c r="H922" t="s">
        <v>189</v>
      </c>
      <c r="I922" t="s">
        <v>1868</v>
      </c>
      <c r="J922">
        <v>24</v>
      </c>
      <c r="K922" t="s">
        <v>1283</v>
      </c>
      <c r="L922" t="s">
        <v>439</v>
      </c>
      <c r="M922">
        <v>32</v>
      </c>
      <c r="N922" t="s">
        <v>34</v>
      </c>
      <c r="O922" t="s">
        <v>35</v>
      </c>
      <c r="Q922" t="s">
        <v>36</v>
      </c>
      <c r="R922">
        <v>50</v>
      </c>
      <c r="S922" t="s">
        <v>49</v>
      </c>
      <c r="T922" t="s">
        <v>69</v>
      </c>
      <c r="U922">
        <v>3</v>
      </c>
      <c r="V922" t="s">
        <v>39</v>
      </c>
      <c r="W922" t="s">
        <v>40</v>
      </c>
      <c r="X922" t="s">
        <v>109</v>
      </c>
      <c r="Y922" t="s">
        <v>53</v>
      </c>
    </row>
    <row r="923" spans="1:25">
      <c r="A923" t="s">
        <v>3040</v>
      </c>
      <c r="B923" t="s">
        <v>3041</v>
      </c>
      <c r="C923" t="s">
        <v>56</v>
      </c>
      <c r="D923">
        <v>12</v>
      </c>
      <c r="E923" t="s">
        <v>57</v>
      </c>
      <c r="F923" t="s">
        <v>29</v>
      </c>
      <c r="G923" t="s">
        <v>45</v>
      </c>
      <c r="H923" t="s">
        <v>1565</v>
      </c>
      <c r="I923" t="s">
        <v>578</v>
      </c>
      <c r="J923">
        <v>3</v>
      </c>
      <c r="K923" t="s">
        <v>828</v>
      </c>
      <c r="L923" t="s">
        <v>579</v>
      </c>
      <c r="M923">
        <v>8</v>
      </c>
      <c r="N923" t="s">
        <v>34</v>
      </c>
      <c r="O923" t="s">
        <v>35</v>
      </c>
      <c r="Q923" t="s">
        <v>36</v>
      </c>
      <c r="R923">
        <v>15</v>
      </c>
      <c r="S923" t="s">
        <v>37</v>
      </c>
      <c r="T923" t="s">
        <v>88</v>
      </c>
      <c r="U923">
        <v>4</v>
      </c>
      <c r="V923" t="s">
        <v>70</v>
      </c>
      <c r="W923" t="s">
        <v>51</v>
      </c>
      <c r="X923" t="s">
        <v>52</v>
      </c>
      <c r="Y923" t="s">
        <v>71</v>
      </c>
    </row>
    <row r="924" spans="1:25">
      <c r="A924" t="s">
        <v>3042</v>
      </c>
      <c r="B924" t="s">
        <v>3043</v>
      </c>
      <c r="C924" t="s">
        <v>27</v>
      </c>
      <c r="D924">
        <v>82</v>
      </c>
      <c r="E924" t="s">
        <v>57</v>
      </c>
      <c r="F924" t="s">
        <v>29</v>
      </c>
      <c r="G924" t="s">
        <v>58</v>
      </c>
      <c r="H924" t="s">
        <v>65</v>
      </c>
      <c r="I924" t="s">
        <v>1964</v>
      </c>
      <c r="J924">
        <v>3</v>
      </c>
      <c r="K924" t="s">
        <v>65</v>
      </c>
      <c r="L924" t="s">
        <v>1815</v>
      </c>
      <c r="M924">
        <v>5</v>
      </c>
      <c r="N924" t="s">
        <v>34</v>
      </c>
      <c r="O924" t="s">
        <v>270</v>
      </c>
      <c r="P924" t="s">
        <v>391</v>
      </c>
      <c r="Q924" t="s">
        <v>36</v>
      </c>
      <c r="R924">
        <v>15</v>
      </c>
      <c r="S924" t="s">
        <v>49</v>
      </c>
      <c r="T924" t="s">
        <v>69</v>
      </c>
      <c r="U924">
        <v>2</v>
      </c>
      <c r="V924" t="s">
        <v>70</v>
      </c>
      <c r="W924" t="s">
        <v>103</v>
      </c>
      <c r="X924" t="s">
        <v>109</v>
      </c>
      <c r="Y924" t="s">
        <v>71</v>
      </c>
    </row>
    <row r="925" spans="1:25">
      <c r="A925" t="s">
        <v>3044</v>
      </c>
      <c r="B925" t="s">
        <v>3045</v>
      </c>
      <c r="C925" t="s">
        <v>27</v>
      </c>
      <c r="D925">
        <v>33</v>
      </c>
      <c r="E925" t="s">
        <v>173</v>
      </c>
      <c r="F925" t="s">
        <v>29</v>
      </c>
      <c r="G925" t="s">
        <v>83</v>
      </c>
      <c r="H925" t="s">
        <v>342</v>
      </c>
      <c r="I925" t="s">
        <v>1218</v>
      </c>
      <c r="J925">
        <v>4</v>
      </c>
      <c r="K925" t="s">
        <v>344</v>
      </c>
      <c r="L925" t="s">
        <v>592</v>
      </c>
      <c r="M925">
        <v>8</v>
      </c>
      <c r="N925" t="s">
        <v>34</v>
      </c>
      <c r="O925" t="s">
        <v>35</v>
      </c>
      <c r="Q925" t="s">
        <v>36</v>
      </c>
      <c r="R925">
        <v>25</v>
      </c>
      <c r="S925" t="s">
        <v>37</v>
      </c>
      <c r="T925" t="s">
        <v>50</v>
      </c>
      <c r="U925">
        <v>4</v>
      </c>
      <c r="V925" t="s">
        <v>89</v>
      </c>
      <c r="W925" t="s">
        <v>51</v>
      </c>
      <c r="X925" t="s">
        <v>41</v>
      </c>
      <c r="Y925" t="s">
        <v>53</v>
      </c>
    </row>
    <row r="926" spans="1:25">
      <c r="A926" t="s">
        <v>3046</v>
      </c>
      <c r="B926" t="s">
        <v>3047</v>
      </c>
      <c r="C926" t="s">
        <v>204</v>
      </c>
      <c r="D926">
        <v>34</v>
      </c>
      <c r="E926" t="s">
        <v>149</v>
      </c>
      <c r="F926" t="s">
        <v>29</v>
      </c>
      <c r="G926" t="s">
        <v>30</v>
      </c>
      <c r="H926" t="s">
        <v>652</v>
      </c>
      <c r="I926" t="s">
        <v>2553</v>
      </c>
      <c r="J926">
        <v>6</v>
      </c>
      <c r="K926" t="s">
        <v>652</v>
      </c>
      <c r="L926" t="s">
        <v>3048</v>
      </c>
      <c r="M926">
        <v>9</v>
      </c>
      <c r="N926" t="s">
        <v>34</v>
      </c>
      <c r="O926" t="s">
        <v>35</v>
      </c>
      <c r="Q926" t="s">
        <v>36</v>
      </c>
      <c r="R926">
        <v>40</v>
      </c>
      <c r="S926" t="s">
        <v>37</v>
      </c>
      <c r="T926" t="s">
        <v>96</v>
      </c>
      <c r="U926">
        <v>2</v>
      </c>
      <c r="V926" t="s">
        <v>89</v>
      </c>
      <c r="W926" t="s">
        <v>51</v>
      </c>
      <c r="X926" t="s">
        <v>109</v>
      </c>
      <c r="Y926" t="s">
        <v>71</v>
      </c>
    </row>
    <row r="927" spans="1:25">
      <c r="A927" t="s">
        <v>3049</v>
      </c>
      <c r="B927" t="s">
        <v>3050</v>
      </c>
      <c r="C927" t="s">
        <v>204</v>
      </c>
      <c r="D927">
        <v>3</v>
      </c>
      <c r="E927" t="s">
        <v>57</v>
      </c>
      <c r="F927" t="s">
        <v>29</v>
      </c>
      <c r="G927" t="s">
        <v>58</v>
      </c>
      <c r="H927" t="s">
        <v>407</v>
      </c>
      <c r="I927" t="s">
        <v>3051</v>
      </c>
      <c r="J927">
        <v>3</v>
      </c>
      <c r="K927" t="s">
        <v>407</v>
      </c>
      <c r="L927" t="s">
        <v>136</v>
      </c>
      <c r="M927">
        <v>3</v>
      </c>
      <c r="N927" t="s">
        <v>68</v>
      </c>
      <c r="O927" t="s">
        <v>35</v>
      </c>
      <c r="Q927" t="s">
        <v>36</v>
      </c>
      <c r="R927">
        <v>15</v>
      </c>
      <c r="S927" t="s">
        <v>37</v>
      </c>
      <c r="T927" t="s">
        <v>96</v>
      </c>
      <c r="U927">
        <v>5</v>
      </c>
      <c r="V927" t="s">
        <v>70</v>
      </c>
      <c r="W927" t="s">
        <v>165</v>
      </c>
      <c r="X927" t="s">
        <v>41</v>
      </c>
      <c r="Y927" t="s">
        <v>42</v>
      </c>
    </row>
    <row r="928" spans="1:25">
      <c r="A928" t="s">
        <v>3052</v>
      </c>
      <c r="B928" t="s">
        <v>3053</v>
      </c>
      <c r="C928" t="s">
        <v>56</v>
      </c>
      <c r="D928">
        <v>6</v>
      </c>
      <c r="E928" t="s">
        <v>173</v>
      </c>
      <c r="F928" t="s">
        <v>29</v>
      </c>
      <c r="G928" t="s">
        <v>168</v>
      </c>
      <c r="H928" t="s">
        <v>1626</v>
      </c>
      <c r="I928" t="s">
        <v>1622</v>
      </c>
      <c r="J928">
        <v>4</v>
      </c>
      <c r="K928" t="s">
        <v>1626</v>
      </c>
      <c r="L928" t="s">
        <v>439</v>
      </c>
      <c r="M928">
        <v>5</v>
      </c>
      <c r="N928" t="s">
        <v>34</v>
      </c>
      <c r="O928" t="s">
        <v>35</v>
      </c>
      <c r="Q928" t="s">
        <v>36</v>
      </c>
      <c r="R928">
        <v>25</v>
      </c>
      <c r="S928" t="s">
        <v>49</v>
      </c>
      <c r="T928" t="s">
        <v>164</v>
      </c>
      <c r="U928">
        <v>1</v>
      </c>
      <c r="V928" t="s">
        <v>62</v>
      </c>
      <c r="W928" t="s">
        <v>51</v>
      </c>
      <c r="X928" t="s">
        <v>41</v>
      </c>
      <c r="Y928" t="s">
        <v>71</v>
      </c>
    </row>
    <row r="929" spans="1:25">
      <c r="A929" t="s">
        <v>3054</v>
      </c>
      <c r="B929" t="s">
        <v>3055</v>
      </c>
      <c r="C929" t="s">
        <v>80</v>
      </c>
      <c r="D929">
        <v>15</v>
      </c>
      <c r="E929" t="s">
        <v>81</v>
      </c>
      <c r="F929" t="s">
        <v>82</v>
      </c>
      <c r="G929" t="s">
        <v>150</v>
      </c>
      <c r="H929" t="s">
        <v>179</v>
      </c>
      <c r="I929" t="s">
        <v>2491</v>
      </c>
      <c r="J929">
        <v>8</v>
      </c>
      <c r="K929" t="s">
        <v>179</v>
      </c>
      <c r="L929" t="s">
        <v>186</v>
      </c>
      <c r="M929">
        <v>9</v>
      </c>
      <c r="N929" t="s">
        <v>34</v>
      </c>
      <c r="O929" t="s">
        <v>35</v>
      </c>
      <c r="Q929" t="s">
        <v>36</v>
      </c>
      <c r="R929">
        <v>20</v>
      </c>
      <c r="S929" t="s">
        <v>49</v>
      </c>
      <c r="T929" t="s">
        <v>96</v>
      </c>
      <c r="U929">
        <v>5</v>
      </c>
      <c r="V929" t="s">
        <v>39</v>
      </c>
      <c r="W929" t="s">
        <v>165</v>
      </c>
      <c r="X929" t="s">
        <v>52</v>
      </c>
      <c r="Y929" t="s">
        <v>42</v>
      </c>
    </row>
    <row r="930" spans="1:25">
      <c r="A930" t="s">
        <v>3056</v>
      </c>
      <c r="B930" t="s">
        <v>3057</v>
      </c>
      <c r="C930" t="s">
        <v>56</v>
      </c>
      <c r="D930">
        <v>32</v>
      </c>
      <c r="E930" t="s">
        <v>92</v>
      </c>
      <c r="F930" t="s">
        <v>29</v>
      </c>
      <c r="G930" t="s">
        <v>168</v>
      </c>
      <c r="H930" t="s">
        <v>1339</v>
      </c>
      <c r="I930" t="s">
        <v>1324</v>
      </c>
      <c r="J930">
        <v>24</v>
      </c>
      <c r="K930" t="s">
        <v>65</v>
      </c>
      <c r="L930" t="s">
        <v>2539</v>
      </c>
      <c r="M930">
        <v>31</v>
      </c>
      <c r="N930" t="s">
        <v>34</v>
      </c>
      <c r="O930" t="s">
        <v>35</v>
      </c>
      <c r="Q930" t="s">
        <v>132</v>
      </c>
      <c r="R930">
        <v>50</v>
      </c>
      <c r="S930" t="s">
        <v>77</v>
      </c>
      <c r="T930" t="s">
        <v>38</v>
      </c>
      <c r="U930">
        <v>2</v>
      </c>
      <c r="V930" t="s">
        <v>39</v>
      </c>
      <c r="W930" t="s">
        <v>103</v>
      </c>
      <c r="X930" t="s">
        <v>41</v>
      </c>
      <c r="Y930" t="s">
        <v>71</v>
      </c>
    </row>
    <row r="931" spans="1:25">
      <c r="A931" t="s">
        <v>3058</v>
      </c>
      <c r="B931" t="s">
        <v>3059</v>
      </c>
      <c r="C931" t="s">
        <v>80</v>
      </c>
      <c r="D931">
        <v>52</v>
      </c>
      <c r="E931" t="s">
        <v>173</v>
      </c>
      <c r="F931" t="s">
        <v>29</v>
      </c>
      <c r="G931" t="s">
        <v>168</v>
      </c>
      <c r="H931" t="s">
        <v>915</v>
      </c>
      <c r="I931" t="s">
        <v>686</v>
      </c>
      <c r="J931">
        <v>4</v>
      </c>
      <c r="K931" t="s">
        <v>915</v>
      </c>
      <c r="L931" t="s">
        <v>223</v>
      </c>
      <c r="M931">
        <v>7</v>
      </c>
      <c r="N931" t="s">
        <v>34</v>
      </c>
      <c r="O931" t="s">
        <v>35</v>
      </c>
      <c r="Q931" t="s">
        <v>36</v>
      </c>
      <c r="S931" t="s">
        <v>77</v>
      </c>
      <c r="T931" t="s">
        <v>164</v>
      </c>
      <c r="U931">
        <v>5</v>
      </c>
      <c r="V931" t="s">
        <v>89</v>
      </c>
      <c r="W931" t="s">
        <v>51</v>
      </c>
      <c r="X931" t="s">
        <v>52</v>
      </c>
      <c r="Y931" t="s">
        <v>53</v>
      </c>
    </row>
    <row r="932" spans="1:25">
      <c r="A932" t="s">
        <v>3060</v>
      </c>
      <c r="B932" t="s">
        <v>3061</v>
      </c>
      <c r="C932" t="s">
        <v>204</v>
      </c>
      <c r="D932">
        <v>78</v>
      </c>
      <c r="E932" t="s">
        <v>149</v>
      </c>
      <c r="F932" t="s">
        <v>29</v>
      </c>
      <c r="G932" t="s">
        <v>30</v>
      </c>
      <c r="H932" t="s">
        <v>353</v>
      </c>
      <c r="I932" t="s">
        <v>1963</v>
      </c>
      <c r="J932">
        <v>6</v>
      </c>
      <c r="K932" t="s">
        <v>355</v>
      </c>
      <c r="L932" t="s">
        <v>3062</v>
      </c>
      <c r="M932">
        <v>14</v>
      </c>
      <c r="N932" t="s">
        <v>34</v>
      </c>
      <c r="O932" t="s">
        <v>35</v>
      </c>
      <c r="Q932" t="s">
        <v>36</v>
      </c>
      <c r="R932">
        <v>40</v>
      </c>
      <c r="S932" t="s">
        <v>37</v>
      </c>
      <c r="T932" t="s">
        <v>164</v>
      </c>
      <c r="U932">
        <v>1</v>
      </c>
      <c r="V932" t="s">
        <v>89</v>
      </c>
      <c r="W932" t="s">
        <v>51</v>
      </c>
      <c r="X932" t="s">
        <v>109</v>
      </c>
      <c r="Y932" t="s">
        <v>42</v>
      </c>
    </row>
    <row r="933" spans="1:25">
      <c r="A933" t="s">
        <v>3063</v>
      </c>
      <c r="B933" t="s">
        <v>3064</v>
      </c>
      <c r="C933" t="s">
        <v>56</v>
      </c>
      <c r="D933">
        <v>49</v>
      </c>
      <c r="E933" t="s">
        <v>92</v>
      </c>
      <c r="F933" t="s">
        <v>29</v>
      </c>
      <c r="G933" t="s">
        <v>93</v>
      </c>
      <c r="H933" t="s">
        <v>153</v>
      </c>
      <c r="I933" t="s">
        <v>460</v>
      </c>
      <c r="J933">
        <v>24</v>
      </c>
      <c r="K933" t="s">
        <v>1027</v>
      </c>
      <c r="L933" t="s">
        <v>460</v>
      </c>
      <c r="M933">
        <v>24</v>
      </c>
      <c r="N933" t="s">
        <v>68</v>
      </c>
      <c r="O933" t="s">
        <v>35</v>
      </c>
      <c r="Q933" t="s">
        <v>36</v>
      </c>
      <c r="R933">
        <v>50</v>
      </c>
      <c r="S933" t="s">
        <v>37</v>
      </c>
      <c r="T933" t="s">
        <v>164</v>
      </c>
      <c r="U933">
        <v>1</v>
      </c>
      <c r="V933" t="s">
        <v>89</v>
      </c>
      <c r="W933" t="s">
        <v>51</v>
      </c>
      <c r="X933" t="s">
        <v>109</v>
      </c>
      <c r="Y933" t="s">
        <v>53</v>
      </c>
    </row>
    <row r="934" spans="1:25">
      <c r="A934" t="s">
        <v>3065</v>
      </c>
      <c r="B934" t="s">
        <v>3066</v>
      </c>
      <c r="C934" t="s">
        <v>56</v>
      </c>
      <c r="D934">
        <v>38</v>
      </c>
      <c r="E934" t="s">
        <v>28</v>
      </c>
      <c r="F934" t="s">
        <v>29</v>
      </c>
      <c r="G934" t="s">
        <v>30</v>
      </c>
      <c r="H934" t="s">
        <v>205</v>
      </c>
      <c r="I934" t="s">
        <v>279</v>
      </c>
      <c r="J934">
        <v>5</v>
      </c>
      <c r="K934" t="s">
        <v>205</v>
      </c>
      <c r="L934" t="s">
        <v>75</v>
      </c>
      <c r="M934">
        <v>4</v>
      </c>
      <c r="N934" t="s">
        <v>68</v>
      </c>
      <c r="O934" t="s">
        <v>35</v>
      </c>
      <c r="Q934" t="s">
        <v>36</v>
      </c>
      <c r="R934">
        <v>35</v>
      </c>
      <c r="S934" t="s">
        <v>37</v>
      </c>
      <c r="T934" t="s">
        <v>88</v>
      </c>
      <c r="U934">
        <v>1</v>
      </c>
      <c r="V934" t="s">
        <v>39</v>
      </c>
      <c r="W934" t="s">
        <v>165</v>
      </c>
      <c r="X934" t="s">
        <v>52</v>
      </c>
      <c r="Y934" t="s">
        <v>71</v>
      </c>
    </row>
    <row r="935" spans="1:25">
      <c r="A935" t="s">
        <v>3067</v>
      </c>
      <c r="B935" t="s">
        <v>3068</v>
      </c>
      <c r="C935" t="s">
        <v>204</v>
      </c>
      <c r="D935">
        <v>8</v>
      </c>
      <c r="E935" t="s">
        <v>173</v>
      </c>
      <c r="F935" t="s">
        <v>29</v>
      </c>
      <c r="G935" t="s">
        <v>58</v>
      </c>
      <c r="H935" t="s">
        <v>893</v>
      </c>
      <c r="I935" t="s">
        <v>3069</v>
      </c>
      <c r="J935">
        <v>4</v>
      </c>
      <c r="K935" t="s">
        <v>893</v>
      </c>
      <c r="L935" t="s">
        <v>2908</v>
      </c>
      <c r="M935">
        <v>4</v>
      </c>
      <c r="N935" t="s">
        <v>68</v>
      </c>
      <c r="O935" t="s">
        <v>35</v>
      </c>
      <c r="Q935" t="s">
        <v>132</v>
      </c>
      <c r="R935">
        <v>25</v>
      </c>
      <c r="S935" t="s">
        <v>49</v>
      </c>
      <c r="T935" t="s">
        <v>88</v>
      </c>
      <c r="U935">
        <v>1</v>
      </c>
      <c r="V935" t="s">
        <v>70</v>
      </c>
      <c r="W935" t="s">
        <v>165</v>
      </c>
      <c r="X935" t="s">
        <v>109</v>
      </c>
      <c r="Y935" t="s">
        <v>71</v>
      </c>
    </row>
    <row r="936" spans="1:25">
      <c r="A936" t="s">
        <v>3070</v>
      </c>
      <c r="B936" t="s">
        <v>3071</v>
      </c>
      <c r="C936" t="s">
        <v>56</v>
      </c>
      <c r="D936">
        <v>62</v>
      </c>
      <c r="E936" t="s">
        <v>92</v>
      </c>
      <c r="F936" t="s">
        <v>29</v>
      </c>
      <c r="G936" t="s">
        <v>168</v>
      </c>
      <c r="H936" t="s">
        <v>379</v>
      </c>
      <c r="I936" t="s">
        <v>1083</v>
      </c>
      <c r="J936">
        <v>24</v>
      </c>
      <c r="K936" t="s">
        <v>845</v>
      </c>
      <c r="L936" t="s">
        <v>1083</v>
      </c>
      <c r="M936">
        <v>24</v>
      </c>
      <c r="N936" t="s">
        <v>68</v>
      </c>
      <c r="O936" t="s">
        <v>35</v>
      </c>
      <c r="Q936" t="s">
        <v>36</v>
      </c>
      <c r="R936">
        <v>50</v>
      </c>
      <c r="S936" t="s">
        <v>77</v>
      </c>
      <c r="T936" t="s">
        <v>96</v>
      </c>
      <c r="U936">
        <v>2</v>
      </c>
      <c r="V936" t="s">
        <v>89</v>
      </c>
      <c r="W936" t="s">
        <v>40</v>
      </c>
      <c r="X936" t="s">
        <v>109</v>
      </c>
      <c r="Y936" t="s">
        <v>53</v>
      </c>
    </row>
    <row r="937" spans="1:25">
      <c r="A937" t="s">
        <v>3072</v>
      </c>
      <c r="B937" t="s">
        <v>3073</v>
      </c>
      <c r="C937" t="s">
        <v>56</v>
      </c>
      <c r="D937">
        <v>48</v>
      </c>
      <c r="E937" t="s">
        <v>57</v>
      </c>
      <c r="F937" t="s">
        <v>29</v>
      </c>
      <c r="G937" t="s">
        <v>30</v>
      </c>
      <c r="H937" t="s">
        <v>1503</v>
      </c>
      <c r="I937" t="s">
        <v>3074</v>
      </c>
      <c r="J937">
        <v>3</v>
      </c>
      <c r="K937" t="s">
        <v>1503</v>
      </c>
      <c r="L937" t="s">
        <v>2140</v>
      </c>
      <c r="M937">
        <v>5</v>
      </c>
      <c r="N937" t="s">
        <v>34</v>
      </c>
      <c r="O937" t="s">
        <v>35</v>
      </c>
      <c r="Q937" t="s">
        <v>36</v>
      </c>
      <c r="R937">
        <v>15</v>
      </c>
      <c r="S937" t="s">
        <v>77</v>
      </c>
      <c r="T937" t="s">
        <v>164</v>
      </c>
      <c r="U937">
        <v>4</v>
      </c>
      <c r="V937" t="s">
        <v>62</v>
      </c>
      <c r="W937" t="s">
        <v>51</v>
      </c>
      <c r="X937" t="s">
        <v>41</v>
      </c>
      <c r="Y937" t="s">
        <v>53</v>
      </c>
    </row>
    <row r="938" spans="1:25">
      <c r="A938" t="s">
        <v>3075</v>
      </c>
      <c r="B938" t="s">
        <v>3076</v>
      </c>
      <c r="C938" t="s">
        <v>80</v>
      </c>
      <c r="D938">
        <v>80</v>
      </c>
      <c r="E938" t="s">
        <v>92</v>
      </c>
      <c r="F938" t="s">
        <v>29</v>
      </c>
      <c r="G938" t="s">
        <v>93</v>
      </c>
      <c r="H938" t="s">
        <v>353</v>
      </c>
      <c r="I938" t="s">
        <v>1093</v>
      </c>
      <c r="J938">
        <v>24</v>
      </c>
      <c r="K938" t="s">
        <v>355</v>
      </c>
      <c r="L938" t="s">
        <v>3077</v>
      </c>
      <c r="M938">
        <v>25</v>
      </c>
      <c r="N938" t="s">
        <v>34</v>
      </c>
      <c r="O938" t="s">
        <v>35</v>
      </c>
      <c r="Q938" t="s">
        <v>36</v>
      </c>
      <c r="R938">
        <v>50</v>
      </c>
      <c r="S938" t="s">
        <v>37</v>
      </c>
      <c r="T938" t="s">
        <v>88</v>
      </c>
      <c r="U938">
        <v>4</v>
      </c>
      <c r="V938" t="s">
        <v>39</v>
      </c>
      <c r="W938" t="s">
        <v>165</v>
      </c>
      <c r="X938" t="s">
        <v>109</v>
      </c>
      <c r="Y938" t="s">
        <v>42</v>
      </c>
    </row>
    <row r="939" spans="1:25">
      <c r="A939" t="s">
        <v>3078</v>
      </c>
      <c r="B939" t="s">
        <v>3079</v>
      </c>
      <c r="C939" t="s">
        <v>80</v>
      </c>
      <c r="D939">
        <v>37</v>
      </c>
      <c r="E939" t="s">
        <v>149</v>
      </c>
      <c r="F939" t="s">
        <v>29</v>
      </c>
      <c r="G939" t="s">
        <v>150</v>
      </c>
      <c r="H939" t="s">
        <v>365</v>
      </c>
      <c r="I939" t="s">
        <v>648</v>
      </c>
      <c r="J939">
        <v>6</v>
      </c>
      <c r="K939" t="s">
        <v>365</v>
      </c>
      <c r="L939" t="s">
        <v>2036</v>
      </c>
      <c r="M939">
        <v>5</v>
      </c>
      <c r="N939" t="s">
        <v>68</v>
      </c>
      <c r="O939" t="s">
        <v>35</v>
      </c>
      <c r="Q939" t="s">
        <v>36</v>
      </c>
      <c r="R939">
        <v>40</v>
      </c>
      <c r="S939" t="s">
        <v>37</v>
      </c>
      <c r="T939" t="s">
        <v>38</v>
      </c>
      <c r="U939">
        <v>4</v>
      </c>
      <c r="V939" t="s">
        <v>70</v>
      </c>
      <c r="W939" t="s">
        <v>165</v>
      </c>
      <c r="X939" t="s">
        <v>109</v>
      </c>
      <c r="Y939" t="s">
        <v>53</v>
      </c>
    </row>
    <row r="940" spans="1:25">
      <c r="A940" t="s">
        <v>3080</v>
      </c>
      <c r="B940" t="s">
        <v>3081</v>
      </c>
      <c r="C940" t="s">
        <v>204</v>
      </c>
      <c r="D940">
        <v>13</v>
      </c>
      <c r="E940" t="s">
        <v>28</v>
      </c>
      <c r="F940" t="s">
        <v>29</v>
      </c>
      <c r="G940" t="s">
        <v>30</v>
      </c>
      <c r="H940" t="s">
        <v>174</v>
      </c>
      <c r="I940" t="s">
        <v>1018</v>
      </c>
      <c r="J940">
        <v>5</v>
      </c>
      <c r="K940" t="s">
        <v>174</v>
      </c>
      <c r="L940" t="s">
        <v>3082</v>
      </c>
      <c r="M940">
        <v>7</v>
      </c>
      <c r="N940" t="s">
        <v>34</v>
      </c>
      <c r="O940" t="s">
        <v>35</v>
      </c>
      <c r="Q940" t="s">
        <v>36</v>
      </c>
      <c r="R940">
        <v>35</v>
      </c>
      <c r="S940" t="s">
        <v>49</v>
      </c>
      <c r="T940" t="s">
        <v>96</v>
      </c>
      <c r="U940">
        <v>1</v>
      </c>
      <c r="V940" t="s">
        <v>62</v>
      </c>
      <c r="W940" t="s">
        <v>51</v>
      </c>
      <c r="X940" t="s">
        <v>41</v>
      </c>
      <c r="Y940" t="s">
        <v>53</v>
      </c>
    </row>
    <row r="941" spans="1:25">
      <c r="A941" t="s">
        <v>3083</v>
      </c>
      <c r="B941" t="s">
        <v>3084</v>
      </c>
      <c r="C941" t="s">
        <v>204</v>
      </c>
      <c r="D941">
        <v>12</v>
      </c>
      <c r="E941" t="s">
        <v>173</v>
      </c>
      <c r="F941" t="s">
        <v>29</v>
      </c>
      <c r="G941" t="s">
        <v>168</v>
      </c>
      <c r="H941" t="s">
        <v>1293</v>
      </c>
      <c r="I941" t="s">
        <v>1408</v>
      </c>
      <c r="J941">
        <v>4</v>
      </c>
      <c r="K941" t="s">
        <v>1293</v>
      </c>
      <c r="L941" t="s">
        <v>2388</v>
      </c>
      <c r="M941">
        <v>3</v>
      </c>
      <c r="N941" t="s">
        <v>68</v>
      </c>
      <c r="O941" t="s">
        <v>35</v>
      </c>
      <c r="Q941" t="s">
        <v>36</v>
      </c>
      <c r="R941">
        <v>25</v>
      </c>
      <c r="S941" t="s">
        <v>37</v>
      </c>
      <c r="T941" t="s">
        <v>69</v>
      </c>
      <c r="U941">
        <v>2</v>
      </c>
      <c r="V941" t="s">
        <v>70</v>
      </c>
      <c r="W941" t="s">
        <v>40</v>
      </c>
      <c r="X941" t="s">
        <v>109</v>
      </c>
      <c r="Y941" t="s">
        <v>53</v>
      </c>
    </row>
    <row r="942" spans="1:25">
      <c r="A942" t="s">
        <v>3085</v>
      </c>
      <c r="B942" t="s">
        <v>3086</v>
      </c>
      <c r="C942" t="s">
        <v>27</v>
      </c>
      <c r="D942">
        <v>9</v>
      </c>
      <c r="E942" t="s">
        <v>81</v>
      </c>
      <c r="F942" t="s">
        <v>82</v>
      </c>
      <c r="G942" t="s">
        <v>83</v>
      </c>
      <c r="H942" t="s">
        <v>685</v>
      </c>
      <c r="I942" t="s">
        <v>725</v>
      </c>
      <c r="J942">
        <v>8</v>
      </c>
      <c r="K942" t="s">
        <v>778</v>
      </c>
      <c r="L942" t="s">
        <v>2264</v>
      </c>
      <c r="M942">
        <v>9</v>
      </c>
      <c r="N942" t="s">
        <v>34</v>
      </c>
      <c r="O942" t="s">
        <v>270</v>
      </c>
      <c r="P942" t="s">
        <v>620</v>
      </c>
      <c r="Q942" t="s">
        <v>36</v>
      </c>
      <c r="R942">
        <v>20</v>
      </c>
      <c r="S942" t="s">
        <v>77</v>
      </c>
      <c r="T942" t="s">
        <v>50</v>
      </c>
      <c r="U942">
        <v>4</v>
      </c>
      <c r="V942" t="s">
        <v>89</v>
      </c>
      <c r="W942" t="s">
        <v>40</v>
      </c>
      <c r="X942" t="s">
        <v>52</v>
      </c>
      <c r="Y942" t="s">
        <v>71</v>
      </c>
    </row>
    <row r="943" spans="1:25">
      <c r="A943" t="s">
        <v>3087</v>
      </c>
      <c r="B943" t="s">
        <v>2960</v>
      </c>
      <c r="C943" t="s">
        <v>56</v>
      </c>
      <c r="D943">
        <v>13</v>
      </c>
      <c r="E943" t="s">
        <v>28</v>
      </c>
      <c r="F943" t="s">
        <v>29</v>
      </c>
      <c r="G943" t="s">
        <v>58</v>
      </c>
      <c r="H943" t="s">
        <v>101</v>
      </c>
      <c r="I943" t="s">
        <v>3088</v>
      </c>
      <c r="J943">
        <v>5</v>
      </c>
      <c r="K943" t="s">
        <v>101</v>
      </c>
      <c r="L943" t="s">
        <v>2267</v>
      </c>
      <c r="M943">
        <v>8</v>
      </c>
      <c r="N943" t="s">
        <v>34</v>
      </c>
      <c r="O943" t="s">
        <v>35</v>
      </c>
      <c r="Q943" t="s">
        <v>36</v>
      </c>
      <c r="R943">
        <v>35</v>
      </c>
      <c r="S943" t="s">
        <v>77</v>
      </c>
      <c r="T943" t="s">
        <v>164</v>
      </c>
      <c r="U943">
        <v>4</v>
      </c>
      <c r="V943" t="s">
        <v>62</v>
      </c>
      <c r="W943" t="s">
        <v>51</v>
      </c>
      <c r="X943" t="s">
        <v>41</v>
      </c>
      <c r="Y943" t="s">
        <v>53</v>
      </c>
    </row>
    <row r="944" spans="1:25">
      <c r="A944" t="s">
        <v>3089</v>
      </c>
      <c r="B944" t="s">
        <v>3090</v>
      </c>
      <c r="C944" t="s">
        <v>27</v>
      </c>
      <c r="D944">
        <v>9</v>
      </c>
      <c r="E944" t="s">
        <v>81</v>
      </c>
      <c r="F944" t="s">
        <v>82</v>
      </c>
      <c r="G944" t="s">
        <v>83</v>
      </c>
      <c r="H944" t="s">
        <v>877</v>
      </c>
      <c r="I944" t="s">
        <v>3091</v>
      </c>
      <c r="J944">
        <v>8</v>
      </c>
      <c r="K944" t="s">
        <v>879</v>
      </c>
      <c r="L944" t="s">
        <v>1316</v>
      </c>
      <c r="M944">
        <v>14</v>
      </c>
      <c r="N944" t="s">
        <v>34</v>
      </c>
      <c r="O944" t="s">
        <v>35</v>
      </c>
      <c r="Q944" t="s">
        <v>36</v>
      </c>
      <c r="R944">
        <v>20</v>
      </c>
      <c r="S944" t="s">
        <v>49</v>
      </c>
      <c r="T944" t="s">
        <v>96</v>
      </c>
      <c r="U944">
        <v>3</v>
      </c>
      <c r="V944" t="s">
        <v>39</v>
      </c>
      <c r="W944" t="s">
        <v>103</v>
      </c>
      <c r="X944" t="s">
        <v>41</v>
      </c>
      <c r="Y944" t="s">
        <v>42</v>
      </c>
    </row>
    <row r="945" spans="1:25">
      <c r="A945" t="s">
        <v>3092</v>
      </c>
      <c r="B945" t="s">
        <v>3093</v>
      </c>
      <c r="C945" t="s">
        <v>204</v>
      </c>
      <c r="D945">
        <v>40</v>
      </c>
      <c r="E945" t="s">
        <v>81</v>
      </c>
      <c r="F945" t="s">
        <v>82</v>
      </c>
      <c r="G945" t="s">
        <v>45</v>
      </c>
      <c r="H945" t="s">
        <v>344</v>
      </c>
      <c r="I945" t="s">
        <v>2397</v>
      </c>
      <c r="J945">
        <v>8</v>
      </c>
      <c r="K945" t="s">
        <v>446</v>
      </c>
      <c r="L945" t="s">
        <v>579</v>
      </c>
      <c r="M945">
        <v>13</v>
      </c>
      <c r="N945" t="s">
        <v>34</v>
      </c>
      <c r="O945" t="s">
        <v>35</v>
      </c>
      <c r="Q945" t="s">
        <v>36</v>
      </c>
      <c r="R945">
        <v>20</v>
      </c>
      <c r="S945" t="s">
        <v>49</v>
      </c>
      <c r="T945" t="s">
        <v>164</v>
      </c>
      <c r="U945">
        <v>1</v>
      </c>
      <c r="V945" t="s">
        <v>89</v>
      </c>
      <c r="W945" t="s">
        <v>165</v>
      </c>
      <c r="X945" t="s">
        <v>41</v>
      </c>
      <c r="Y945" t="s">
        <v>53</v>
      </c>
    </row>
    <row r="946" spans="1:25">
      <c r="A946" t="s">
        <v>3094</v>
      </c>
      <c r="B946" t="s">
        <v>3095</v>
      </c>
      <c r="C946" t="s">
        <v>80</v>
      </c>
      <c r="D946">
        <v>81</v>
      </c>
      <c r="E946" t="s">
        <v>57</v>
      </c>
      <c r="F946" t="s">
        <v>29</v>
      </c>
      <c r="G946" t="s">
        <v>58</v>
      </c>
      <c r="H946" t="s">
        <v>680</v>
      </c>
      <c r="I946" t="s">
        <v>916</v>
      </c>
      <c r="J946">
        <v>3</v>
      </c>
      <c r="K946" t="s">
        <v>680</v>
      </c>
      <c r="L946" t="s">
        <v>539</v>
      </c>
      <c r="M946">
        <v>6</v>
      </c>
      <c r="N946" t="s">
        <v>34</v>
      </c>
      <c r="O946" t="s">
        <v>35</v>
      </c>
      <c r="Q946" t="s">
        <v>36</v>
      </c>
      <c r="R946">
        <v>15</v>
      </c>
      <c r="S946" t="s">
        <v>37</v>
      </c>
      <c r="T946" t="s">
        <v>50</v>
      </c>
      <c r="U946">
        <v>3</v>
      </c>
      <c r="V946" t="s">
        <v>70</v>
      </c>
      <c r="W946" t="s">
        <v>165</v>
      </c>
      <c r="X946" t="s">
        <v>109</v>
      </c>
      <c r="Y946" t="s">
        <v>53</v>
      </c>
    </row>
    <row r="947" spans="1:25">
      <c r="A947" t="s">
        <v>3096</v>
      </c>
      <c r="B947" t="s">
        <v>3097</v>
      </c>
      <c r="C947" t="s">
        <v>80</v>
      </c>
      <c r="D947">
        <v>59</v>
      </c>
      <c r="E947" t="s">
        <v>92</v>
      </c>
      <c r="F947" t="s">
        <v>29</v>
      </c>
      <c r="G947" t="s">
        <v>93</v>
      </c>
      <c r="H947" t="s">
        <v>1625</v>
      </c>
      <c r="I947" t="s">
        <v>311</v>
      </c>
      <c r="J947">
        <v>24</v>
      </c>
      <c r="K947" t="s">
        <v>1626</v>
      </c>
      <c r="L947" t="s">
        <v>3098</v>
      </c>
      <c r="M947">
        <v>31</v>
      </c>
      <c r="N947" t="s">
        <v>34</v>
      </c>
      <c r="O947" t="s">
        <v>35</v>
      </c>
      <c r="Q947" t="s">
        <v>132</v>
      </c>
      <c r="R947">
        <v>50</v>
      </c>
      <c r="S947" t="s">
        <v>77</v>
      </c>
      <c r="T947" t="s">
        <v>96</v>
      </c>
      <c r="U947">
        <v>1</v>
      </c>
      <c r="V947" t="s">
        <v>62</v>
      </c>
      <c r="W947" t="s">
        <v>51</v>
      </c>
      <c r="X947" t="s">
        <v>109</v>
      </c>
      <c r="Y947" t="s">
        <v>53</v>
      </c>
    </row>
    <row r="948" spans="1:25">
      <c r="A948" t="s">
        <v>3099</v>
      </c>
      <c r="B948" t="s">
        <v>3100</v>
      </c>
      <c r="C948" t="s">
        <v>27</v>
      </c>
      <c r="D948">
        <v>85</v>
      </c>
      <c r="E948" t="s">
        <v>92</v>
      </c>
      <c r="F948" t="s">
        <v>29</v>
      </c>
      <c r="G948" t="s">
        <v>93</v>
      </c>
      <c r="H948" t="s">
        <v>492</v>
      </c>
      <c r="I948" t="s">
        <v>1070</v>
      </c>
      <c r="J948">
        <v>24</v>
      </c>
      <c r="K948" t="s">
        <v>135</v>
      </c>
      <c r="L948" t="s">
        <v>1872</v>
      </c>
      <c r="M948">
        <v>27</v>
      </c>
      <c r="N948" t="s">
        <v>34</v>
      </c>
      <c r="O948" t="s">
        <v>35</v>
      </c>
      <c r="Q948" t="s">
        <v>36</v>
      </c>
      <c r="R948">
        <v>50</v>
      </c>
      <c r="S948" t="s">
        <v>49</v>
      </c>
      <c r="T948" t="s">
        <v>164</v>
      </c>
      <c r="U948">
        <v>5</v>
      </c>
      <c r="V948" t="s">
        <v>39</v>
      </c>
      <c r="W948" t="s">
        <v>40</v>
      </c>
      <c r="X948" t="s">
        <v>41</v>
      </c>
      <c r="Y948" t="s">
        <v>71</v>
      </c>
    </row>
    <row r="949" spans="1:25">
      <c r="A949" t="s">
        <v>3101</v>
      </c>
      <c r="B949" t="s">
        <v>3102</v>
      </c>
      <c r="C949" t="s">
        <v>80</v>
      </c>
      <c r="D949">
        <v>22</v>
      </c>
      <c r="E949" t="s">
        <v>173</v>
      </c>
      <c r="F949" t="s">
        <v>29</v>
      </c>
      <c r="G949" t="s">
        <v>168</v>
      </c>
      <c r="H949" t="s">
        <v>1248</v>
      </c>
      <c r="I949" t="s">
        <v>768</v>
      </c>
      <c r="J949">
        <v>4</v>
      </c>
      <c r="K949" t="s">
        <v>1248</v>
      </c>
      <c r="L949" t="s">
        <v>3103</v>
      </c>
      <c r="M949">
        <v>4</v>
      </c>
      <c r="N949" t="s">
        <v>68</v>
      </c>
      <c r="O949" t="s">
        <v>35</v>
      </c>
      <c r="Q949" t="s">
        <v>36</v>
      </c>
      <c r="R949">
        <v>25</v>
      </c>
      <c r="S949" t="s">
        <v>49</v>
      </c>
      <c r="T949" t="s">
        <v>96</v>
      </c>
      <c r="U949">
        <v>5</v>
      </c>
      <c r="V949" t="s">
        <v>39</v>
      </c>
      <c r="W949" t="s">
        <v>103</v>
      </c>
      <c r="X949" t="s">
        <v>41</v>
      </c>
      <c r="Y949" t="s">
        <v>71</v>
      </c>
    </row>
    <row r="950" spans="1:25">
      <c r="A950" t="s">
        <v>3104</v>
      </c>
      <c r="B950" t="s">
        <v>3105</v>
      </c>
      <c r="C950" t="s">
        <v>80</v>
      </c>
      <c r="D950">
        <v>67</v>
      </c>
      <c r="E950" t="s">
        <v>92</v>
      </c>
      <c r="F950" t="s">
        <v>29</v>
      </c>
      <c r="G950" t="s">
        <v>30</v>
      </c>
      <c r="H950" t="s">
        <v>114</v>
      </c>
      <c r="I950" t="s">
        <v>2375</v>
      </c>
      <c r="J950">
        <v>24</v>
      </c>
      <c r="K950" t="s">
        <v>258</v>
      </c>
      <c r="L950" t="s">
        <v>2845</v>
      </c>
      <c r="M950">
        <v>28</v>
      </c>
      <c r="N950" t="s">
        <v>34</v>
      </c>
      <c r="O950" t="s">
        <v>35</v>
      </c>
      <c r="Q950" t="s">
        <v>36</v>
      </c>
      <c r="R950">
        <v>50</v>
      </c>
      <c r="S950" t="s">
        <v>49</v>
      </c>
      <c r="T950" t="s">
        <v>164</v>
      </c>
      <c r="U950">
        <v>5</v>
      </c>
      <c r="V950" t="s">
        <v>70</v>
      </c>
      <c r="W950" t="s">
        <v>103</v>
      </c>
      <c r="X950" t="s">
        <v>109</v>
      </c>
      <c r="Y950" t="s">
        <v>42</v>
      </c>
    </row>
    <row r="951" spans="1:25">
      <c r="A951" t="s">
        <v>3106</v>
      </c>
      <c r="B951" t="s">
        <v>3107</v>
      </c>
      <c r="C951" t="s">
        <v>27</v>
      </c>
      <c r="D951">
        <v>29</v>
      </c>
      <c r="E951" t="s">
        <v>149</v>
      </c>
      <c r="F951" t="s">
        <v>29</v>
      </c>
      <c r="G951" t="s">
        <v>30</v>
      </c>
      <c r="H951" t="s">
        <v>951</v>
      </c>
      <c r="I951" t="s">
        <v>94</v>
      </c>
      <c r="J951">
        <v>6</v>
      </c>
      <c r="K951" t="s">
        <v>595</v>
      </c>
      <c r="L951" t="s">
        <v>2523</v>
      </c>
      <c r="M951">
        <v>13</v>
      </c>
      <c r="N951" t="s">
        <v>34</v>
      </c>
      <c r="O951" t="s">
        <v>35</v>
      </c>
      <c r="Q951" t="s">
        <v>36</v>
      </c>
      <c r="R951">
        <v>40</v>
      </c>
      <c r="S951" t="s">
        <v>37</v>
      </c>
      <c r="T951" t="s">
        <v>69</v>
      </c>
      <c r="U951">
        <v>3</v>
      </c>
      <c r="V951" t="s">
        <v>89</v>
      </c>
      <c r="W951" t="s">
        <v>51</v>
      </c>
      <c r="X951" t="s">
        <v>41</v>
      </c>
      <c r="Y951" t="s">
        <v>53</v>
      </c>
    </row>
    <row r="952" spans="1:25">
      <c r="A952" t="s">
        <v>3108</v>
      </c>
      <c r="B952" t="s">
        <v>3109</v>
      </c>
      <c r="C952" t="s">
        <v>204</v>
      </c>
      <c r="D952">
        <v>56</v>
      </c>
      <c r="E952" t="s">
        <v>149</v>
      </c>
      <c r="F952" t="s">
        <v>29</v>
      </c>
      <c r="G952" t="s">
        <v>150</v>
      </c>
      <c r="H952" t="s">
        <v>300</v>
      </c>
      <c r="I952" t="s">
        <v>107</v>
      </c>
      <c r="J952">
        <v>6</v>
      </c>
      <c r="K952" t="s">
        <v>300</v>
      </c>
      <c r="L952" t="s">
        <v>1882</v>
      </c>
      <c r="M952">
        <v>9</v>
      </c>
      <c r="N952" t="s">
        <v>34</v>
      </c>
      <c r="O952" t="s">
        <v>35</v>
      </c>
      <c r="Q952" t="s">
        <v>36</v>
      </c>
      <c r="R952">
        <v>40</v>
      </c>
      <c r="S952" t="s">
        <v>49</v>
      </c>
      <c r="T952" t="s">
        <v>50</v>
      </c>
      <c r="U952">
        <v>2</v>
      </c>
      <c r="V952" t="s">
        <v>62</v>
      </c>
      <c r="W952" t="s">
        <v>165</v>
      </c>
      <c r="X952" t="s">
        <v>52</v>
      </c>
      <c r="Y952" t="s">
        <v>71</v>
      </c>
    </row>
    <row r="953" spans="1:25">
      <c r="A953" t="s">
        <v>3110</v>
      </c>
      <c r="B953" t="s">
        <v>3111</v>
      </c>
      <c r="C953" t="s">
        <v>27</v>
      </c>
      <c r="D953">
        <v>72</v>
      </c>
      <c r="E953" t="s">
        <v>81</v>
      </c>
      <c r="F953" t="s">
        <v>82</v>
      </c>
      <c r="G953" t="s">
        <v>83</v>
      </c>
      <c r="H953" t="s">
        <v>400</v>
      </c>
      <c r="I953" t="s">
        <v>2303</v>
      </c>
      <c r="J953">
        <v>8</v>
      </c>
      <c r="K953" t="s">
        <v>400</v>
      </c>
      <c r="L953" t="s">
        <v>2304</v>
      </c>
      <c r="M953">
        <v>13</v>
      </c>
      <c r="N953" t="s">
        <v>34</v>
      </c>
      <c r="O953" t="s">
        <v>35</v>
      </c>
      <c r="Q953" t="s">
        <v>36</v>
      </c>
      <c r="R953">
        <v>20</v>
      </c>
      <c r="S953" t="s">
        <v>49</v>
      </c>
      <c r="T953" t="s">
        <v>88</v>
      </c>
      <c r="U953">
        <v>1</v>
      </c>
      <c r="V953" t="s">
        <v>39</v>
      </c>
      <c r="W953" t="s">
        <v>40</v>
      </c>
      <c r="X953" t="s">
        <v>109</v>
      </c>
      <c r="Y953" t="s">
        <v>53</v>
      </c>
    </row>
    <row r="954" spans="1:25">
      <c r="A954" t="s">
        <v>3112</v>
      </c>
      <c r="B954" t="s">
        <v>3113</v>
      </c>
      <c r="C954" t="s">
        <v>27</v>
      </c>
      <c r="D954">
        <v>68</v>
      </c>
      <c r="E954" t="s">
        <v>149</v>
      </c>
      <c r="F954" t="s">
        <v>29</v>
      </c>
      <c r="G954" t="s">
        <v>30</v>
      </c>
      <c r="H954" t="s">
        <v>305</v>
      </c>
      <c r="I954" t="s">
        <v>3114</v>
      </c>
      <c r="J954">
        <v>6</v>
      </c>
      <c r="K954" t="s">
        <v>305</v>
      </c>
      <c r="L954" t="s">
        <v>3115</v>
      </c>
      <c r="M954">
        <v>8</v>
      </c>
      <c r="N954" t="s">
        <v>34</v>
      </c>
      <c r="O954" t="s">
        <v>35</v>
      </c>
      <c r="Q954" t="s">
        <v>36</v>
      </c>
      <c r="R954">
        <v>40</v>
      </c>
      <c r="S954" t="s">
        <v>77</v>
      </c>
      <c r="T954" t="s">
        <v>164</v>
      </c>
      <c r="U954">
        <v>4</v>
      </c>
      <c r="V954" t="s">
        <v>70</v>
      </c>
      <c r="W954" t="s">
        <v>103</v>
      </c>
      <c r="X954" t="s">
        <v>109</v>
      </c>
      <c r="Y954" t="s">
        <v>53</v>
      </c>
    </row>
    <row r="955" spans="1:25">
      <c r="A955" t="s">
        <v>3116</v>
      </c>
      <c r="B955" t="s">
        <v>3117</v>
      </c>
      <c r="C955" t="s">
        <v>56</v>
      </c>
      <c r="D955">
        <v>24</v>
      </c>
      <c r="E955" t="s">
        <v>57</v>
      </c>
      <c r="F955" t="s">
        <v>29</v>
      </c>
      <c r="G955" t="s">
        <v>58</v>
      </c>
      <c r="H955" t="s">
        <v>1053</v>
      </c>
      <c r="I955" t="s">
        <v>3118</v>
      </c>
      <c r="J955">
        <v>3</v>
      </c>
      <c r="K955" t="s">
        <v>1053</v>
      </c>
      <c r="L955" t="s">
        <v>2556</v>
      </c>
      <c r="M955">
        <v>8</v>
      </c>
      <c r="N955" t="s">
        <v>34</v>
      </c>
      <c r="O955" t="s">
        <v>35</v>
      </c>
      <c r="Q955" t="s">
        <v>36</v>
      </c>
      <c r="R955">
        <v>15</v>
      </c>
      <c r="S955" t="s">
        <v>37</v>
      </c>
      <c r="T955" t="s">
        <v>50</v>
      </c>
      <c r="U955">
        <v>5</v>
      </c>
      <c r="V955" t="s">
        <v>89</v>
      </c>
      <c r="W955" t="s">
        <v>51</v>
      </c>
      <c r="X955" t="s">
        <v>41</v>
      </c>
      <c r="Y955" t="s">
        <v>53</v>
      </c>
    </row>
    <row r="956" spans="1:25">
      <c r="A956" t="s">
        <v>3119</v>
      </c>
      <c r="B956" t="s">
        <v>3120</v>
      </c>
      <c r="C956" t="s">
        <v>27</v>
      </c>
      <c r="D956">
        <v>42</v>
      </c>
      <c r="E956" t="s">
        <v>173</v>
      </c>
      <c r="F956" t="s">
        <v>29</v>
      </c>
      <c r="G956" t="s">
        <v>168</v>
      </c>
      <c r="H956" t="s">
        <v>784</v>
      </c>
      <c r="I956" t="s">
        <v>1270</v>
      </c>
      <c r="J956">
        <v>4</v>
      </c>
      <c r="K956" t="s">
        <v>784</v>
      </c>
      <c r="L956" t="s">
        <v>551</v>
      </c>
      <c r="M956">
        <v>4</v>
      </c>
      <c r="N956" t="s">
        <v>68</v>
      </c>
      <c r="O956" t="s">
        <v>35</v>
      </c>
      <c r="Q956" t="s">
        <v>36</v>
      </c>
      <c r="R956">
        <v>25</v>
      </c>
      <c r="S956" t="s">
        <v>49</v>
      </c>
      <c r="T956" t="s">
        <v>164</v>
      </c>
      <c r="U956">
        <v>4</v>
      </c>
      <c r="V956" t="s">
        <v>89</v>
      </c>
      <c r="W956" t="s">
        <v>51</v>
      </c>
      <c r="X956" t="s">
        <v>52</v>
      </c>
      <c r="Y956" t="s">
        <v>53</v>
      </c>
    </row>
    <row r="957" spans="1:25">
      <c r="A957" t="s">
        <v>3121</v>
      </c>
      <c r="B957" t="s">
        <v>3122</v>
      </c>
      <c r="C957" t="s">
        <v>204</v>
      </c>
      <c r="D957">
        <v>56</v>
      </c>
      <c r="E957" t="s">
        <v>57</v>
      </c>
      <c r="F957" t="s">
        <v>29</v>
      </c>
      <c r="G957" t="s">
        <v>58</v>
      </c>
      <c r="H957" t="s">
        <v>582</v>
      </c>
      <c r="I957" t="s">
        <v>1408</v>
      </c>
      <c r="J957">
        <v>3</v>
      </c>
      <c r="K957" t="s">
        <v>582</v>
      </c>
      <c r="L957" t="s">
        <v>3123</v>
      </c>
      <c r="M957">
        <v>11</v>
      </c>
      <c r="N957" t="s">
        <v>34</v>
      </c>
      <c r="O957" t="s">
        <v>35</v>
      </c>
      <c r="Q957" t="s">
        <v>36</v>
      </c>
      <c r="R957">
        <v>15</v>
      </c>
      <c r="S957" t="s">
        <v>37</v>
      </c>
      <c r="T957" t="s">
        <v>50</v>
      </c>
      <c r="U957">
        <v>2</v>
      </c>
      <c r="V957" t="s">
        <v>89</v>
      </c>
      <c r="W957" t="s">
        <v>103</v>
      </c>
      <c r="X957" t="s">
        <v>52</v>
      </c>
      <c r="Y957" t="s">
        <v>71</v>
      </c>
    </row>
    <row r="958" spans="1:25">
      <c r="A958" t="s">
        <v>3124</v>
      </c>
      <c r="B958" t="s">
        <v>3125</v>
      </c>
      <c r="C958" t="s">
        <v>204</v>
      </c>
      <c r="D958">
        <v>78</v>
      </c>
      <c r="E958" t="s">
        <v>149</v>
      </c>
      <c r="F958" t="s">
        <v>29</v>
      </c>
      <c r="G958" t="s">
        <v>30</v>
      </c>
      <c r="H958" t="s">
        <v>542</v>
      </c>
      <c r="I958" t="s">
        <v>809</v>
      </c>
      <c r="J958">
        <v>6</v>
      </c>
      <c r="K958" t="s">
        <v>544</v>
      </c>
      <c r="L958" t="s">
        <v>3126</v>
      </c>
      <c r="M958">
        <v>12</v>
      </c>
      <c r="N958" t="s">
        <v>34</v>
      </c>
      <c r="O958" t="s">
        <v>35</v>
      </c>
      <c r="Q958" t="s">
        <v>36</v>
      </c>
      <c r="R958">
        <v>40</v>
      </c>
      <c r="S958" t="s">
        <v>37</v>
      </c>
      <c r="T958" t="s">
        <v>88</v>
      </c>
      <c r="U958">
        <v>4</v>
      </c>
      <c r="V958" t="s">
        <v>89</v>
      </c>
      <c r="W958" t="s">
        <v>103</v>
      </c>
      <c r="X958" t="s">
        <v>52</v>
      </c>
      <c r="Y958" t="s">
        <v>71</v>
      </c>
    </row>
    <row r="959" spans="1:25">
      <c r="A959" t="s">
        <v>3127</v>
      </c>
      <c r="B959" t="s">
        <v>3128</v>
      </c>
      <c r="C959" t="s">
        <v>80</v>
      </c>
      <c r="D959">
        <v>37</v>
      </c>
      <c r="E959" t="s">
        <v>149</v>
      </c>
      <c r="F959" t="s">
        <v>29</v>
      </c>
      <c r="G959" t="s">
        <v>30</v>
      </c>
      <c r="H959" t="s">
        <v>329</v>
      </c>
      <c r="I959" t="s">
        <v>2716</v>
      </c>
      <c r="J959">
        <v>6</v>
      </c>
      <c r="K959" t="s">
        <v>329</v>
      </c>
      <c r="L959" t="s">
        <v>1271</v>
      </c>
      <c r="M959">
        <v>9</v>
      </c>
      <c r="N959" t="s">
        <v>34</v>
      </c>
      <c r="O959" t="s">
        <v>35</v>
      </c>
      <c r="Q959" t="s">
        <v>36</v>
      </c>
      <c r="R959">
        <v>40</v>
      </c>
      <c r="S959" t="s">
        <v>49</v>
      </c>
      <c r="T959" t="s">
        <v>38</v>
      </c>
      <c r="U959">
        <v>3</v>
      </c>
      <c r="V959" t="s">
        <v>62</v>
      </c>
      <c r="W959" t="s">
        <v>103</v>
      </c>
      <c r="X959" t="s">
        <v>41</v>
      </c>
      <c r="Y959" t="s">
        <v>71</v>
      </c>
    </row>
    <row r="960" spans="1:25">
      <c r="A960" t="s">
        <v>3129</v>
      </c>
      <c r="B960" t="s">
        <v>3130</v>
      </c>
      <c r="C960" t="s">
        <v>27</v>
      </c>
      <c r="D960">
        <v>24</v>
      </c>
      <c r="E960" t="s">
        <v>28</v>
      </c>
      <c r="F960" t="s">
        <v>29</v>
      </c>
      <c r="G960" t="s">
        <v>30</v>
      </c>
      <c r="H960" t="s">
        <v>217</v>
      </c>
      <c r="I960" t="s">
        <v>2348</v>
      </c>
      <c r="J960">
        <v>5</v>
      </c>
      <c r="K960" t="s">
        <v>217</v>
      </c>
      <c r="L960" t="s">
        <v>61</v>
      </c>
      <c r="M960">
        <v>7</v>
      </c>
      <c r="N960" t="s">
        <v>34</v>
      </c>
      <c r="O960" t="s">
        <v>35</v>
      </c>
      <c r="Q960" t="s">
        <v>36</v>
      </c>
      <c r="R960">
        <v>35</v>
      </c>
      <c r="S960" t="s">
        <v>49</v>
      </c>
      <c r="T960" t="s">
        <v>50</v>
      </c>
      <c r="U960">
        <v>2</v>
      </c>
      <c r="V960" t="s">
        <v>70</v>
      </c>
      <c r="W960" t="s">
        <v>51</v>
      </c>
      <c r="X960" t="s">
        <v>41</v>
      </c>
      <c r="Y960" t="s">
        <v>53</v>
      </c>
    </row>
    <row r="961" spans="1:25">
      <c r="A961" t="s">
        <v>3131</v>
      </c>
      <c r="B961" t="s">
        <v>3132</v>
      </c>
      <c r="C961" t="s">
        <v>204</v>
      </c>
      <c r="D961">
        <v>6</v>
      </c>
      <c r="E961" t="s">
        <v>149</v>
      </c>
      <c r="F961" t="s">
        <v>29</v>
      </c>
      <c r="G961" t="s">
        <v>93</v>
      </c>
      <c r="H961" t="s">
        <v>388</v>
      </c>
      <c r="I961" t="s">
        <v>2271</v>
      </c>
      <c r="J961">
        <v>6</v>
      </c>
      <c r="K961" t="s">
        <v>388</v>
      </c>
      <c r="L961" t="s">
        <v>1163</v>
      </c>
      <c r="M961">
        <v>9</v>
      </c>
      <c r="N961" t="s">
        <v>34</v>
      </c>
      <c r="O961" t="s">
        <v>35</v>
      </c>
      <c r="Q961" t="s">
        <v>36</v>
      </c>
      <c r="R961">
        <v>40</v>
      </c>
      <c r="S961" t="s">
        <v>37</v>
      </c>
      <c r="T961" t="s">
        <v>69</v>
      </c>
      <c r="U961">
        <v>2</v>
      </c>
      <c r="V961" t="s">
        <v>62</v>
      </c>
      <c r="W961" t="s">
        <v>165</v>
      </c>
      <c r="X961" t="s">
        <v>109</v>
      </c>
      <c r="Y961" t="s">
        <v>71</v>
      </c>
    </row>
    <row r="962" spans="1:25">
      <c r="A962" t="s">
        <v>3133</v>
      </c>
      <c r="B962" t="s">
        <v>3134</v>
      </c>
      <c r="C962" t="s">
        <v>56</v>
      </c>
      <c r="D962">
        <v>33</v>
      </c>
      <c r="E962" t="s">
        <v>28</v>
      </c>
      <c r="F962" t="s">
        <v>29</v>
      </c>
      <c r="G962" t="s">
        <v>30</v>
      </c>
      <c r="H962" t="s">
        <v>1097</v>
      </c>
      <c r="I962" t="s">
        <v>237</v>
      </c>
      <c r="J962">
        <v>5</v>
      </c>
      <c r="K962" t="s">
        <v>1097</v>
      </c>
      <c r="L962" t="s">
        <v>238</v>
      </c>
      <c r="M962">
        <v>12</v>
      </c>
      <c r="N962" t="s">
        <v>34</v>
      </c>
      <c r="O962" t="s">
        <v>35</v>
      </c>
      <c r="Q962" t="s">
        <v>36</v>
      </c>
      <c r="R962">
        <v>35</v>
      </c>
      <c r="S962" t="s">
        <v>49</v>
      </c>
      <c r="T962" t="s">
        <v>69</v>
      </c>
      <c r="U962">
        <v>3</v>
      </c>
      <c r="V962" t="s">
        <v>70</v>
      </c>
      <c r="W962" t="s">
        <v>165</v>
      </c>
      <c r="X962" t="s">
        <v>109</v>
      </c>
      <c r="Y962" t="s">
        <v>42</v>
      </c>
    </row>
    <row r="963" spans="1:25">
      <c r="A963" t="s">
        <v>3135</v>
      </c>
      <c r="B963" t="s">
        <v>3136</v>
      </c>
      <c r="C963" t="s">
        <v>204</v>
      </c>
      <c r="D963">
        <v>57</v>
      </c>
      <c r="E963" t="s">
        <v>92</v>
      </c>
      <c r="F963" t="s">
        <v>29</v>
      </c>
      <c r="G963" t="s">
        <v>93</v>
      </c>
      <c r="H963" t="s">
        <v>194</v>
      </c>
      <c r="I963" t="s">
        <v>887</v>
      </c>
      <c r="J963">
        <v>24</v>
      </c>
      <c r="K963" t="s">
        <v>112</v>
      </c>
      <c r="L963" t="s">
        <v>888</v>
      </c>
      <c r="M963">
        <v>25</v>
      </c>
      <c r="N963" t="s">
        <v>34</v>
      </c>
      <c r="O963" t="s">
        <v>35</v>
      </c>
      <c r="Q963" t="s">
        <v>36</v>
      </c>
      <c r="R963">
        <v>50</v>
      </c>
      <c r="S963" t="s">
        <v>77</v>
      </c>
      <c r="T963" t="s">
        <v>69</v>
      </c>
      <c r="U963">
        <v>5</v>
      </c>
      <c r="V963" t="s">
        <v>70</v>
      </c>
      <c r="W963" t="s">
        <v>51</v>
      </c>
      <c r="X963" t="s">
        <v>41</v>
      </c>
      <c r="Y963" t="s">
        <v>53</v>
      </c>
    </row>
    <row r="964" spans="1:25">
      <c r="A964" t="s">
        <v>3137</v>
      </c>
      <c r="B964" t="s">
        <v>3138</v>
      </c>
      <c r="C964" t="s">
        <v>80</v>
      </c>
      <c r="D964">
        <v>37</v>
      </c>
      <c r="E964" t="s">
        <v>28</v>
      </c>
      <c r="F964" t="s">
        <v>29</v>
      </c>
      <c r="G964" t="s">
        <v>93</v>
      </c>
      <c r="H964" t="s">
        <v>2111</v>
      </c>
      <c r="I964" t="s">
        <v>316</v>
      </c>
      <c r="J964">
        <v>5</v>
      </c>
      <c r="K964" t="s">
        <v>762</v>
      </c>
      <c r="L964" t="s">
        <v>3139</v>
      </c>
      <c r="M964">
        <v>12</v>
      </c>
      <c r="N964" t="s">
        <v>34</v>
      </c>
      <c r="O964" t="s">
        <v>35</v>
      </c>
      <c r="Q964" t="s">
        <v>36</v>
      </c>
      <c r="R964">
        <v>35</v>
      </c>
      <c r="S964" t="s">
        <v>37</v>
      </c>
      <c r="T964" t="s">
        <v>69</v>
      </c>
      <c r="U964">
        <v>1</v>
      </c>
      <c r="V964" t="s">
        <v>39</v>
      </c>
      <c r="W964" t="s">
        <v>103</v>
      </c>
      <c r="X964" t="s">
        <v>41</v>
      </c>
      <c r="Y964" t="s">
        <v>71</v>
      </c>
    </row>
    <row r="965" spans="1:25">
      <c r="A965" t="s">
        <v>3140</v>
      </c>
      <c r="B965" t="s">
        <v>3141</v>
      </c>
      <c r="C965" t="s">
        <v>204</v>
      </c>
      <c r="D965">
        <v>14</v>
      </c>
      <c r="E965" t="s">
        <v>173</v>
      </c>
      <c r="F965" t="s">
        <v>29</v>
      </c>
      <c r="G965" t="s">
        <v>93</v>
      </c>
      <c r="H965" t="s">
        <v>572</v>
      </c>
      <c r="I965" t="s">
        <v>3118</v>
      </c>
      <c r="J965">
        <v>4</v>
      </c>
      <c r="K965" t="s">
        <v>572</v>
      </c>
      <c r="L965" t="s">
        <v>61</v>
      </c>
      <c r="M965">
        <v>11</v>
      </c>
      <c r="N965" t="s">
        <v>34</v>
      </c>
      <c r="O965" t="s">
        <v>35</v>
      </c>
      <c r="Q965" t="s">
        <v>36</v>
      </c>
      <c r="R965">
        <v>25</v>
      </c>
      <c r="S965" t="s">
        <v>49</v>
      </c>
      <c r="T965" t="s">
        <v>164</v>
      </c>
      <c r="U965">
        <v>2</v>
      </c>
      <c r="V965" t="s">
        <v>89</v>
      </c>
      <c r="W965" t="s">
        <v>40</v>
      </c>
      <c r="X965" t="s">
        <v>109</v>
      </c>
      <c r="Y965" t="s">
        <v>71</v>
      </c>
    </row>
    <row r="966" spans="1:25">
      <c r="A966" t="s">
        <v>3142</v>
      </c>
      <c r="B966" t="s">
        <v>3143</v>
      </c>
      <c r="C966" t="s">
        <v>80</v>
      </c>
      <c r="D966">
        <v>1</v>
      </c>
      <c r="E966" t="s">
        <v>149</v>
      </c>
      <c r="F966" t="s">
        <v>29</v>
      </c>
      <c r="G966" t="s">
        <v>58</v>
      </c>
      <c r="H966" t="s">
        <v>128</v>
      </c>
      <c r="I966" t="s">
        <v>1509</v>
      </c>
      <c r="J966">
        <v>6</v>
      </c>
      <c r="K966" t="s">
        <v>128</v>
      </c>
      <c r="L966" t="s">
        <v>1106</v>
      </c>
      <c r="M966">
        <v>9</v>
      </c>
      <c r="N966" t="s">
        <v>34</v>
      </c>
      <c r="O966" t="s">
        <v>35</v>
      </c>
      <c r="Q966" t="s">
        <v>36</v>
      </c>
      <c r="R966">
        <v>40</v>
      </c>
      <c r="S966" t="s">
        <v>49</v>
      </c>
      <c r="T966" t="s">
        <v>88</v>
      </c>
      <c r="U966">
        <v>2</v>
      </c>
      <c r="V966" t="s">
        <v>89</v>
      </c>
      <c r="W966" t="s">
        <v>51</v>
      </c>
      <c r="X966" t="s">
        <v>41</v>
      </c>
      <c r="Y966" t="s">
        <v>71</v>
      </c>
    </row>
    <row r="967" spans="1:25">
      <c r="A967" t="s">
        <v>3144</v>
      </c>
      <c r="B967" t="s">
        <v>3145</v>
      </c>
      <c r="C967" t="s">
        <v>56</v>
      </c>
      <c r="D967">
        <v>86</v>
      </c>
      <c r="E967" t="s">
        <v>173</v>
      </c>
      <c r="F967" t="s">
        <v>29</v>
      </c>
      <c r="G967" t="s">
        <v>168</v>
      </c>
      <c r="H967" t="s">
        <v>1177</v>
      </c>
      <c r="I967" t="s">
        <v>2310</v>
      </c>
      <c r="J967">
        <v>4</v>
      </c>
      <c r="K967" t="s">
        <v>1177</v>
      </c>
      <c r="L967" t="s">
        <v>3146</v>
      </c>
      <c r="M967">
        <v>4</v>
      </c>
      <c r="N967" t="s">
        <v>68</v>
      </c>
      <c r="O967" t="s">
        <v>35</v>
      </c>
      <c r="Q967" t="s">
        <v>36</v>
      </c>
      <c r="R967">
        <v>25</v>
      </c>
      <c r="S967" t="s">
        <v>77</v>
      </c>
      <c r="T967" t="s">
        <v>96</v>
      </c>
      <c r="U967">
        <v>4</v>
      </c>
      <c r="V967" t="s">
        <v>62</v>
      </c>
      <c r="W967" t="s">
        <v>51</v>
      </c>
      <c r="X967" t="s">
        <v>41</v>
      </c>
      <c r="Y967" t="s">
        <v>53</v>
      </c>
    </row>
    <row r="968" spans="1:25">
      <c r="A968" t="s">
        <v>3147</v>
      </c>
      <c r="B968" t="s">
        <v>3148</v>
      </c>
      <c r="C968" t="s">
        <v>80</v>
      </c>
      <c r="D968">
        <v>44</v>
      </c>
      <c r="E968" t="s">
        <v>57</v>
      </c>
      <c r="F968" t="s">
        <v>29</v>
      </c>
      <c r="G968" t="s">
        <v>30</v>
      </c>
      <c r="H968" t="s">
        <v>1626</v>
      </c>
      <c r="I968" t="s">
        <v>3088</v>
      </c>
      <c r="J968">
        <v>3</v>
      </c>
      <c r="K968" t="s">
        <v>1626</v>
      </c>
      <c r="L968" t="s">
        <v>108</v>
      </c>
      <c r="M968">
        <v>10</v>
      </c>
      <c r="N968" t="s">
        <v>34</v>
      </c>
      <c r="O968" t="s">
        <v>35</v>
      </c>
      <c r="Q968" t="s">
        <v>36</v>
      </c>
      <c r="R968">
        <v>15</v>
      </c>
      <c r="S968" t="s">
        <v>49</v>
      </c>
      <c r="T968" t="s">
        <v>164</v>
      </c>
      <c r="U968">
        <v>4</v>
      </c>
      <c r="V968" t="s">
        <v>62</v>
      </c>
      <c r="W968" t="s">
        <v>103</v>
      </c>
      <c r="X968" t="s">
        <v>52</v>
      </c>
      <c r="Y968" t="s">
        <v>42</v>
      </c>
    </row>
    <row r="969" spans="1:25">
      <c r="A969" t="s">
        <v>3149</v>
      </c>
      <c r="B969" t="s">
        <v>3150</v>
      </c>
      <c r="C969" t="s">
        <v>204</v>
      </c>
      <c r="D969">
        <v>61</v>
      </c>
      <c r="E969" t="s">
        <v>92</v>
      </c>
      <c r="F969" t="s">
        <v>29</v>
      </c>
      <c r="G969" t="s">
        <v>93</v>
      </c>
      <c r="H969" t="s">
        <v>236</v>
      </c>
      <c r="I969" t="s">
        <v>195</v>
      </c>
      <c r="J969">
        <v>24</v>
      </c>
      <c r="K969" t="s">
        <v>473</v>
      </c>
      <c r="L969" t="s">
        <v>195</v>
      </c>
      <c r="M969">
        <v>24</v>
      </c>
      <c r="N969" t="s">
        <v>68</v>
      </c>
      <c r="O969" t="s">
        <v>35</v>
      </c>
      <c r="Q969" t="s">
        <v>132</v>
      </c>
      <c r="R969">
        <v>50</v>
      </c>
      <c r="S969" t="s">
        <v>49</v>
      </c>
      <c r="T969" t="s">
        <v>38</v>
      </c>
      <c r="U969">
        <v>1</v>
      </c>
      <c r="V969" t="s">
        <v>39</v>
      </c>
      <c r="W969" t="s">
        <v>40</v>
      </c>
      <c r="X969" t="s">
        <v>52</v>
      </c>
      <c r="Y969" t="s">
        <v>71</v>
      </c>
    </row>
    <row r="970" spans="1:25">
      <c r="A970" t="s">
        <v>3151</v>
      </c>
      <c r="B970" t="s">
        <v>3152</v>
      </c>
      <c r="C970" t="s">
        <v>204</v>
      </c>
      <c r="D970">
        <v>86</v>
      </c>
      <c r="E970" t="s">
        <v>92</v>
      </c>
      <c r="F970" t="s">
        <v>29</v>
      </c>
      <c r="G970" t="s">
        <v>168</v>
      </c>
      <c r="H970" t="s">
        <v>1069</v>
      </c>
      <c r="I970" t="s">
        <v>2593</v>
      </c>
      <c r="J970">
        <v>24</v>
      </c>
      <c r="K970" t="s">
        <v>707</v>
      </c>
      <c r="L970" t="s">
        <v>2593</v>
      </c>
      <c r="M970">
        <v>24</v>
      </c>
      <c r="N970" t="s">
        <v>68</v>
      </c>
      <c r="O970" t="s">
        <v>35</v>
      </c>
      <c r="Q970" t="s">
        <v>36</v>
      </c>
      <c r="R970">
        <v>50</v>
      </c>
      <c r="S970" t="s">
        <v>37</v>
      </c>
      <c r="T970" t="s">
        <v>96</v>
      </c>
      <c r="U970">
        <v>1</v>
      </c>
      <c r="V970" t="s">
        <v>70</v>
      </c>
      <c r="W970" t="s">
        <v>165</v>
      </c>
      <c r="X970" t="s">
        <v>52</v>
      </c>
      <c r="Y970" t="s">
        <v>71</v>
      </c>
    </row>
    <row r="971" spans="1:25">
      <c r="A971" t="s">
        <v>3153</v>
      </c>
      <c r="B971" t="s">
        <v>3154</v>
      </c>
      <c r="C971" t="s">
        <v>27</v>
      </c>
      <c r="D971">
        <v>57</v>
      </c>
      <c r="E971" t="s">
        <v>81</v>
      </c>
      <c r="F971" t="s">
        <v>82</v>
      </c>
      <c r="G971" t="s">
        <v>93</v>
      </c>
      <c r="H971" t="s">
        <v>247</v>
      </c>
      <c r="I971" t="s">
        <v>1605</v>
      </c>
      <c r="J971">
        <v>8</v>
      </c>
      <c r="K971" t="s">
        <v>247</v>
      </c>
      <c r="L971" t="s">
        <v>1843</v>
      </c>
      <c r="M971">
        <v>8</v>
      </c>
      <c r="N971" t="s">
        <v>68</v>
      </c>
      <c r="O971" t="s">
        <v>35</v>
      </c>
      <c r="Q971" t="s">
        <v>36</v>
      </c>
      <c r="R971">
        <v>20</v>
      </c>
      <c r="S971" t="s">
        <v>77</v>
      </c>
      <c r="T971" t="s">
        <v>69</v>
      </c>
      <c r="U971">
        <v>5</v>
      </c>
      <c r="V971" t="s">
        <v>39</v>
      </c>
      <c r="W971" t="s">
        <v>103</v>
      </c>
      <c r="X971" t="s">
        <v>109</v>
      </c>
      <c r="Y971" t="s">
        <v>53</v>
      </c>
    </row>
    <row r="972" spans="1:25">
      <c r="A972" t="s">
        <v>3155</v>
      </c>
      <c r="B972" t="s">
        <v>3156</v>
      </c>
      <c r="C972" t="s">
        <v>204</v>
      </c>
      <c r="D972">
        <v>23</v>
      </c>
      <c r="E972" t="s">
        <v>81</v>
      </c>
      <c r="F972" t="s">
        <v>82</v>
      </c>
      <c r="G972" t="s">
        <v>45</v>
      </c>
      <c r="H972" t="s">
        <v>384</v>
      </c>
      <c r="I972" t="s">
        <v>380</v>
      </c>
      <c r="J972">
        <v>8</v>
      </c>
      <c r="K972" t="s">
        <v>384</v>
      </c>
      <c r="L972" t="s">
        <v>764</v>
      </c>
      <c r="M972">
        <v>10</v>
      </c>
      <c r="N972" t="s">
        <v>34</v>
      </c>
      <c r="O972" t="s">
        <v>35</v>
      </c>
      <c r="Q972" t="s">
        <v>36</v>
      </c>
      <c r="R972">
        <v>20</v>
      </c>
      <c r="S972" t="s">
        <v>77</v>
      </c>
      <c r="T972" t="s">
        <v>50</v>
      </c>
      <c r="U972">
        <v>4</v>
      </c>
      <c r="V972" t="s">
        <v>39</v>
      </c>
      <c r="W972" t="s">
        <v>40</v>
      </c>
      <c r="X972" t="s">
        <v>41</v>
      </c>
      <c r="Y972" t="s">
        <v>71</v>
      </c>
    </row>
    <row r="973" spans="1:25">
      <c r="A973" t="s">
        <v>3157</v>
      </c>
      <c r="B973" t="s">
        <v>3158</v>
      </c>
      <c r="C973" t="s">
        <v>80</v>
      </c>
      <c r="D973">
        <v>45</v>
      </c>
      <c r="E973" t="s">
        <v>92</v>
      </c>
      <c r="F973" t="s">
        <v>29</v>
      </c>
      <c r="G973" t="s">
        <v>83</v>
      </c>
      <c r="H973" t="s">
        <v>891</v>
      </c>
      <c r="I973" t="s">
        <v>664</v>
      </c>
      <c r="J973">
        <v>24</v>
      </c>
      <c r="K973" t="s">
        <v>893</v>
      </c>
      <c r="L973" t="s">
        <v>136</v>
      </c>
      <c r="M973">
        <v>28</v>
      </c>
      <c r="N973" t="s">
        <v>34</v>
      </c>
      <c r="O973" t="s">
        <v>270</v>
      </c>
      <c r="P973" t="s">
        <v>271</v>
      </c>
      <c r="Q973" t="s">
        <v>36</v>
      </c>
      <c r="R973">
        <v>50</v>
      </c>
      <c r="S973" t="s">
        <v>37</v>
      </c>
      <c r="T973" t="s">
        <v>164</v>
      </c>
      <c r="U973">
        <v>5</v>
      </c>
      <c r="V973" t="s">
        <v>89</v>
      </c>
      <c r="W973" t="s">
        <v>165</v>
      </c>
      <c r="X973" t="s">
        <v>109</v>
      </c>
      <c r="Y973" t="s">
        <v>42</v>
      </c>
    </row>
    <row r="974" spans="1:25">
      <c r="A974" t="s">
        <v>3159</v>
      </c>
      <c r="B974" t="s">
        <v>3160</v>
      </c>
      <c r="C974" t="s">
        <v>204</v>
      </c>
      <c r="D974">
        <v>12</v>
      </c>
      <c r="E974" t="s">
        <v>92</v>
      </c>
      <c r="F974" t="s">
        <v>29</v>
      </c>
      <c r="G974" t="s">
        <v>93</v>
      </c>
      <c r="H974" t="s">
        <v>329</v>
      </c>
      <c r="I974" t="s">
        <v>3161</v>
      </c>
      <c r="J974">
        <v>24</v>
      </c>
      <c r="K974" t="s">
        <v>421</v>
      </c>
      <c r="L974" t="s">
        <v>157</v>
      </c>
      <c r="M974">
        <v>27</v>
      </c>
      <c r="N974" t="s">
        <v>34</v>
      </c>
      <c r="O974" t="s">
        <v>35</v>
      </c>
      <c r="Q974" t="s">
        <v>36</v>
      </c>
      <c r="R974">
        <v>50</v>
      </c>
      <c r="S974" t="s">
        <v>49</v>
      </c>
      <c r="T974" t="s">
        <v>38</v>
      </c>
      <c r="U974">
        <v>5</v>
      </c>
      <c r="V974" t="s">
        <v>89</v>
      </c>
      <c r="W974" t="s">
        <v>165</v>
      </c>
      <c r="X974" t="s">
        <v>109</v>
      </c>
      <c r="Y974" t="s">
        <v>53</v>
      </c>
    </row>
    <row r="975" spans="1:25">
      <c r="A975" t="s">
        <v>3162</v>
      </c>
      <c r="B975" t="s">
        <v>3163</v>
      </c>
      <c r="C975" t="s">
        <v>204</v>
      </c>
      <c r="D975">
        <v>69</v>
      </c>
      <c r="E975" t="s">
        <v>92</v>
      </c>
      <c r="F975" t="s">
        <v>29</v>
      </c>
      <c r="G975" t="s">
        <v>93</v>
      </c>
      <c r="H975" t="s">
        <v>1235</v>
      </c>
      <c r="I975" t="s">
        <v>426</v>
      </c>
      <c r="J975">
        <v>24</v>
      </c>
      <c r="K975" t="s">
        <v>274</v>
      </c>
      <c r="L975" t="s">
        <v>2478</v>
      </c>
      <c r="M975">
        <v>29</v>
      </c>
      <c r="N975" t="s">
        <v>34</v>
      </c>
      <c r="O975" t="s">
        <v>35</v>
      </c>
      <c r="Q975" t="s">
        <v>36</v>
      </c>
      <c r="R975">
        <v>50</v>
      </c>
      <c r="S975" t="s">
        <v>77</v>
      </c>
      <c r="T975" t="s">
        <v>50</v>
      </c>
      <c r="U975">
        <v>4</v>
      </c>
      <c r="V975" t="s">
        <v>70</v>
      </c>
      <c r="W975" t="s">
        <v>40</v>
      </c>
      <c r="X975" t="s">
        <v>41</v>
      </c>
      <c r="Y975" t="s">
        <v>71</v>
      </c>
    </row>
    <row r="976" spans="1:25">
      <c r="A976" t="s">
        <v>3164</v>
      </c>
      <c r="B976" t="s">
        <v>3165</v>
      </c>
      <c r="C976" t="s">
        <v>204</v>
      </c>
      <c r="D976">
        <v>60</v>
      </c>
      <c r="E976" t="s">
        <v>81</v>
      </c>
      <c r="F976" t="s">
        <v>82</v>
      </c>
      <c r="G976" t="s">
        <v>83</v>
      </c>
      <c r="H976" t="s">
        <v>1180</v>
      </c>
      <c r="I976" t="s">
        <v>2020</v>
      </c>
      <c r="J976">
        <v>8</v>
      </c>
      <c r="K976" t="s">
        <v>1180</v>
      </c>
      <c r="L976" t="s">
        <v>3166</v>
      </c>
      <c r="M976">
        <v>7</v>
      </c>
      <c r="N976" t="s">
        <v>68</v>
      </c>
      <c r="O976" t="s">
        <v>35</v>
      </c>
      <c r="Q976" t="s">
        <v>36</v>
      </c>
      <c r="R976">
        <v>20</v>
      </c>
      <c r="S976" t="s">
        <v>49</v>
      </c>
      <c r="T976" t="s">
        <v>50</v>
      </c>
      <c r="U976">
        <v>1</v>
      </c>
      <c r="V976" t="s">
        <v>70</v>
      </c>
      <c r="W976" t="s">
        <v>40</v>
      </c>
      <c r="X976" t="s">
        <v>52</v>
      </c>
      <c r="Y976" t="s">
        <v>42</v>
      </c>
    </row>
    <row r="977" spans="1:25">
      <c r="A977" t="s">
        <v>3167</v>
      </c>
      <c r="B977" t="s">
        <v>3168</v>
      </c>
      <c r="C977" t="s">
        <v>80</v>
      </c>
      <c r="D977">
        <v>74</v>
      </c>
      <c r="E977" t="s">
        <v>92</v>
      </c>
      <c r="F977" t="s">
        <v>29</v>
      </c>
      <c r="G977" t="s">
        <v>93</v>
      </c>
      <c r="H977" t="s">
        <v>1748</v>
      </c>
      <c r="I977" t="s">
        <v>1202</v>
      </c>
      <c r="J977">
        <v>24</v>
      </c>
      <c r="K977" t="s">
        <v>1170</v>
      </c>
      <c r="L977" t="s">
        <v>1143</v>
      </c>
      <c r="M977">
        <v>26</v>
      </c>
      <c r="N977" t="s">
        <v>34</v>
      </c>
      <c r="O977" t="s">
        <v>35</v>
      </c>
      <c r="Q977" t="s">
        <v>132</v>
      </c>
      <c r="R977">
        <v>50</v>
      </c>
      <c r="S977" t="s">
        <v>49</v>
      </c>
      <c r="T977" t="s">
        <v>96</v>
      </c>
      <c r="U977">
        <v>2</v>
      </c>
      <c r="V977" t="s">
        <v>89</v>
      </c>
      <c r="W977" t="s">
        <v>40</v>
      </c>
      <c r="X977" t="s">
        <v>41</v>
      </c>
      <c r="Y977" t="s">
        <v>42</v>
      </c>
    </row>
    <row r="978" spans="1:25">
      <c r="A978" t="s">
        <v>3169</v>
      </c>
      <c r="B978" t="s">
        <v>3170</v>
      </c>
      <c r="C978" t="s">
        <v>27</v>
      </c>
      <c r="D978">
        <v>86</v>
      </c>
      <c r="E978" t="s">
        <v>149</v>
      </c>
      <c r="F978" t="s">
        <v>29</v>
      </c>
      <c r="G978" t="s">
        <v>30</v>
      </c>
      <c r="H978" t="s">
        <v>141</v>
      </c>
      <c r="I978" t="s">
        <v>3171</v>
      </c>
      <c r="J978">
        <v>6</v>
      </c>
      <c r="K978" t="s">
        <v>141</v>
      </c>
      <c r="L978" t="s">
        <v>2556</v>
      </c>
      <c r="M978">
        <v>5</v>
      </c>
      <c r="N978" t="s">
        <v>68</v>
      </c>
      <c r="O978" t="s">
        <v>35</v>
      </c>
      <c r="Q978" t="s">
        <v>132</v>
      </c>
      <c r="R978">
        <v>40</v>
      </c>
      <c r="S978" t="s">
        <v>49</v>
      </c>
      <c r="T978" t="s">
        <v>38</v>
      </c>
      <c r="U978">
        <v>4</v>
      </c>
      <c r="V978" t="s">
        <v>39</v>
      </c>
      <c r="W978" t="s">
        <v>40</v>
      </c>
      <c r="X978" t="s">
        <v>41</v>
      </c>
      <c r="Y978" t="s">
        <v>42</v>
      </c>
    </row>
    <row r="979" spans="1:25">
      <c r="A979" t="s">
        <v>3172</v>
      </c>
      <c r="B979" t="s">
        <v>3173</v>
      </c>
      <c r="C979" t="s">
        <v>56</v>
      </c>
      <c r="D979">
        <v>87</v>
      </c>
      <c r="E979" t="s">
        <v>81</v>
      </c>
      <c r="F979" t="s">
        <v>82</v>
      </c>
      <c r="G979" t="s">
        <v>83</v>
      </c>
      <c r="H979" t="s">
        <v>446</v>
      </c>
      <c r="I979" t="s">
        <v>218</v>
      </c>
      <c r="J979">
        <v>8</v>
      </c>
      <c r="K979" t="s">
        <v>446</v>
      </c>
      <c r="L979" t="s">
        <v>3174</v>
      </c>
      <c r="M979">
        <v>10</v>
      </c>
      <c r="N979" t="s">
        <v>34</v>
      </c>
      <c r="O979" t="s">
        <v>35</v>
      </c>
      <c r="Q979" t="s">
        <v>36</v>
      </c>
      <c r="R979">
        <v>20</v>
      </c>
      <c r="S979" t="s">
        <v>49</v>
      </c>
      <c r="T979" t="s">
        <v>164</v>
      </c>
      <c r="U979">
        <v>1</v>
      </c>
      <c r="V979" t="s">
        <v>89</v>
      </c>
      <c r="W979" t="s">
        <v>51</v>
      </c>
      <c r="X979" t="s">
        <v>41</v>
      </c>
      <c r="Y979" t="s">
        <v>71</v>
      </c>
    </row>
    <row r="980" spans="1:25">
      <c r="A980" t="s">
        <v>3175</v>
      </c>
      <c r="B980" t="s">
        <v>3176</v>
      </c>
      <c r="C980" t="s">
        <v>80</v>
      </c>
      <c r="D980">
        <v>48</v>
      </c>
      <c r="E980" t="s">
        <v>92</v>
      </c>
      <c r="F980" t="s">
        <v>29</v>
      </c>
      <c r="G980" t="s">
        <v>93</v>
      </c>
      <c r="H980" t="s">
        <v>1189</v>
      </c>
      <c r="I980" t="s">
        <v>288</v>
      </c>
      <c r="J980">
        <v>24</v>
      </c>
      <c r="K980" t="s">
        <v>437</v>
      </c>
      <c r="L980" t="s">
        <v>3177</v>
      </c>
      <c r="M980">
        <v>29</v>
      </c>
      <c r="N980" t="s">
        <v>34</v>
      </c>
      <c r="O980" t="s">
        <v>35</v>
      </c>
      <c r="Q980" t="s">
        <v>36</v>
      </c>
      <c r="R980">
        <v>50</v>
      </c>
      <c r="S980" t="s">
        <v>37</v>
      </c>
      <c r="T980" t="s">
        <v>88</v>
      </c>
      <c r="U980">
        <v>3</v>
      </c>
      <c r="V980" t="s">
        <v>70</v>
      </c>
      <c r="W980" t="s">
        <v>40</v>
      </c>
      <c r="X980" t="s">
        <v>109</v>
      </c>
      <c r="Y980" t="s">
        <v>53</v>
      </c>
    </row>
    <row r="981" spans="1:25">
      <c r="A981" t="s">
        <v>3178</v>
      </c>
      <c r="B981" t="s">
        <v>3179</v>
      </c>
      <c r="C981" t="s">
        <v>27</v>
      </c>
      <c r="D981">
        <v>68</v>
      </c>
      <c r="E981" t="s">
        <v>28</v>
      </c>
      <c r="F981" t="s">
        <v>29</v>
      </c>
      <c r="G981" t="s">
        <v>58</v>
      </c>
      <c r="H981" t="s">
        <v>2111</v>
      </c>
      <c r="I981" t="s">
        <v>252</v>
      </c>
      <c r="J981">
        <v>5</v>
      </c>
      <c r="K981" t="s">
        <v>762</v>
      </c>
      <c r="L981" t="s">
        <v>3180</v>
      </c>
      <c r="M981">
        <v>9</v>
      </c>
      <c r="N981" t="s">
        <v>34</v>
      </c>
      <c r="O981" t="s">
        <v>35</v>
      </c>
      <c r="Q981" t="s">
        <v>36</v>
      </c>
      <c r="R981">
        <v>35</v>
      </c>
      <c r="S981" t="s">
        <v>77</v>
      </c>
      <c r="T981" t="s">
        <v>88</v>
      </c>
      <c r="U981">
        <v>4</v>
      </c>
      <c r="V981" t="s">
        <v>39</v>
      </c>
      <c r="W981" t="s">
        <v>165</v>
      </c>
      <c r="X981" t="s">
        <v>41</v>
      </c>
      <c r="Y981" t="s">
        <v>42</v>
      </c>
    </row>
    <row r="982" spans="1:25">
      <c r="A982" t="s">
        <v>3181</v>
      </c>
      <c r="B982" t="s">
        <v>3182</v>
      </c>
      <c r="C982" t="s">
        <v>80</v>
      </c>
      <c r="D982">
        <v>1</v>
      </c>
      <c r="E982" t="s">
        <v>57</v>
      </c>
      <c r="F982" t="s">
        <v>29</v>
      </c>
      <c r="G982" t="s">
        <v>58</v>
      </c>
      <c r="H982" t="s">
        <v>1087</v>
      </c>
      <c r="I982" t="s">
        <v>1495</v>
      </c>
      <c r="J982">
        <v>3</v>
      </c>
      <c r="K982" t="s">
        <v>1087</v>
      </c>
      <c r="L982" t="s">
        <v>759</v>
      </c>
      <c r="M982">
        <v>10</v>
      </c>
      <c r="N982" t="s">
        <v>34</v>
      </c>
      <c r="O982" t="s">
        <v>35</v>
      </c>
      <c r="Q982" t="s">
        <v>36</v>
      </c>
      <c r="R982">
        <v>15</v>
      </c>
      <c r="S982" t="s">
        <v>49</v>
      </c>
      <c r="T982" t="s">
        <v>50</v>
      </c>
      <c r="U982">
        <v>4</v>
      </c>
      <c r="V982" t="s">
        <v>89</v>
      </c>
      <c r="W982" t="s">
        <v>40</v>
      </c>
      <c r="X982" t="s">
        <v>52</v>
      </c>
      <c r="Y982" t="s">
        <v>71</v>
      </c>
    </row>
    <row r="983" spans="1:25">
      <c r="A983" t="s">
        <v>3183</v>
      </c>
      <c r="B983" t="s">
        <v>3184</v>
      </c>
      <c r="C983" t="s">
        <v>204</v>
      </c>
      <c r="D983">
        <v>69</v>
      </c>
      <c r="E983" t="s">
        <v>57</v>
      </c>
      <c r="F983" t="s">
        <v>29</v>
      </c>
      <c r="G983" t="s">
        <v>45</v>
      </c>
      <c r="H983" t="s">
        <v>902</v>
      </c>
      <c r="I983" t="s">
        <v>3185</v>
      </c>
      <c r="J983">
        <v>3</v>
      </c>
      <c r="K983" t="s">
        <v>902</v>
      </c>
      <c r="L983" t="s">
        <v>1277</v>
      </c>
      <c r="M983">
        <v>5</v>
      </c>
      <c r="N983" t="s">
        <v>34</v>
      </c>
      <c r="O983" t="s">
        <v>35</v>
      </c>
      <c r="Q983" t="s">
        <v>36</v>
      </c>
      <c r="R983">
        <v>15</v>
      </c>
      <c r="S983" t="s">
        <v>77</v>
      </c>
      <c r="T983" t="s">
        <v>50</v>
      </c>
      <c r="U983">
        <v>3</v>
      </c>
      <c r="V983" t="s">
        <v>62</v>
      </c>
      <c r="W983" t="s">
        <v>165</v>
      </c>
      <c r="X983" t="s">
        <v>52</v>
      </c>
      <c r="Y983" t="s">
        <v>71</v>
      </c>
    </row>
    <row r="984" spans="1:25">
      <c r="A984" t="s">
        <v>3186</v>
      </c>
      <c r="B984" t="s">
        <v>3187</v>
      </c>
      <c r="C984" t="s">
        <v>56</v>
      </c>
      <c r="D984">
        <v>68</v>
      </c>
      <c r="E984" t="s">
        <v>173</v>
      </c>
      <c r="F984" t="s">
        <v>29</v>
      </c>
      <c r="G984" t="s">
        <v>168</v>
      </c>
      <c r="H984" t="s">
        <v>59</v>
      </c>
      <c r="I984" t="s">
        <v>3188</v>
      </c>
      <c r="J984">
        <v>4</v>
      </c>
      <c r="K984" t="s">
        <v>59</v>
      </c>
      <c r="L984" t="s">
        <v>587</v>
      </c>
      <c r="M984">
        <v>6</v>
      </c>
      <c r="N984" t="s">
        <v>34</v>
      </c>
      <c r="O984" t="s">
        <v>35</v>
      </c>
      <c r="Q984" t="s">
        <v>36</v>
      </c>
      <c r="R984">
        <v>25</v>
      </c>
      <c r="S984" t="s">
        <v>37</v>
      </c>
      <c r="T984" t="s">
        <v>164</v>
      </c>
      <c r="U984">
        <v>1</v>
      </c>
      <c r="V984" t="s">
        <v>89</v>
      </c>
      <c r="W984" t="s">
        <v>40</v>
      </c>
      <c r="X984" t="s">
        <v>52</v>
      </c>
      <c r="Y984" t="s">
        <v>71</v>
      </c>
    </row>
    <row r="985" spans="1:25">
      <c r="A985" t="s">
        <v>3189</v>
      </c>
      <c r="B985" t="s">
        <v>3190</v>
      </c>
      <c r="C985" t="s">
        <v>56</v>
      </c>
      <c r="D985">
        <v>53</v>
      </c>
      <c r="E985" t="s">
        <v>57</v>
      </c>
      <c r="F985" t="s">
        <v>29</v>
      </c>
      <c r="G985" t="s">
        <v>58</v>
      </c>
      <c r="H985" t="s">
        <v>1266</v>
      </c>
      <c r="I985" t="s">
        <v>219</v>
      </c>
      <c r="J985">
        <v>3</v>
      </c>
      <c r="K985" t="s">
        <v>1266</v>
      </c>
      <c r="L985" t="s">
        <v>1110</v>
      </c>
      <c r="M985">
        <v>3</v>
      </c>
      <c r="N985" t="s">
        <v>68</v>
      </c>
      <c r="O985" t="s">
        <v>35</v>
      </c>
      <c r="Q985" t="s">
        <v>36</v>
      </c>
      <c r="R985">
        <v>15</v>
      </c>
      <c r="S985" t="s">
        <v>37</v>
      </c>
      <c r="T985" t="s">
        <v>96</v>
      </c>
      <c r="U985">
        <v>1</v>
      </c>
      <c r="V985" t="s">
        <v>62</v>
      </c>
      <c r="W985" t="s">
        <v>103</v>
      </c>
      <c r="X985" t="s">
        <v>109</v>
      </c>
      <c r="Y985" t="s">
        <v>42</v>
      </c>
    </row>
    <row r="986" spans="1:25">
      <c r="A986" t="s">
        <v>3191</v>
      </c>
      <c r="B986" t="s">
        <v>3192</v>
      </c>
      <c r="C986" t="s">
        <v>27</v>
      </c>
      <c r="D986">
        <v>32</v>
      </c>
      <c r="E986" t="s">
        <v>92</v>
      </c>
      <c r="F986" t="s">
        <v>29</v>
      </c>
      <c r="G986" t="s">
        <v>83</v>
      </c>
      <c r="H986" t="s">
        <v>1180</v>
      </c>
      <c r="I986" t="s">
        <v>1066</v>
      </c>
      <c r="J986">
        <v>24</v>
      </c>
      <c r="K986" t="s">
        <v>1181</v>
      </c>
      <c r="L986" t="s">
        <v>809</v>
      </c>
      <c r="M986">
        <v>25</v>
      </c>
      <c r="N986" t="s">
        <v>34</v>
      </c>
      <c r="O986" t="s">
        <v>35</v>
      </c>
      <c r="Q986" t="s">
        <v>36</v>
      </c>
      <c r="R986">
        <v>50</v>
      </c>
      <c r="S986" t="s">
        <v>37</v>
      </c>
      <c r="T986" t="s">
        <v>50</v>
      </c>
      <c r="U986">
        <v>3</v>
      </c>
      <c r="V986" t="s">
        <v>39</v>
      </c>
      <c r="W986" t="s">
        <v>103</v>
      </c>
      <c r="X986" t="s">
        <v>109</v>
      </c>
      <c r="Y986" t="s">
        <v>42</v>
      </c>
    </row>
    <row r="987" spans="1:25">
      <c r="A987" t="s">
        <v>3193</v>
      </c>
      <c r="B987" t="s">
        <v>3194</v>
      </c>
      <c r="C987" t="s">
        <v>27</v>
      </c>
      <c r="D987">
        <v>11</v>
      </c>
      <c r="E987" t="s">
        <v>81</v>
      </c>
      <c r="F987" t="s">
        <v>82</v>
      </c>
      <c r="G987" t="s">
        <v>83</v>
      </c>
      <c r="H987" t="s">
        <v>803</v>
      </c>
      <c r="I987" t="s">
        <v>2288</v>
      </c>
      <c r="J987">
        <v>8</v>
      </c>
      <c r="K987" t="s">
        <v>803</v>
      </c>
      <c r="L987" t="s">
        <v>750</v>
      </c>
      <c r="M987">
        <v>7</v>
      </c>
      <c r="N987" t="s">
        <v>68</v>
      </c>
      <c r="O987" t="s">
        <v>35</v>
      </c>
      <c r="Q987" t="s">
        <v>36</v>
      </c>
      <c r="R987">
        <v>20</v>
      </c>
      <c r="S987" t="s">
        <v>77</v>
      </c>
      <c r="T987" t="s">
        <v>69</v>
      </c>
      <c r="U987">
        <v>2</v>
      </c>
      <c r="V987" t="s">
        <v>70</v>
      </c>
      <c r="W987" t="s">
        <v>40</v>
      </c>
      <c r="X987" t="s">
        <v>52</v>
      </c>
      <c r="Y987" t="s">
        <v>71</v>
      </c>
    </row>
    <row r="988" spans="1:25">
      <c r="A988" t="s">
        <v>3195</v>
      </c>
      <c r="B988" t="s">
        <v>3196</v>
      </c>
      <c r="C988" t="s">
        <v>204</v>
      </c>
      <c r="D988">
        <v>53</v>
      </c>
      <c r="E988" t="s">
        <v>173</v>
      </c>
      <c r="F988" t="s">
        <v>29</v>
      </c>
      <c r="G988" t="s">
        <v>168</v>
      </c>
      <c r="H988" t="s">
        <v>1494</v>
      </c>
      <c r="I988" t="s">
        <v>406</v>
      </c>
      <c r="J988">
        <v>4</v>
      </c>
      <c r="K988" t="s">
        <v>1494</v>
      </c>
      <c r="L988" t="s">
        <v>2668</v>
      </c>
      <c r="M988">
        <v>11</v>
      </c>
      <c r="N988" t="s">
        <v>34</v>
      </c>
      <c r="O988" t="s">
        <v>35</v>
      </c>
      <c r="Q988" t="s">
        <v>36</v>
      </c>
      <c r="R988">
        <v>25</v>
      </c>
      <c r="S988" t="s">
        <v>37</v>
      </c>
      <c r="T988" t="s">
        <v>96</v>
      </c>
      <c r="U988">
        <v>1</v>
      </c>
      <c r="V988" t="s">
        <v>70</v>
      </c>
      <c r="W988" t="s">
        <v>40</v>
      </c>
      <c r="X988" t="s">
        <v>41</v>
      </c>
      <c r="Y988" t="s">
        <v>53</v>
      </c>
    </row>
    <row r="989" spans="1:25">
      <c r="A989" t="s">
        <v>3197</v>
      </c>
      <c r="B989" t="s">
        <v>679</v>
      </c>
      <c r="C989" t="s">
        <v>80</v>
      </c>
      <c r="D989">
        <v>40</v>
      </c>
      <c r="E989" t="s">
        <v>28</v>
      </c>
      <c r="F989" t="s">
        <v>29</v>
      </c>
      <c r="G989" t="s">
        <v>45</v>
      </c>
      <c r="H989" t="s">
        <v>1685</v>
      </c>
      <c r="I989" t="s">
        <v>874</v>
      </c>
      <c r="J989">
        <v>5</v>
      </c>
      <c r="K989" t="s">
        <v>1685</v>
      </c>
      <c r="L989" t="s">
        <v>1267</v>
      </c>
      <c r="M989">
        <v>8</v>
      </c>
      <c r="N989" t="s">
        <v>34</v>
      </c>
      <c r="O989" t="s">
        <v>35</v>
      </c>
      <c r="Q989" t="s">
        <v>36</v>
      </c>
      <c r="R989">
        <v>35</v>
      </c>
      <c r="S989" t="s">
        <v>37</v>
      </c>
      <c r="T989" t="s">
        <v>38</v>
      </c>
      <c r="U989">
        <v>4</v>
      </c>
      <c r="V989" t="s">
        <v>89</v>
      </c>
      <c r="W989" t="s">
        <v>165</v>
      </c>
      <c r="X989" t="s">
        <v>109</v>
      </c>
      <c r="Y989" t="s">
        <v>42</v>
      </c>
    </row>
    <row r="990" spans="1:25">
      <c r="A990" t="s">
        <v>3198</v>
      </c>
      <c r="B990" t="s">
        <v>3199</v>
      </c>
      <c r="C990" t="s">
        <v>80</v>
      </c>
      <c r="D990">
        <v>8</v>
      </c>
      <c r="E990" t="s">
        <v>173</v>
      </c>
      <c r="F990" t="s">
        <v>29</v>
      </c>
      <c r="G990" t="s">
        <v>168</v>
      </c>
      <c r="H990" t="s">
        <v>1293</v>
      </c>
      <c r="I990" t="s">
        <v>2856</v>
      </c>
      <c r="J990">
        <v>4</v>
      </c>
      <c r="K990" t="s">
        <v>1293</v>
      </c>
      <c r="L990" t="s">
        <v>897</v>
      </c>
      <c r="M990">
        <v>9</v>
      </c>
      <c r="N990" t="s">
        <v>34</v>
      </c>
      <c r="O990" t="s">
        <v>35</v>
      </c>
      <c r="Q990" t="s">
        <v>36</v>
      </c>
      <c r="R990">
        <v>25</v>
      </c>
      <c r="S990" t="s">
        <v>49</v>
      </c>
      <c r="T990" t="s">
        <v>50</v>
      </c>
      <c r="U990">
        <v>5</v>
      </c>
      <c r="V990" t="s">
        <v>70</v>
      </c>
      <c r="W990" t="s">
        <v>165</v>
      </c>
      <c r="X990" t="s">
        <v>109</v>
      </c>
      <c r="Y990" t="s">
        <v>42</v>
      </c>
    </row>
    <row r="991" spans="1:25">
      <c r="A991" t="s">
        <v>3200</v>
      </c>
      <c r="B991" t="s">
        <v>3201</v>
      </c>
      <c r="C991" t="s">
        <v>56</v>
      </c>
      <c r="D991">
        <v>14</v>
      </c>
      <c r="E991" t="s">
        <v>149</v>
      </c>
      <c r="F991" t="s">
        <v>29</v>
      </c>
      <c r="G991" t="s">
        <v>83</v>
      </c>
      <c r="H991" t="s">
        <v>1092</v>
      </c>
      <c r="I991" t="s">
        <v>743</v>
      </c>
      <c r="J991">
        <v>6</v>
      </c>
      <c r="K991" t="s">
        <v>1097</v>
      </c>
      <c r="L991" t="s">
        <v>3202</v>
      </c>
      <c r="M991">
        <v>12</v>
      </c>
      <c r="N991" t="s">
        <v>34</v>
      </c>
      <c r="O991" t="s">
        <v>35</v>
      </c>
      <c r="Q991" t="s">
        <v>36</v>
      </c>
      <c r="R991">
        <v>40</v>
      </c>
      <c r="S991" t="s">
        <v>77</v>
      </c>
      <c r="T991" t="s">
        <v>164</v>
      </c>
      <c r="U991">
        <v>3</v>
      </c>
      <c r="V991" t="s">
        <v>62</v>
      </c>
      <c r="W991" t="s">
        <v>51</v>
      </c>
      <c r="X991" t="s">
        <v>109</v>
      </c>
      <c r="Y991" t="s">
        <v>71</v>
      </c>
    </row>
    <row r="992" spans="1:25">
      <c r="A992" t="s">
        <v>3203</v>
      </c>
      <c r="B992" t="s">
        <v>3204</v>
      </c>
      <c r="C992" t="s">
        <v>204</v>
      </c>
      <c r="D992">
        <v>47</v>
      </c>
      <c r="E992" t="s">
        <v>28</v>
      </c>
      <c r="F992" t="s">
        <v>29</v>
      </c>
      <c r="G992" t="s">
        <v>30</v>
      </c>
      <c r="H992" t="s">
        <v>451</v>
      </c>
      <c r="I992" t="s">
        <v>1684</v>
      </c>
      <c r="J992">
        <v>5</v>
      </c>
      <c r="K992" t="s">
        <v>451</v>
      </c>
      <c r="L992" t="s">
        <v>360</v>
      </c>
      <c r="M992">
        <v>6</v>
      </c>
      <c r="N992" t="s">
        <v>34</v>
      </c>
      <c r="O992" t="s">
        <v>35</v>
      </c>
      <c r="Q992" t="s">
        <v>36</v>
      </c>
      <c r="R992">
        <v>35</v>
      </c>
      <c r="S992" t="s">
        <v>77</v>
      </c>
      <c r="T992" t="s">
        <v>50</v>
      </c>
      <c r="U992">
        <v>5</v>
      </c>
      <c r="V992" t="s">
        <v>62</v>
      </c>
      <c r="W992" t="s">
        <v>51</v>
      </c>
      <c r="X992" t="s">
        <v>109</v>
      </c>
      <c r="Y992" t="s">
        <v>42</v>
      </c>
    </row>
    <row r="993" spans="1:25">
      <c r="A993" t="s">
        <v>3205</v>
      </c>
      <c r="B993" t="s">
        <v>3206</v>
      </c>
      <c r="C993" t="s">
        <v>80</v>
      </c>
      <c r="D993">
        <v>25</v>
      </c>
      <c r="E993" t="s">
        <v>28</v>
      </c>
      <c r="F993" t="s">
        <v>29</v>
      </c>
      <c r="G993" t="s">
        <v>30</v>
      </c>
      <c r="H993" t="s">
        <v>333</v>
      </c>
      <c r="I993" t="s">
        <v>66</v>
      </c>
      <c r="J993">
        <v>5</v>
      </c>
      <c r="K993" t="s">
        <v>411</v>
      </c>
      <c r="L993" t="s">
        <v>1002</v>
      </c>
      <c r="M993">
        <v>13</v>
      </c>
      <c r="N993" t="s">
        <v>34</v>
      </c>
      <c r="O993" t="s">
        <v>35</v>
      </c>
      <c r="Q993" t="s">
        <v>36</v>
      </c>
      <c r="R993">
        <v>35</v>
      </c>
      <c r="S993" t="s">
        <v>37</v>
      </c>
      <c r="T993" t="s">
        <v>88</v>
      </c>
      <c r="U993">
        <v>3</v>
      </c>
      <c r="V993" t="s">
        <v>70</v>
      </c>
      <c r="W993" t="s">
        <v>51</v>
      </c>
      <c r="X993" t="s">
        <v>41</v>
      </c>
      <c r="Y993" t="s">
        <v>71</v>
      </c>
    </row>
    <row r="994" spans="1:25">
      <c r="A994" t="s">
        <v>3207</v>
      </c>
      <c r="B994" t="s">
        <v>3208</v>
      </c>
      <c r="C994" t="s">
        <v>204</v>
      </c>
      <c r="D994">
        <v>84</v>
      </c>
      <c r="E994" t="s">
        <v>57</v>
      </c>
      <c r="F994" t="s">
        <v>29</v>
      </c>
      <c r="G994" t="s">
        <v>58</v>
      </c>
      <c r="H994" t="s">
        <v>1181</v>
      </c>
      <c r="I994" t="s">
        <v>447</v>
      </c>
      <c r="J994">
        <v>3</v>
      </c>
      <c r="K994" t="s">
        <v>1181</v>
      </c>
      <c r="L994" t="s">
        <v>1437</v>
      </c>
      <c r="M994">
        <v>5</v>
      </c>
      <c r="N994" t="s">
        <v>34</v>
      </c>
      <c r="O994" t="s">
        <v>35</v>
      </c>
      <c r="Q994" t="s">
        <v>36</v>
      </c>
      <c r="R994">
        <v>15</v>
      </c>
      <c r="S994" t="s">
        <v>37</v>
      </c>
      <c r="T994" t="s">
        <v>50</v>
      </c>
      <c r="U994">
        <v>3</v>
      </c>
      <c r="V994" t="s">
        <v>62</v>
      </c>
      <c r="W994" t="s">
        <v>40</v>
      </c>
      <c r="X994" t="s">
        <v>41</v>
      </c>
      <c r="Y994" t="s">
        <v>53</v>
      </c>
    </row>
    <row r="995" spans="1:25">
      <c r="A995" t="s">
        <v>3209</v>
      </c>
      <c r="B995" t="s">
        <v>3210</v>
      </c>
      <c r="C995" t="s">
        <v>56</v>
      </c>
      <c r="D995">
        <v>36</v>
      </c>
      <c r="E995" t="s">
        <v>92</v>
      </c>
      <c r="F995" t="s">
        <v>29</v>
      </c>
      <c r="G995" t="s">
        <v>93</v>
      </c>
      <c r="H995" t="s">
        <v>915</v>
      </c>
      <c r="I995" t="s">
        <v>2983</v>
      </c>
      <c r="J995">
        <v>24</v>
      </c>
      <c r="K995" t="s">
        <v>891</v>
      </c>
      <c r="L995" t="s">
        <v>136</v>
      </c>
      <c r="M995">
        <v>26</v>
      </c>
      <c r="N995" t="s">
        <v>34</v>
      </c>
      <c r="O995" t="s">
        <v>35</v>
      </c>
      <c r="Q995" t="s">
        <v>36</v>
      </c>
      <c r="R995">
        <v>50</v>
      </c>
      <c r="S995" t="s">
        <v>77</v>
      </c>
      <c r="T995" t="s">
        <v>69</v>
      </c>
      <c r="U995">
        <v>1</v>
      </c>
      <c r="V995" t="s">
        <v>70</v>
      </c>
      <c r="W995" t="s">
        <v>103</v>
      </c>
      <c r="X995" t="s">
        <v>41</v>
      </c>
      <c r="Y995" t="s">
        <v>53</v>
      </c>
    </row>
    <row r="996" spans="1:25">
      <c r="A996" t="s">
        <v>3211</v>
      </c>
      <c r="B996" t="s">
        <v>3212</v>
      </c>
      <c r="C996" t="s">
        <v>204</v>
      </c>
      <c r="D996">
        <v>3</v>
      </c>
      <c r="E996" t="s">
        <v>57</v>
      </c>
      <c r="F996" t="s">
        <v>29</v>
      </c>
      <c r="G996" t="s">
        <v>150</v>
      </c>
      <c r="H996" t="s">
        <v>893</v>
      </c>
      <c r="I996" t="s">
        <v>771</v>
      </c>
      <c r="J996">
        <v>3</v>
      </c>
      <c r="K996" t="s">
        <v>893</v>
      </c>
      <c r="L996" t="s">
        <v>3213</v>
      </c>
      <c r="M996">
        <v>3</v>
      </c>
      <c r="N996" t="s">
        <v>68</v>
      </c>
      <c r="O996" t="s">
        <v>35</v>
      </c>
      <c r="Q996" t="s">
        <v>36</v>
      </c>
      <c r="R996">
        <v>15</v>
      </c>
      <c r="S996" t="s">
        <v>77</v>
      </c>
      <c r="T996" t="s">
        <v>69</v>
      </c>
      <c r="U996">
        <v>2</v>
      </c>
      <c r="V996" t="s">
        <v>39</v>
      </c>
      <c r="W996" t="s">
        <v>51</v>
      </c>
      <c r="X996" t="s">
        <v>41</v>
      </c>
      <c r="Y996" t="s">
        <v>71</v>
      </c>
    </row>
    <row r="997" spans="1:25">
      <c r="A997" t="s">
        <v>3214</v>
      </c>
      <c r="B997" t="s">
        <v>3215</v>
      </c>
      <c r="C997" t="s">
        <v>27</v>
      </c>
      <c r="D997">
        <v>58</v>
      </c>
      <c r="E997" t="s">
        <v>149</v>
      </c>
      <c r="F997" t="s">
        <v>29</v>
      </c>
      <c r="G997" t="s">
        <v>30</v>
      </c>
      <c r="H997" t="s">
        <v>464</v>
      </c>
      <c r="I997" t="s">
        <v>1896</v>
      </c>
      <c r="J997">
        <v>6</v>
      </c>
      <c r="K997" t="s">
        <v>464</v>
      </c>
      <c r="L997" t="s">
        <v>3216</v>
      </c>
      <c r="M997">
        <v>6</v>
      </c>
      <c r="N997" t="s">
        <v>68</v>
      </c>
      <c r="O997" t="s">
        <v>35</v>
      </c>
      <c r="Q997" t="s">
        <v>36</v>
      </c>
      <c r="R997">
        <v>40</v>
      </c>
      <c r="S997" t="s">
        <v>77</v>
      </c>
      <c r="T997" t="s">
        <v>96</v>
      </c>
      <c r="U997">
        <v>5</v>
      </c>
      <c r="V997" t="s">
        <v>39</v>
      </c>
      <c r="W997" t="s">
        <v>165</v>
      </c>
      <c r="X997" t="s">
        <v>52</v>
      </c>
      <c r="Y997" t="s">
        <v>42</v>
      </c>
    </row>
    <row r="998" spans="1:25">
      <c r="A998" t="s">
        <v>3217</v>
      </c>
      <c r="B998" t="s">
        <v>3218</v>
      </c>
      <c r="C998" t="s">
        <v>56</v>
      </c>
      <c r="D998">
        <v>26</v>
      </c>
      <c r="E998" t="s">
        <v>173</v>
      </c>
      <c r="F998" t="s">
        <v>29</v>
      </c>
      <c r="G998" t="s">
        <v>168</v>
      </c>
      <c r="H998" t="s">
        <v>151</v>
      </c>
      <c r="I998" t="s">
        <v>771</v>
      </c>
      <c r="J998">
        <v>4</v>
      </c>
      <c r="K998" t="s">
        <v>151</v>
      </c>
      <c r="L998" t="s">
        <v>1741</v>
      </c>
      <c r="M998">
        <v>10</v>
      </c>
      <c r="N998" t="s">
        <v>34</v>
      </c>
      <c r="O998" t="s">
        <v>35</v>
      </c>
      <c r="Q998" t="s">
        <v>36</v>
      </c>
      <c r="R998">
        <v>25</v>
      </c>
      <c r="S998" t="s">
        <v>77</v>
      </c>
      <c r="T998" t="s">
        <v>164</v>
      </c>
      <c r="U998">
        <v>5</v>
      </c>
      <c r="V998" t="s">
        <v>39</v>
      </c>
      <c r="W998" t="s">
        <v>103</v>
      </c>
      <c r="X998" t="s">
        <v>52</v>
      </c>
      <c r="Y998" t="s">
        <v>53</v>
      </c>
    </row>
    <row r="999" spans="1:25">
      <c r="A999" t="s">
        <v>3219</v>
      </c>
      <c r="B999" t="s">
        <v>3220</v>
      </c>
      <c r="C999" t="s">
        <v>204</v>
      </c>
      <c r="D999">
        <v>19</v>
      </c>
      <c r="E999" t="s">
        <v>57</v>
      </c>
      <c r="F999" t="s">
        <v>29</v>
      </c>
      <c r="G999" t="s">
        <v>150</v>
      </c>
      <c r="H999" t="s">
        <v>1170</v>
      </c>
      <c r="I999" t="s">
        <v>434</v>
      </c>
      <c r="J999">
        <v>3</v>
      </c>
      <c r="K999" t="s">
        <v>1170</v>
      </c>
      <c r="L999" t="s">
        <v>1396</v>
      </c>
      <c r="M999">
        <v>2</v>
      </c>
      <c r="N999" t="s">
        <v>68</v>
      </c>
      <c r="O999" t="s">
        <v>35</v>
      </c>
      <c r="Q999" t="s">
        <v>36</v>
      </c>
      <c r="R999">
        <v>15</v>
      </c>
      <c r="S999" t="s">
        <v>49</v>
      </c>
      <c r="T999" t="s">
        <v>88</v>
      </c>
      <c r="U999">
        <v>1</v>
      </c>
      <c r="V999" t="s">
        <v>70</v>
      </c>
      <c r="W999" t="s">
        <v>165</v>
      </c>
      <c r="X999" t="s">
        <v>52</v>
      </c>
      <c r="Y999" t="s">
        <v>71</v>
      </c>
    </row>
    <row r="1000" spans="1:25">
      <c r="A1000" t="s">
        <v>63</v>
      </c>
      <c r="B1000" t="s">
        <v>3221</v>
      </c>
      <c r="C1000" t="s">
        <v>27</v>
      </c>
      <c r="D1000">
        <v>47</v>
      </c>
      <c r="E1000" t="s">
        <v>92</v>
      </c>
      <c r="F1000" t="s">
        <v>29</v>
      </c>
      <c r="G1000" t="s">
        <v>83</v>
      </c>
      <c r="H1000" t="s">
        <v>128</v>
      </c>
      <c r="I1000" t="s">
        <v>2166</v>
      </c>
      <c r="J1000">
        <v>24</v>
      </c>
      <c r="K1000" t="s">
        <v>130</v>
      </c>
      <c r="L1000" t="s">
        <v>3222</v>
      </c>
      <c r="M1000">
        <v>32</v>
      </c>
      <c r="N1000" t="s">
        <v>34</v>
      </c>
      <c r="O1000" t="s">
        <v>35</v>
      </c>
      <c r="Q1000" t="s">
        <v>36</v>
      </c>
      <c r="R1000">
        <v>50</v>
      </c>
      <c r="S1000" t="s">
        <v>37</v>
      </c>
      <c r="T1000" t="s">
        <v>69</v>
      </c>
      <c r="U1000">
        <v>1</v>
      </c>
      <c r="V1000" t="s">
        <v>39</v>
      </c>
      <c r="W1000" t="s">
        <v>165</v>
      </c>
      <c r="X1000" t="s">
        <v>109</v>
      </c>
      <c r="Y1000" t="s">
        <v>42</v>
      </c>
    </row>
    <row r="1001" spans="1:25">
      <c r="A1001" t="s">
        <v>3223</v>
      </c>
      <c r="B1001" t="s">
        <v>3224</v>
      </c>
      <c r="C1001" t="s">
        <v>56</v>
      </c>
      <c r="D1001">
        <v>17</v>
      </c>
      <c r="E1001" t="s">
        <v>28</v>
      </c>
      <c r="F1001" t="s">
        <v>29</v>
      </c>
      <c r="G1001" t="s">
        <v>30</v>
      </c>
      <c r="H1001" t="s">
        <v>405</v>
      </c>
      <c r="I1001" t="s">
        <v>1930</v>
      </c>
      <c r="J1001">
        <v>5</v>
      </c>
      <c r="K1001" t="s">
        <v>405</v>
      </c>
      <c r="L1001" t="s">
        <v>1222</v>
      </c>
      <c r="M1001">
        <v>6</v>
      </c>
      <c r="N1001" t="s">
        <v>34</v>
      </c>
      <c r="O1001" t="s">
        <v>35</v>
      </c>
      <c r="Q1001" t="s">
        <v>36</v>
      </c>
      <c r="R1001">
        <v>35</v>
      </c>
      <c r="S1001" t="s">
        <v>37</v>
      </c>
      <c r="T1001" t="s">
        <v>69</v>
      </c>
      <c r="U1001">
        <v>3</v>
      </c>
      <c r="V1001" t="s">
        <v>39</v>
      </c>
      <c r="W1001" t="s">
        <v>51</v>
      </c>
      <c r="X1001" t="s">
        <v>41</v>
      </c>
      <c r="Y1001" t="s">
        <v>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5D3D-00AF-4BEB-AF5F-EB2FC0FBC25D}">
  <dimension ref="A1:AG1001"/>
  <sheetViews>
    <sheetView topLeftCell="H960" workbookViewId="0">
      <selection activeCell="Y858" sqref="Y858:AA858"/>
    </sheetView>
  </sheetViews>
  <sheetFormatPr defaultRowHeight="15"/>
  <cols>
    <col min="4" max="4" width="9.140625" style="20"/>
    <col min="7" max="7" width="19.28515625" customWidth="1"/>
    <col min="8" max="8" width="16.28515625" style="22" customWidth="1"/>
    <col min="9" max="9" width="16.28515625" customWidth="1"/>
    <col min="10" max="10" width="9.140625" style="25"/>
    <col min="11" max="11" width="9.140625" style="20"/>
    <col min="12" max="12" width="12.42578125" style="22" customWidth="1"/>
    <col min="13" max="13" width="10.7109375" style="25" customWidth="1"/>
    <col min="15" max="15" width="8.42578125" customWidth="1"/>
    <col min="16" max="16" width="11" customWidth="1"/>
    <col min="17" max="18" width="11.5703125" customWidth="1"/>
    <col min="19" max="19" width="9.140625" style="20"/>
    <col min="20" max="20" width="16" customWidth="1"/>
    <col min="21" max="21" width="7.85546875" customWidth="1"/>
    <col min="22" max="22" width="5.140625" customWidth="1"/>
    <col min="23" max="23" width="11.42578125" customWidth="1"/>
    <col min="24" max="24" width="6.140625" customWidth="1"/>
    <col min="25" max="25" width="10.7109375" customWidth="1"/>
    <col min="26" max="26" width="15" customWidth="1"/>
    <col min="27" max="27" width="38.28515625" customWidth="1"/>
  </cols>
  <sheetData>
    <row r="1" spans="1:33">
      <c r="A1" s="10" t="s">
        <v>0</v>
      </c>
      <c r="B1" s="10" t="s">
        <v>1</v>
      </c>
      <c r="C1" s="10" t="s">
        <v>2</v>
      </c>
      <c r="D1" s="18" t="s">
        <v>3</v>
      </c>
      <c r="E1" s="10" t="s">
        <v>4</v>
      </c>
      <c r="F1" s="10" t="s">
        <v>5</v>
      </c>
      <c r="G1" s="10" t="s">
        <v>6</v>
      </c>
      <c r="H1" s="21" t="s">
        <v>7</v>
      </c>
      <c r="I1" s="17" t="s">
        <v>3326</v>
      </c>
      <c r="J1" s="23" t="s">
        <v>8</v>
      </c>
      <c r="K1" s="18" t="s">
        <v>9</v>
      </c>
      <c r="L1" s="21" t="s">
        <v>10</v>
      </c>
      <c r="M1" s="23" t="s">
        <v>11</v>
      </c>
      <c r="N1" s="10" t="s">
        <v>12</v>
      </c>
      <c r="O1" s="10" t="s">
        <v>13</v>
      </c>
      <c r="P1" s="10" t="s">
        <v>14</v>
      </c>
      <c r="Q1" s="10" t="s">
        <v>15</v>
      </c>
      <c r="R1" s="10" t="s">
        <v>16</v>
      </c>
      <c r="S1" s="18" t="s">
        <v>17</v>
      </c>
      <c r="T1" s="10" t="s">
        <v>18</v>
      </c>
      <c r="U1" s="10" t="s">
        <v>19</v>
      </c>
      <c r="V1" s="10" t="s">
        <v>20</v>
      </c>
      <c r="W1" s="10" t="s">
        <v>21</v>
      </c>
      <c r="X1" s="10" t="s">
        <v>22</v>
      </c>
      <c r="Y1" s="10" t="s">
        <v>23</v>
      </c>
      <c r="Z1" s="10" t="s">
        <v>24</v>
      </c>
      <c r="AA1" s="10" t="s">
        <v>3225</v>
      </c>
    </row>
    <row r="2" spans="1:33">
      <c r="A2" s="11" t="s">
        <v>25</v>
      </c>
      <c r="B2" s="11" t="s">
        <v>26</v>
      </c>
      <c r="C2" s="11" t="s">
        <v>27</v>
      </c>
      <c r="D2" s="19">
        <v>67</v>
      </c>
      <c r="E2" s="11" t="s">
        <v>28</v>
      </c>
      <c r="F2" s="11" t="s">
        <v>29</v>
      </c>
      <c r="G2" s="11" t="s">
        <v>30</v>
      </c>
      <c r="H2" s="12">
        <v>46132</v>
      </c>
      <c r="I2" s="12" t="str">
        <f t="shared" ref="I2:I65" si="0">TEXT(H2, "mmmm")</f>
        <v>April</v>
      </c>
      <c r="J2" s="24">
        <v>0.37638888888888888</v>
      </c>
      <c r="K2" s="19">
        <v>5</v>
      </c>
      <c r="L2" s="12">
        <v>46132</v>
      </c>
      <c r="M2" s="24">
        <v>0.75138888888888888</v>
      </c>
      <c r="N2" s="11">
        <v>9</v>
      </c>
      <c r="O2" s="11" t="s">
        <v>34</v>
      </c>
      <c r="P2" s="11" t="s">
        <v>35</v>
      </c>
      <c r="Q2" s="11"/>
      <c r="R2" s="11" t="s">
        <v>36</v>
      </c>
      <c r="S2" s="19">
        <v>35</v>
      </c>
      <c r="T2" s="11" t="s">
        <v>37</v>
      </c>
      <c r="U2" s="11" t="s">
        <v>38</v>
      </c>
      <c r="V2" s="11">
        <v>1</v>
      </c>
      <c r="W2" s="11" t="s">
        <v>39</v>
      </c>
      <c r="X2" s="11" t="s">
        <v>3333</v>
      </c>
      <c r="Y2" s="11" t="s">
        <v>41</v>
      </c>
      <c r="Z2" s="11" t="s">
        <v>42</v>
      </c>
      <c r="AA2" s="11" t="s">
        <v>3234</v>
      </c>
    </row>
    <row r="3" spans="1:33">
      <c r="A3" s="11" t="s">
        <v>43</v>
      </c>
      <c r="B3" s="11" t="s">
        <v>44</v>
      </c>
      <c r="C3" s="11" t="s">
        <v>27</v>
      </c>
      <c r="D3" s="19">
        <v>66</v>
      </c>
      <c r="E3" s="11" t="s">
        <v>28</v>
      </c>
      <c r="F3" s="11" t="s">
        <v>29</v>
      </c>
      <c r="G3" s="11" t="s">
        <v>168</v>
      </c>
      <c r="H3" s="12">
        <v>46140</v>
      </c>
      <c r="I3" s="12" t="str">
        <f t="shared" si="0"/>
        <v>April</v>
      </c>
      <c r="J3" s="24">
        <v>0.39583333333333331</v>
      </c>
      <c r="K3" s="19">
        <v>5</v>
      </c>
      <c r="L3" s="12">
        <v>46140</v>
      </c>
      <c r="M3" s="24">
        <v>0.9375</v>
      </c>
      <c r="N3" s="11">
        <v>13</v>
      </c>
      <c r="O3" s="11" t="s">
        <v>34</v>
      </c>
      <c r="P3" s="11" t="s">
        <v>35</v>
      </c>
      <c r="Q3" s="11"/>
      <c r="R3" s="11" t="s">
        <v>36</v>
      </c>
      <c r="S3" s="19">
        <v>35</v>
      </c>
      <c r="T3" s="11" t="s">
        <v>49</v>
      </c>
      <c r="U3" s="11" t="s">
        <v>96</v>
      </c>
      <c r="V3" s="11">
        <v>4</v>
      </c>
      <c r="W3" s="11" t="s">
        <v>39</v>
      </c>
      <c r="X3" s="11" t="s">
        <v>51</v>
      </c>
      <c r="Y3" s="11" t="s">
        <v>52</v>
      </c>
      <c r="Z3" s="11" t="s">
        <v>53</v>
      </c>
      <c r="AA3" s="11" t="s">
        <v>3234</v>
      </c>
    </row>
    <row r="4" spans="1:33">
      <c r="A4" s="11" t="s">
        <v>54</v>
      </c>
      <c r="B4" s="11" t="s">
        <v>55</v>
      </c>
      <c r="C4" s="11" t="s">
        <v>56</v>
      </c>
      <c r="D4" s="19">
        <v>80</v>
      </c>
      <c r="E4" s="11" t="s">
        <v>57</v>
      </c>
      <c r="F4" s="11" t="s">
        <v>29</v>
      </c>
      <c r="G4" s="11" t="s">
        <v>58</v>
      </c>
      <c r="H4" s="12">
        <v>46096</v>
      </c>
      <c r="I4" s="12" t="str">
        <f t="shared" si="0"/>
        <v>March</v>
      </c>
      <c r="J4" s="24">
        <v>0.46388888888888891</v>
      </c>
      <c r="K4" s="19">
        <v>3</v>
      </c>
      <c r="L4" s="12">
        <v>46096</v>
      </c>
      <c r="M4" s="24">
        <v>0.88055555555555554</v>
      </c>
      <c r="N4" s="11">
        <v>10</v>
      </c>
      <c r="O4" s="11" t="s">
        <v>34</v>
      </c>
      <c r="P4" s="11" t="s">
        <v>35</v>
      </c>
      <c r="Q4" s="11"/>
      <c r="R4" s="11" t="s">
        <v>36</v>
      </c>
      <c r="S4" s="19">
        <v>15</v>
      </c>
      <c r="T4" s="11" t="s">
        <v>49</v>
      </c>
      <c r="U4" s="11" t="s">
        <v>96</v>
      </c>
      <c r="V4" s="11">
        <v>1</v>
      </c>
      <c r="W4" s="11" t="s">
        <v>62</v>
      </c>
      <c r="X4" s="11" t="s">
        <v>51</v>
      </c>
      <c r="Y4" s="11" t="s">
        <v>41</v>
      </c>
      <c r="Z4" s="11" t="s">
        <v>42</v>
      </c>
      <c r="AA4" s="11"/>
      <c r="AG4" s="20"/>
    </row>
    <row r="5" spans="1:33">
      <c r="A5" s="11" t="s">
        <v>63</v>
      </c>
      <c r="B5" s="11" t="s">
        <v>64</v>
      </c>
      <c r="C5" s="11" t="s">
        <v>56</v>
      </c>
      <c r="D5" s="19">
        <v>21</v>
      </c>
      <c r="E5" s="11" t="s">
        <v>28</v>
      </c>
      <c r="F5" s="11" t="s">
        <v>29</v>
      </c>
      <c r="G5" s="11" t="s">
        <v>30</v>
      </c>
      <c r="H5" s="12">
        <v>46194</v>
      </c>
      <c r="I5" s="12" t="str">
        <f t="shared" si="0"/>
        <v>June</v>
      </c>
      <c r="J5" s="24">
        <v>0.47222222222222221</v>
      </c>
      <c r="K5" s="19">
        <v>5</v>
      </c>
      <c r="L5" s="12">
        <v>46194</v>
      </c>
      <c r="M5" s="24">
        <v>0.68055555555555558</v>
      </c>
      <c r="N5" s="11">
        <v>5</v>
      </c>
      <c r="O5" s="11" t="s">
        <v>68</v>
      </c>
      <c r="P5" s="11" t="s">
        <v>35</v>
      </c>
      <c r="Q5" s="11"/>
      <c r="R5" s="11" t="s">
        <v>36</v>
      </c>
      <c r="S5" s="19">
        <v>35</v>
      </c>
      <c r="T5" s="11" t="s">
        <v>49</v>
      </c>
      <c r="U5" s="11" t="s">
        <v>164</v>
      </c>
      <c r="V5" s="11">
        <v>4</v>
      </c>
      <c r="W5" s="11" t="s">
        <v>70</v>
      </c>
      <c r="X5" s="11" t="s">
        <v>51</v>
      </c>
      <c r="Y5" s="11" t="s">
        <v>41</v>
      </c>
      <c r="Z5" s="11" t="s">
        <v>71</v>
      </c>
      <c r="AA5" s="11" t="s">
        <v>3226</v>
      </c>
    </row>
    <row r="6" spans="1:33">
      <c r="A6" s="11" t="s">
        <v>72</v>
      </c>
      <c r="B6" s="11" t="s">
        <v>73</v>
      </c>
      <c r="C6" s="11" t="s">
        <v>27</v>
      </c>
      <c r="D6" s="19">
        <v>72</v>
      </c>
      <c r="E6" s="11" t="s">
        <v>57</v>
      </c>
      <c r="F6" s="11" t="s">
        <v>29</v>
      </c>
      <c r="G6" s="11" t="s">
        <v>58</v>
      </c>
      <c r="H6" s="12">
        <v>46188</v>
      </c>
      <c r="I6" s="12" t="str">
        <f t="shared" si="0"/>
        <v>June</v>
      </c>
      <c r="J6" s="24">
        <v>0.59513888888888888</v>
      </c>
      <c r="K6" s="19">
        <v>3</v>
      </c>
      <c r="L6" s="12">
        <v>46188</v>
      </c>
      <c r="M6" s="24">
        <v>0.88680555555555551</v>
      </c>
      <c r="N6" s="11">
        <v>7</v>
      </c>
      <c r="O6" s="11" t="s">
        <v>34</v>
      </c>
      <c r="P6" s="11" t="s">
        <v>35</v>
      </c>
      <c r="Q6" s="11"/>
      <c r="R6" s="11" t="s">
        <v>36</v>
      </c>
      <c r="S6" s="19">
        <v>15</v>
      </c>
      <c r="T6" s="11" t="s">
        <v>49</v>
      </c>
      <c r="U6" s="11" t="s">
        <v>38</v>
      </c>
      <c r="V6" s="11">
        <v>5</v>
      </c>
      <c r="W6" s="11" t="s">
        <v>62</v>
      </c>
      <c r="X6" s="11" t="s">
        <v>51</v>
      </c>
      <c r="Y6" s="11" t="s">
        <v>52</v>
      </c>
      <c r="Z6" s="11" t="s">
        <v>42</v>
      </c>
      <c r="AA6" s="11"/>
    </row>
    <row r="7" spans="1:33">
      <c r="A7" s="11" t="s">
        <v>78</v>
      </c>
      <c r="B7" s="11" t="s">
        <v>79</v>
      </c>
      <c r="C7" s="11" t="s">
        <v>27</v>
      </c>
      <c r="D7" s="19">
        <v>63</v>
      </c>
      <c r="E7" s="11" t="s">
        <v>81</v>
      </c>
      <c r="F7" s="11" t="s">
        <v>82</v>
      </c>
      <c r="G7" s="11" t="s">
        <v>83</v>
      </c>
      <c r="H7" s="12">
        <v>46046</v>
      </c>
      <c r="I7" s="12" t="str">
        <f t="shared" si="0"/>
        <v>January</v>
      </c>
      <c r="J7" s="24">
        <v>0.55069444444444449</v>
      </c>
      <c r="K7" s="19">
        <v>8</v>
      </c>
      <c r="L7" s="12">
        <v>46047</v>
      </c>
      <c r="M7" s="24">
        <v>0.13402777777777777</v>
      </c>
      <c r="N7" s="11">
        <v>14</v>
      </c>
      <c r="O7" s="11" t="s">
        <v>34</v>
      </c>
      <c r="P7" s="11" t="s">
        <v>35</v>
      </c>
      <c r="Q7" s="11"/>
      <c r="R7" s="11" t="s">
        <v>36</v>
      </c>
      <c r="S7" s="19">
        <v>20</v>
      </c>
      <c r="T7" s="11" t="s">
        <v>37</v>
      </c>
      <c r="U7" s="11" t="s">
        <v>38</v>
      </c>
      <c r="V7" s="11">
        <v>1</v>
      </c>
      <c r="W7" s="11" t="s">
        <v>89</v>
      </c>
      <c r="X7" s="11" t="s">
        <v>51</v>
      </c>
      <c r="Y7" s="11" t="s">
        <v>52</v>
      </c>
      <c r="Z7" s="11" t="s">
        <v>53</v>
      </c>
      <c r="AA7" s="11" t="str">
        <f>IF(A7=" ", "Missing Value", " ")</f>
        <v xml:space="preserve"> </v>
      </c>
    </row>
    <row r="8" spans="1:33">
      <c r="A8" s="11" t="s">
        <v>90</v>
      </c>
      <c r="B8" s="11" t="s">
        <v>91</v>
      </c>
      <c r="C8" s="11" t="s">
        <v>56</v>
      </c>
      <c r="D8" s="19">
        <v>1</v>
      </c>
      <c r="E8" s="11" t="s">
        <v>92</v>
      </c>
      <c r="F8" s="11" t="s">
        <v>29</v>
      </c>
      <c r="G8" s="11" t="s">
        <v>93</v>
      </c>
      <c r="H8" s="12">
        <v>46096</v>
      </c>
      <c r="I8" s="12" t="str">
        <f t="shared" si="0"/>
        <v>March</v>
      </c>
      <c r="J8" s="24">
        <v>0.70138888888888884</v>
      </c>
      <c r="K8" s="19">
        <v>24</v>
      </c>
      <c r="L8" s="12">
        <v>46097</v>
      </c>
      <c r="M8" s="24">
        <v>0.70138888888888884</v>
      </c>
      <c r="N8" s="11">
        <v>24</v>
      </c>
      <c r="O8" s="11" t="s">
        <v>68</v>
      </c>
      <c r="P8" s="11" t="s">
        <v>35</v>
      </c>
      <c r="Q8" s="11"/>
      <c r="R8" s="11" t="s">
        <v>36</v>
      </c>
      <c r="S8" s="19">
        <v>50</v>
      </c>
      <c r="T8" s="11" t="s">
        <v>37</v>
      </c>
      <c r="U8" s="11" t="s">
        <v>96</v>
      </c>
      <c r="V8" s="11">
        <v>5</v>
      </c>
      <c r="W8" s="11" t="s">
        <v>89</v>
      </c>
      <c r="X8" s="11" t="s">
        <v>51</v>
      </c>
      <c r="Y8" s="11" t="s">
        <v>52</v>
      </c>
      <c r="Z8" s="11" t="s">
        <v>71</v>
      </c>
      <c r="AA8" s="11" t="s">
        <v>3232</v>
      </c>
    </row>
    <row r="9" spans="1:33">
      <c r="A9" s="11" t="s">
        <v>97</v>
      </c>
      <c r="B9" s="11" t="s">
        <v>98</v>
      </c>
      <c r="C9" s="11" t="s">
        <v>27</v>
      </c>
      <c r="D9" s="19">
        <v>62</v>
      </c>
      <c r="E9" s="11" t="s">
        <v>81</v>
      </c>
      <c r="F9" s="11" t="s">
        <v>82</v>
      </c>
      <c r="G9" s="11" t="s">
        <v>83</v>
      </c>
      <c r="H9" s="12">
        <v>46143</v>
      </c>
      <c r="I9" s="12" t="str">
        <f t="shared" si="0"/>
        <v>May</v>
      </c>
      <c r="J9" s="24">
        <v>0.59583333333333333</v>
      </c>
      <c r="K9" s="19">
        <v>8</v>
      </c>
      <c r="L9" s="12">
        <v>46144</v>
      </c>
      <c r="M9" s="24">
        <v>0.13750000000000001</v>
      </c>
      <c r="N9" s="11">
        <v>13</v>
      </c>
      <c r="O9" s="11" t="s">
        <v>34</v>
      </c>
      <c r="P9" s="11" t="s">
        <v>35</v>
      </c>
      <c r="Q9" s="11"/>
      <c r="R9" s="11" t="s">
        <v>36</v>
      </c>
      <c r="S9" s="19">
        <v>20</v>
      </c>
      <c r="T9" s="11" t="s">
        <v>37</v>
      </c>
      <c r="U9" s="11" t="s">
        <v>164</v>
      </c>
      <c r="V9" s="11">
        <v>3</v>
      </c>
      <c r="W9" s="11" t="s">
        <v>89</v>
      </c>
      <c r="X9" s="11" t="s">
        <v>3325</v>
      </c>
      <c r="Y9" s="11" t="s">
        <v>52</v>
      </c>
      <c r="Z9" s="11" t="s">
        <v>71</v>
      </c>
      <c r="AA9" s="11" t="str">
        <f>IF(A9=" ", "Missing Value", " ")</f>
        <v xml:space="preserve"> </v>
      </c>
    </row>
    <row r="10" spans="1:33">
      <c r="A10" s="11" t="s">
        <v>104</v>
      </c>
      <c r="B10" s="11" t="s">
        <v>105</v>
      </c>
      <c r="C10" s="11" t="s">
        <v>56</v>
      </c>
      <c r="D10" s="19">
        <v>71</v>
      </c>
      <c r="E10" s="11" t="s">
        <v>57</v>
      </c>
      <c r="F10" s="11" t="s">
        <v>29</v>
      </c>
      <c r="G10" s="11" t="s">
        <v>58</v>
      </c>
      <c r="H10" s="12">
        <v>46112</v>
      </c>
      <c r="I10" s="12" t="str">
        <f t="shared" si="0"/>
        <v>March</v>
      </c>
      <c r="J10" s="24">
        <v>0.60902777777777772</v>
      </c>
      <c r="K10" s="19">
        <v>3</v>
      </c>
      <c r="L10" s="12">
        <v>46112</v>
      </c>
      <c r="M10" s="24">
        <v>0.77569444444444446</v>
      </c>
      <c r="N10" s="11">
        <v>4</v>
      </c>
      <c r="O10" s="11" t="s">
        <v>34</v>
      </c>
      <c r="P10" s="11" t="s">
        <v>35</v>
      </c>
      <c r="Q10" s="11"/>
      <c r="R10" s="11" t="s">
        <v>36</v>
      </c>
      <c r="S10" s="19">
        <v>15</v>
      </c>
      <c r="T10" s="11" t="s">
        <v>37</v>
      </c>
      <c r="U10" s="11" t="s">
        <v>38</v>
      </c>
      <c r="V10" s="11">
        <v>2</v>
      </c>
      <c r="W10" s="11" t="s">
        <v>70</v>
      </c>
      <c r="X10" s="11" t="s">
        <v>3333</v>
      </c>
      <c r="Y10" s="11" t="s">
        <v>109</v>
      </c>
      <c r="Z10" s="11" t="s">
        <v>53</v>
      </c>
      <c r="AA10" s="11"/>
    </row>
    <row r="11" spans="1:33">
      <c r="A11" s="11" t="s">
        <v>110</v>
      </c>
      <c r="B11" s="11" t="s">
        <v>111</v>
      </c>
      <c r="C11" s="11" t="s">
        <v>56</v>
      </c>
      <c r="D11" s="19">
        <v>87</v>
      </c>
      <c r="E11" s="11" t="s">
        <v>92</v>
      </c>
      <c r="F11" s="11" t="s">
        <v>29</v>
      </c>
      <c r="G11" s="11" t="s">
        <v>168</v>
      </c>
      <c r="H11" s="12">
        <v>46152</v>
      </c>
      <c r="I11" s="12" t="str">
        <f t="shared" si="0"/>
        <v>May</v>
      </c>
      <c r="J11" s="24">
        <v>0.66041666666666665</v>
      </c>
      <c r="K11" s="19">
        <v>24</v>
      </c>
      <c r="L11" s="12">
        <v>46153</v>
      </c>
      <c r="M11" s="24">
        <v>0.99375000000000002</v>
      </c>
      <c r="N11" s="11">
        <v>32</v>
      </c>
      <c r="O11" s="11" t="s">
        <v>34</v>
      </c>
      <c r="P11" s="11" t="s">
        <v>35</v>
      </c>
      <c r="Q11" s="11"/>
      <c r="R11" s="11" t="s">
        <v>36</v>
      </c>
      <c r="S11" s="19">
        <v>50</v>
      </c>
      <c r="T11" s="11" t="s">
        <v>49</v>
      </c>
      <c r="U11" s="11" t="s">
        <v>164</v>
      </c>
      <c r="V11" s="11">
        <v>3</v>
      </c>
      <c r="W11" s="11" t="s">
        <v>62</v>
      </c>
      <c r="X11" s="11" t="s">
        <v>3325</v>
      </c>
      <c r="Y11" s="11" t="s">
        <v>52</v>
      </c>
      <c r="Z11" s="11" t="s">
        <v>53</v>
      </c>
      <c r="AA11" s="11" t="s">
        <v>3235</v>
      </c>
    </row>
    <row r="12" spans="1:33">
      <c r="A12" s="11" t="s">
        <v>116</v>
      </c>
      <c r="B12" s="11" t="s">
        <v>117</v>
      </c>
      <c r="C12" s="11" t="s">
        <v>27</v>
      </c>
      <c r="D12" s="19">
        <v>3</v>
      </c>
      <c r="E12" s="11" t="s">
        <v>28</v>
      </c>
      <c r="F12" s="11" t="s">
        <v>29</v>
      </c>
      <c r="G12" s="11" t="s">
        <v>30</v>
      </c>
      <c r="H12" s="12">
        <v>46032</v>
      </c>
      <c r="I12" s="12" t="str">
        <f t="shared" si="0"/>
        <v>January</v>
      </c>
      <c r="J12" s="24">
        <v>0.44444444444444442</v>
      </c>
      <c r="K12" s="19">
        <v>5</v>
      </c>
      <c r="L12" s="12">
        <v>46032</v>
      </c>
      <c r="M12" s="24">
        <v>0.90277777777777779</v>
      </c>
      <c r="N12" s="11">
        <v>11</v>
      </c>
      <c r="O12" s="11" t="s">
        <v>34</v>
      </c>
      <c r="P12" s="11" t="s">
        <v>35</v>
      </c>
      <c r="Q12" s="11"/>
      <c r="R12" s="11" t="s">
        <v>36</v>
      </c>
      <c r="S12" s="19">
        <v>35</v>
      </c>
      <c r="T12" s="11" t="s">
        <v>37</v>
      </c>
      <c r="U12" s="11" t="s">
        <v>38</v>
      </c>
      <c r="V12" s="11">
        <v>3</v>
      </c>
      <c r="W12" s="11" t="s">
        <v>70</v>
      </c>
      <c r="X12" s="11" t="s">
        <v>51</v>
      </c>
      <c r="Y12" s="11" t="s">
        <v>52</v>
      </c>
      <c r="Z12" s="11" t="s">
        <v>42</v>
      </c>
      <c r="AA12" s="11" t="str">
        <f>IF(A12=" ", "Missing Value", " ")</f>
        <v xml:space="preserve"> </v>
      </c>
    </row>
    <row r="13" spans="1:33">
      <c r="A13" s="11" t="s">
        <v>121</v>
      </c>
      <c r="B13" s="11" t="s">
        <v>122</v>
      </c>
      <c r="C13" s="11" t="s">
        <v>27</v>
      </c>
      <c r="D13" s="19">
        <v>46</v>
      </c>
      <c r="E13" s="11" t="s">
        <v>81</v>
      </c>
      <c r="F13" s="11" t="s">
        <v>82</v>
      </c>
      <c r="G13" s="11" t="s">
        <v>83</v>
      </c>
      <c r="H13" s="12">
        <v>46060</v>
      </c>
      <c r="I13" s="12" t="str">
        <f t="shared" si="0"/>
        <v>February</v>
      </c>
      <c r="J13" s="24">
        <v>0.35555555555555557</v>
      </c>
      <c r="K13" s="19">
        <v>8</v>
      </c>
      <c r="L13" s="12">
        <v>46060</v>
      </c>
      <c r="M13" s="24">
        <v>0.64722222222222225</v>
      </c>
      <c r="N13" s="11">
        <v>7</v>
      </c>
      <c r="O13" s="11" t="s">
        <v>68</v>
      </c>
      <c r="P13" s="11" t="s">
        <v>35</v>
      </c>
      <c r="Q13" s="11"/>
      <c r="R13" s="11" t="s">
        <v>36</v>
      </c>
      <c r="S13" s="19">
        <v>20</v>
      </c>
      <c r="T13" s="11" t="s">
        <v>49</v>
      </c>
      <c r="U13" s="11" t="s">
        <v>38</v>
      </c>
      <c r="V13" s="11">
        <v>1</v>
      </c>
      <c r="W13" s="11" t="s">
        <v>39</v>
      </c>
      <c r="X13" s="11" t="s">
        <v>3325</v>
      </c>
      <c r="Y13" s="11" t="s">
        <v>109</v>
      </c>
      <c r="Z13" s="11" t="s">
        <v>53</v>
      </c>
      <c r="AA13" s="11" t="str">
        <f>IF(A13=" ", "Missing Value", " ")</f>
        <v xml:space="preserve"> </v>
      </c>
    </row>
    <row r="14" spans="1:33">
      <c r="A14" s="11" t="s">
        <v>126</v>
      </c>
      <c r="B14" s="11" t="s">
        <v>127</v>
      </c>
      <c r="C14" s="11" t="s">
        <v>56</v>
      </c>
      <c r="D14" s="19">
        <v>39</v>
      </c>
      <c r="E14" s="11" t="s">
        <v>92</v>
      </c>
      <c r="F14" s="11" t="s">
        <v>29</v>
      </c>
      <c r="G14" s="11" t="s">
        <v>83</v>
      </c>
      <c r="H14" s="12">
        <v>46128</v>
      </c>
      <c r="I14" s="12" t="str">
        <f t="shared" si="0"/>
        <v>April</v>
      </c>
      <c r="J14" s="24">
        <v>0.59305555555555556</v>
      </c>
      <c r="K14" s="19">
        <v>24</v>
      </c>
      <c r="L14" s="12">
        <v>46129</v>
      </c>
      <c r="M14" s="24">
        <v>0.88472222222222219</v>
      </c>
      <c r="N14" s="11">
        <v>31</v>
      </c>
      <c r="O14" s="11" t="s">
        <v>34</v>
      </c>
      <c r="P14" s="11" t="s">
        <v>35</v>
      </c>
      <c r="Q14" s="11"/>
      <c r="R14" s="11" t="s">
        <v>132</v>
      </c>
      <c r="S14" s="19">
        <v>50</v>
      </c>
      <c r="T14" s="11" t="s">
        <v>49</v>
      </c>
      <c r="U14" s="11" t="s">
        <v>38</v>
      </c>
      <c r="V14" s="11">
        <v>1</v>
      </c>
      <c r="W14" s="11" t="s">
        <v>89</v>
      </c>
      <c r="X14" s="11" t="s">
        <v>3333</v>
      </c>
      <c r="Y14" s="11" t="s">
        <v>41</v>
      </c>
      <c r="Z14" s="11" t="s">
        <v>53</v>
      </c>
      <c r="AA14" s="11" t="s">
        <v>3260</v>
      </c>
    </row>
    <row r="15" spans="1:33">
      <c r="A15" s="11" t="s">
        <v>133</v>
      </c>
      <c r="B15" s="11" t="s">
        <v>134</v>
      </c>
      <c r="C15" s="11" t="s">
        <v>27</v>
      </c>
      <c r="D15" s="19">
        <v>20</v>
      </c>
      <c r="E15" s="11" t="s">
        <v>57</v>
      </c>
      <c r="F15" s="11" t="s">
        <v>29</v>
      </c>
      <c r="G15" s="11" t="s">
        <v>58</v>
      </c>
      <c r="H15" s="12">
        <v>46086</v>
      </c>
      <c r="I15" s="12" t="str">
        <f t="shared" si="0"/>
        <v>March</v>
      </c>
      <c r="J15" s="24">
        <v>0.60069444444444442</v>
      </c>
      <c r="K15" s="19">
        <v>3</v>
      </c>
      <c r="L15" s="12">
        <v>46086</v>
      </c>
      <c r="M15" s="24">
        <v>0.89236111111111116</v>
      </c>
      <c r="N15" s="11">
        <v>7</v>
      </c>
      <c r="O15" s="11" t="s">
        <v>34</v>
      </c>
      <c r="P15" s="11" t="s">
        <v>35</v>
      </c>
      <c r="Q15" s="11"/>
      <c r="R15" s="11" t="s">
        <v>36</v>
      </c>
      <c r="S15" s="19">
        <v>15</v>
      </c>
      <c r="T15" s="11" t="s">
        <v>37</v>
      </c>
      <c r="U15" s="11" t="s">
        <v>96</v>
      </c>
      <c r="V15" s="11">
        <v>4</v>
      </c>
      <c r="W15" s="11" t="s">
        <v>89</v>
      </c>
      <c r="X15" s="11" t="s">
        <v>3325</v>
      </c>
      <c r="Y15" s="11" t="s">
        <v>52</v>
      </c>
      <c r="Z15" s="11" t="s">
        <v>42</v>
      </c>
      <c r="AA15" s="11"/>
    </row>
    <row r="16" spans="1:33">
      <c r="A16" s="11" t="s">
        <v>138</v>
      </c>
      <c r="B16" s="11" t="s">
        <v>139</v>
      </c>
      <c r="C16" s="11" t="s">
        <v>27</v>
      </c>
      <c r="D16" s="19">
        <v>66</v>
      </c>
      <c r="E16" s="11" t="s">
        <v>92</v>
      </c>
      <c r="F16" s="11" t="s">
        <v>29</v>
      </c>
      <c r="G16" s="11" t="s">
        <v>93</v>
      </c>
      <c r="H16" s="12">
        <v>46060</v>
      </c>
      <c r="I16" s="12" t="str">
        <f t="shared" si="0"/>
        <v>February</v>
      </c>
      <c r="J16" s="24">
        <v>0.62708333333333333</v>
      </c>
      <c r="K16" s="19">
        <v>24</v>
      </c>
      <c r="L16" s="12">
        <v>46061</v>
      </c>
      <c r="M16" s="24">
        <v>0.8354166666666667</v>
      </c>
      <c r="N16" s="11">
        <v>29</v>
      </c>
      <c r="O16" s="11" t="s">
        <v>34</v>
      </c>
      <c r="P16" s="11" t="s">
        <v>35</v>
      </c>
      <c r="Q16" s="11"/>
      <c r="R16" s="11" t="s">
        <v>36</v>
      </c>
      <c r="S16" s="19">
        <v>50</v>
      </c>
      <c r="T16" s="11" t="s">
        <v>49</v>
      </c>
      <c r="U16" s="11" t="s">
        <v>96</v>
      </c>
      <c r="V16" s="11">
        <v>1</v>
      </c>
      <c r="W16" s="11" t="s">
        <v>62</v>
      </c>
      <c r="X16" s="11" t="s">
        <v>3333</v>
      </c>
      <c r="Y16" s="11" t="s">
        <v>52</v>
      </c>
      <c r="Z16" s="11" t="s">
        <v>71</v>
      </c>
      <c r="AA16" s="11" t="str">
        <f>IF(A16=" ", "Missing Value", " ")</f>
        <v xml:space="preserve"> </v>
      </c>
    </row>
    <row r="17" spans="1:27">
      <c r="A17" s="11" t="s">
        <v>143</v>
      </c>
      <c r="B17" s="11" t="s">
        <v>144</v>
      </c>
      <c r="C17" s="11" t="s">
        <v>27</v>
      </c>
      <c r="D17" s="19">
        <v>87</v>
      </c>
      <c r="E17" s="11" t="s">
        <v>81</v>
      </c>
      <c r="F17" s="11" t="s">
        <v>82</v>
      </c>
      <c r="G17" s="11" t="s">
        <v>93</v>
      </c>
      <c r="H17" s="12">
        <v>46112</v>
      </c>
      <c r="I17" s="12" t="str">
        <f t="shared" si="0"/>
        <v>March</v>
      </c>
      <c r="J17" s="24">
        <v>0.41388888888888886</v>
      </c>
      <c r="K17" s="19">
        <v>8</v>
      </c>
      <c r="L17" s="12">
        <v>46112</v>
      </c>
      <c r="M17" s="24">
        <v>0.99722222222222223</v>
      </c>
      <c r="N17" s="11">
        <v>14</v>
      </c>
      <c r="O17" s="11" t="s">
        <v>34</v>
      </c>
      <c r="P17" s="11" t="s">
        <v>35</v>
      </c>
      <c r="Q17" s="11"/>
      <c r="R17" s="11" t="s">
        <v>36</v>
      </c>
      <c r="S17" s="19">
        <v>20</v>
      </c>
      <c r="T17" s="11" t="s">
        <v>49</v>
      </c>
      <c r="U17" s="11" t="s">
        <v>96</v>
      </c>
      <c r="V17" s="11">
        <v>3</v>
      </c>
      <c r="W17" s="11" t="s">
        <v>39</v>
      </c>
      <c r="X17" s="11" t="s">
        <v>51</v>
      </c>
      <c r="Y17" s="11" t="s">
        <v>41</v>
      </c>
      <c r="Z17" s="11" t="s">
        <v>71</v>
      </c>
      <c r="AA17" s="11" t="s">
        <v>3234</v>
      </c>
    </row>
    <row r="18" spans="1:27">
      <c r="A18" s="11" t="s">
        <v>147</v>
      </c>
      <c r="B18" s="11" t="s">
        <v>148</v>
      </c>
      <c r="C18" s="11" t="s">
        <v>56</v>
      </c>
      <c r="D18" s="19">
        <v>77</v>
      </c>
      <c r="E18" s="11" t="s">
        <v>149</v>
      </c>
      <c r="F18" s="11" t="s">
        <v>29</v>
      </c>
      <c r="G18" s="11" t="s">
        <v>83</v>
      </c>
      <c r="H18" s="12">
        <v>46134</v>
      </c>
      <c r="I18" s="12" t="str">
        <f t="shared" si="0"/>
        <v>April</v>
      </c>
      <c r="J18" s="24">
        <v>0.64652777777777781</v>
      </c>
      <c r="K18" s="19">
        <v>6</v>
      </c>
      <c r="L18" s="12">
        <v>46135</v>
      </c>
      <c r="M18" s="24">
        <v>2.1527777777777778E-2</v>
      </c>
      <c r="N18" s="11">
        <v>9</v>
      </c>
      <c r="O18" s="11" t="s">
        <v>34</v>
      </c>
      <c r="P18" s="11" t="s">
        <v>35</v>
      </c>
      <c r="Q18" s="11"/>
      <c r="R18" s="11" t="s">
        <v>36</v>
      </c>
      <c r="S18" s="19">
        <v>40</v>
      </c>
      <c r="T18" s="11" t="s">
        <v>49</v>
      </c>
      <c r="U18" s="11" t="s">
        <v>164</v>
      </c>
      <c r="V18" s="11">
        <v>3</v>
      </c>
      <c r="W18" s="11" t="s">
        <v>89</v>
      </c>
      <c r="X18" s="11" t="s">
        <v>51</v>
      </c>
      <c r="Y18" s="11" t="s">
        <v>52</v>
      </c>
      <c r="Z18" s="11" t="s">
        <v>42</v>
      </c>
      <c r="AA18" s="11" t="s">
        <v>3234</v>
      </c>
    </row>
    <row r="19" spans="1:27">
      <c r="A19" s="11" t="s">
        <v>155</v>
      </c>
      <c r="B19" s="11" t="s">
        <v>156</v>
      </c>
      <c r="C19" s="11" t="s">
        <v>56</v>
      </c>
      <c r="D19" s="19">
        <v>5</v>
      </c>
      <c r="E19" s="11" t="s">
        <v>81</v>
      </c>
      <c r="F19" s="11" t="s">
        <v>82</v>
      </c>
      <c r="G19" s="11" t="s">
        <v>168</v>
      </c>
      <c r="H19" s="12">
        <v>46134</v>
      </c>
      <c r="I19" s="12" t="str">
        <f t="shared" si="0"/>
        <v>April</v>
      </c>
      <c r="J19" s="24">
        <v>0.53402777777777777</v>
      </c>
      <c r="K19" s="19">
        <v>8</v>
      </c>
      <c r="L19" s="12">
        <v>46135</v>
      </c>
      <c r="M19" s="24">
        <v>7.5694444444444439E-2</v>
      </c>
      <c r="N19" s="11">
        <v>13</v>
      </c>
      <c r="O19" s="11" t="s">
        <v>34</v>
      </c>
      <c r="P19" s="11" t="s">
        <v>35</v>
      </c>
      <c r="Q19" s="11"/>
      <c r="R19" s="11" t="s">
        <v>36</v>
      </c>
      <c r="S19" s="19">
        <v>20</v>
      </c>
      <c r="T19" s="11" t="s">
        <v>49</v>
      </c>
      <c r="U19" s="11" t="s">
        <v>38</v>
      </c>
      <c r="V19" s="11">
        <v>2</v>
      </c>
      <c r="W19" s="11" t="s">
        <v>70</v>
      </c>
      <c r="X19" s="11" t="s">
        <v>3325</v>
      </c>
      <c r="Y19" s="11" t="s">
        <v>52</v>
      </c>
      <c r="Z19" s="11" t="s">
        <v>71</v>
      </c>
      <c r="AA19" s="11" t="s">
        <v>3234</v>
      </c>
    </row>
    <row r="20" spans="1:27">
      <c r="A20" s="11" t="s">
        <v>159</v>
      </c>
      <c r="B20" s="11" t="s">
        <v>160</v>
      </c>
      <c r="C20" s="11" t="s">
        <v>27</v>
      </c>
      <c r="D20" s="19">
        <v>59</v>
      </c>
      <c r="E20" s="11" t="s">
        <v>81</v>
      </c>
      <c r="F20" s="11" t="s">
        <v>82</v>
      </c>
      <c r="G20" s="11" t="s">
        <v>30</v>
      </c>
      <c r="H20" s="12">
        <v>46077</v>
      </c>
      <c r="I20" s="12" t="str">
        <f t="shared" si="0"/>
        <v>February</v>
      </c>
      <c r="J20" s="24">
        <v>0.38333333333333336</v>
      </c>
      <c r="K20" s="19">
        <v>8</v>
      </c>
      <c r="L20" s="12">
        <v>46077</v>
      </c>
      <c r="M20" s="24">
        <v>0.71666666666666667</v>
      </c>
      <c r="N20" s="11">
        <v>8</v>
      </c>
      <c r="O20" s="11" t="s">
        <v>68</v>
      </c>
      <c r="P20" s="11" t="s">
        <v>35</v>
      </c>
      <c r="Q20" s="11"/>
      <c r="R20" s="11" t="s">
        <v>36</v>
      </c>
      <c r="S20" s="19">
        <v>20</v>
      </c>
      <c r="T20" s="11" t="s">
        <v>37</v>
      </c>
      <c r="U20" s="11" t="s">
        <v>164</v>
      </c>
      <c r="V20" s="11">
        <v>2</v>
      </c>
      <c r="W20" s="11" t="s">
        <v>39</v>
      </c>
      <c r="X20" s="11" t="s">
        <v>3334</v>
      </c>
      <c r="Y20" s="11" t="s">
        <v>41</v>
      </c>
      <c r="Z20" s="11" t="s">
        <v>42</v>
      </c>
      <c r="AA20" s="11" t="s">
        <v>3234</v>
      </c>
    </row>
    <row r="21" spans="1:27">
      <c r="A21" s="11" t="s">
        <v>166</v>
      </c>
      <c r="B21" s="11" t="s">
        <v>167</v>
      </c>
      <c r="C21" s="11" t="s">
        <v>27</v>
      </c>
      <c r="D21" s="19">
        <v>14</v>
      </c>
      <c r="E21" s="11" t="s">
        <v>149</v>
      </c>
      <c r="F21" s="11" t="s">
        <v>29</v>
      </c>
      <c r="G21" s="11" t="s">
        <v>168</v>
      </c>
      <c r="H21" s="12">
        <v>46152</v>
      </c>
      <c r="I21" s="12" t="str">
        <f t="shared" si="0"/>
        <v>May</v>
      </c>
      <c r="J21" s="24">
        <v>0.32708333333333334</v>
      </c>
      <c r="K21" s="19">
        <v>6</v>
      </c>
      <c r="L21" s="12">
        <v>46152</v>
      </c>
      <c r="M21" s="24">
        <v>0.74375000000000002</v>
      </c>
      <c r="N21" s="11">
        <v>10</v>
      </c>
      <c r="O21" s="11" t="s">
        <v>34</v>
      </c>
      <c r="P21" s="11" t="s">
        <v>35</v>
      </c>
      <c r="Q21" s="11"/>
      <c r="R21" s="11" t="s">
        <v>36</v>
      </c>
      <c r="S21" s="19">
        <v>40</v>
      </c>
      <c r="T21" s="11" t="s">
        <v>37</v>
      </c>
      <c r="U21" s="11" t="s">
        <v>164</v>
      </c>
      <c r="V21" s="11">
        <v>2</v>
      </c>
      <c r="W21" s="11" t="s">
        <v>39</v>
      </c>
      <c r="X21" s="11" t="s">
        <v>51</v>
      </c>
      <c r="Y21" s="11" t="s">
        <v>52</v>
      </c>
      <c r="Z21" s="11" t="s">
        <v>42</v>
      </c>
      <c r="AA21" s="11" t="s">
        <v>3234</v>
      </c>
    </row>
    <row r="22" spans="1:27">
      <c r="A22" s="11" t="s">
        <v>171</v>
      </c>
      <c r="B22" s="11" t="s">
        <v>172</v>
      </c>
      <c r="C22" s="11" t="s">
        <v>56</v>
      </c>
      <c r="D22" s="19">
        <v>89</v>
      </c>
      <c r="E22" s="11" t="s">
        <v>173</v>
      </c>
      <c r="F22" s="11" t="s">
        <v>29</v>
      </c>
      <c r="G22" s="11" t="s">
        <v>168</v>
      </c>
      <c r="H22" s="12">
        <v>46117</v>
      </c>
      <c r="I22" s="12" t="str">
        <f t="shared" si="0"/>
        <v>April</v>
      </c>
      <c r="J22" s="24">
        <v>0.32361111111111113</v>
      </c>
      <c r="K22" s="19">
        <v>4</v>
      </c>
      <c r="L22" s="12">
        <v>46117</v>
      </c>
      <c r="M22" s="24">
        <v>0.69861111111111107</v>
      </c>
      <c r="N22" s="11">
        <v>9</v>
      </c>
      <c r="O22" s="11" t="s">
        <v>34</v>
      </c>
      <c r="P22" s="11" t="s">
        <v>35</v>
      </c>
      <c r="Q22" s="11"/>
      <c r="R22" s="11" t="s">
        <v>36</v>
      </c>
      <c r="S22" s="19">
        <v>25</v>
      </c>
      <c r="T22" s="11" t="s">
        <v>37</v>
      </c>
      <c r="U22" s="11" t="s">
        <v>164</v>
      </c>
      <c r="V22" s="11">
        <v>1</v>
      </c>
      <c r="W22" s="11" t="s">
        <v>89</v>
      </c>
      <c r="X22" s="11" t="s">
        <v>3333</v>
      </c>
      <c r="Y22" s="11" t="s">
        <v>41</v>
      </c>
      <c r="Z22" s="11" t="s">
        <v>42</v>
      </c>
      <c r="AA22" s="11" t="s">
        <v>3234</v>
      </c>
    </row>
    <row r="23" spans="1:27">
      <c r="A23" s="11" t="s">
        <v>177</v>
      </c>
      <c r="B23" s="11" t="s">
        <v>178</v>
      </c>
      <c r="C23" s="11" t="s">
        <v>56</v>
      </c>
      <c r="D23" s="19">
        <v>86</v>
      </c>
      <c r="E23" s="11" t="s">
        <v>173</v>
      </c>
      <c r="F23" s="11" t="s">
        <v>29</v>
      </c>
      <c r="G23" s="11" t="s">
        <v>168</v>
      </c>
      <c r="H23" s="12">
        <v>46180</v>
      </c>
      <c r="I23" s="12" t="str">
        <f t="shared" si="0"/>
        <v>June</v>
      </c>
      <c r="J23" s="24">
        <v>0.30694444444444446</v>
      </c>
      <c r="K23" s="19">
        <v>4</v>
      </c>
      <c r="L23" s="12">
        <v>46180</v>
      </c>
      <c r="M23" s="24">
        <v>0.80694444444444446</v>
      </c>
      <c r="N23" s="11">
        <v>12</v>
      </c>
      <c r="O23" s="11" t="s">
        <v>34</v>
      </c>
      <c r="P23" s="11" t="s">
        <v>35</v>
      </c>
      <c r="Q23" s="11"/>
      <c r="R23" s="11" t="s">
        <v>36</v>
      </c>
      <c r="S23" s="19">
        <v>25</v>
      </c>
      <c r="T23" s="11" t="s">
        <v>49</v>
      </c>
      <c r="U23" s="11" t="s">
        <v>96</v>
      </c>
      <c r="V23" s="11">
        <v>4</v>
      </c>
      <c r="W23" s="11" t="s">
        <v>62</v>
      </c>
      <c r="X23" s="11" t="s">
        <v>3334</v>
      </c>
      <c r="Y23" s="11" t="s">
        <v>52</v>
      </c>
      <c r="Z23" s="11" t="s">
        <v>42</v>
      </c>
      <c r="AA23" s="11" t="s">
        <v>3234</v>
      </c>
    </row>
    <row r="24" spans="1:27">
      <c r="A24" s="11" t="s">
        <v>182</v>
      </c>
      <c r="B24" s="11" t="s">
        <v>183</v>
      </c>
      <c r="C24" s="11" t="s">
        <v>27</v>
      </c>
      <c r="D24" s="19">
        <v>25</v>
      </c>
      <c r="E24" s="11" t="s">
        <v>173</v>
      </c>
      <c r="F24" s="11" t="s">
        <v>29</v>
      </c>
      <c r="G24" s="11" t="s">
        <v>58</v>
      </c>
      <c r="H24" s="12">
        <v>46036</v>
      </c>
      <c r="I24" s="12" t="str">
        <f t="shared" si="0"/>
        <v>January</v>
      </c>
      <c r="J24" s="24">
        <v>0.30486111111111114</v>
      </c>
      <c r="K24" s="19">
        <v>4</v>
      </c>
      <c r="L24" s="12">
        <v>46036</v>
      </c>
      <c r="M24" s="24">
        <v>0.80486111111111114</v>
      </c>
      <c r="N24" s="11">
        <v>12</v>
      </c>
      <c r="O24" s="11" t="s">
        <v>34</v>
      </c>
      <c r="P24" s="11" t="s">
        <v>35</v>
      </c>
      <c r="Q24" s="11"/>
      <c r="R24" s="11" t="s">
        <v>36</v>
      </c>
      <c r="S24" s="19">
        <v>25</v>
      </c>
      <c r="T24" s="11" t="s">
        <v>37</v>
      </c>
      <c r="U24" s="11" t="s">
        <v>164</v>
      </c>
      <c r="V24" s="11">
        <v>1</v>
      </c>
      <c r="W24" s="11" t="s">
        <v>70</v>
      </c>
      <c r="X24" s="11" t="s">
        <v>3325</v>
      </c>
      <c r="Y24" s="11" t="s">
        <v>109</v>
      </c>
      <c r="Z24" s="11" t="s">
        <v>53</v>
      </c>
      <c r="AA24" s="11" t="s">
        <v>3234</v>
      </c>
    </row>
    <row r="25" spans="1:27">
      <c r="A25" s="11" t="s">
        <v>187</v>
      </c>
      <c r="B25" s="11" t="s">
        <v>188</v>
      </c>
      <c r="C25" s="11" t="s">
        <v>27</v>
      </c>
      <c r="D25" s="19">
        <v>20</v>
      </c>
      <c r="E25" s="11" t="s">
        <v>57</v>
      </c>
      <c r="F25" s="11" t="s">
        <v>29</v>
      </c>
      <c r="G25" s="11" t="s">
        <v>93</v>
      </c>
      <c r="H25" s="12">
        <v>46101</v>
      </c>
      <c r="I25" s="12" t="str">
        <f t="shared" si="0"/>
        <v>March</v>
      </c>
      <c r="J25" s="24">
        <v>0.47083333333333333</v>
      </c>
      <c r="K25" s="19">
        <v>3</v>
      </c>
      <c r="L25" s="12">
        <v>46101</v>
      </c>
      <c r="M25" s="24">
        <v>0.84583333333333333</v>
      </c>
      <c r="N25" s="11">
        <v>9</v>
      </c>
      <c r="O25" s="11" t="s">
        <v>34</v>
      </c>
      <c r="P25" s="11" t="s">
        <v>35</v>
      </c>
      <c r="Q25" s="11"/>
      <c r="R25" s="11" t="s">
        <v>36</v>
      </c>
      <c r="S25" s="19">
        <v>15</v>
      </c>
      <c r="T25" s="11" t="s">
        <v>49</v>
      </c>
      <c r="U25" s="11" t="s">
        <v>38</v>
      </c>
      <c r="V25" s="11">
        <v>3</v>
      </c>
      <c r="W25" s="11" t="s">
        <v>62</v>
      </c>
      <c r="X25" s="11" t="s">
        <v>3334</v>
      </c>
      <c r="Y25" s="11" t="s">
        <v>109</v>
      </c>
      <c r="Z25" s="11" t="s">
        <v>42</v>
      </c>
      <c r="AA25" s="11" t="s">
        <v>3234</v>
      </c>
    </row>
    <row r="26" spans="1:27">
      <c r="A26" s="11" t="s">
        <v>192</v>
      </c>
      <c r="B26" s="11" t="s">
        <v>193</v>
      </c>
      <c r="C26" s="11" t="s">
        <v>27</v>
      </c>
      <c r="D26" s="19">
        <v>43</v>
      </c>
      <c r="E26" s="11" t="s">
        <v>57</v>
      </c>
      <c r="F26" s="11" t="s">
        <v>29</v>
      </c>
      <c r="G26" s="11" t="s">
        <v>168</v>
      </c>
      <c r="H26" s="12">
        <v>46151</v>
      </c>
      <c r="I26" s="12" t="str">
        <f t="shared" si="0"/>
        <v>May</v>
      </c>
      <c r="J26" s="24">
        <v>0.44374999999999998</v>
      </c>
      <c r="K26" s="19">
        <v>3</v>
      </c>
      <c r="L26" s="12">
        <v>46151</v>
      </c>
      <c r="M26" s="24">
        <v>0.61041666666666672</v>
      </c>
      <c r="N26" s="11">
        <v>4</v>
      </c>
      <c r="O26" s="11" t="s">
        <v>34</v>
      </c>
      <c r="P26" s="11" t="s">
        <v>35</v>
      </c>
      <c r="Q26" s="11"/>
      <c r="R26" s="11" t="s">
        <v>36</v>
      </c>
      <c r="S26" s="19">
        <v>15</v>
      </c>
      <c r="T26" s="11" t="s">
        <v>49</v>
      </c>
      <c r="U26" s="11" t="s">
        <v>38</v>
      </c>
      <c r="V26" s="11">
        <v>3</v>
      </c>
      <c r="W26" s="11" t="s">
        <v>62</v>
      </c>
      <c r="X26" s="11" t="s">
        <v>3325</v>
      </c>
      <c r="Y26" s="11" t="s">
        <v>52</v>
      </c>
      <c r="Z26" s="11" t="s">
        <v>42</v>
      </c>
      <c r="AA26" s="11" t="s">
        <v>3234</v>
      </c>
    </row>
    <row r="27" spans="1:27">
      <c r="A27" s="11" t="s">
        <v>197</v>
      </c>
      <c r="B27" s="11" t="s">
        <v>198</v>
      </c>
      <c r="C27" s="11" t="s">
        <v>56</v>
      </c>
      <c r="D27" s="19">
        <v>53</v>
      </c>
      <c r="E27" s="11" t="s">
        <v>173</v>
      </c>
      <c r="F27" s="11" t="s">
        <v>29</v>
      </c>
      <c r="G27" s="11" t="s">
        <v>168</v>
      </c>
      <c r="H27" s="12">
        <v>46150</v>
      </c>
      <c r="I27" s="12" t="str">
        <f t="shared" si="0"/>
        <v>May</v>
      </c>
      <c r="J27" s="24">
        <v>0.60763888888888884</v>
      </c>
      <c r="K27" s="19">
        <v>4</v>
      </c>
      <c r="L27" s="12">
        <v>46151</v>
      </c>
      <c r="M27" s="24">
        <v>0.1076388888888889</v>
      </c>
      <c r="N27" s="11">
        <v>12</v>
      </c>
      <c r="O27" s="11" t="s">
        <v>34</v>
      </c>
      <c r="P27" s="11" t="s">
        <v>35</v>
      </c>
      <c r="Q27" s="11"/>
      <c r="R27" s="11" t="s">
        <v>36</v>
      </c>
      <c r="S27" s="19">
        <v>25</v>
      </c>
      <c r="T27" s="11" t="s">
        <v>49</v>
      </c>
      <c r="U27" s="11" t="s">
        <v>96</v>
      </c>
      <c r="V27" s="11">
        <v>5</v>
      </c>
      <c r="W27" s="11" t="s">
        <v>70</v>
      </c>
      <c r="X27" s="11" t="s">
        <v>51</v>
      </c>
      <c r="Y27" s="11" t="s">
        <v>52</v>
      </c>
      <c r="Z27" s="11" t="s">
        <v>71</v>
      </c>
      <c r="AA27" s="11" t="s">
        <v>3236</v>
      </c>
    </row>
    <row r="28" spans="1:27">
      <c r="A28" s="11" t="s">
        <v>202</v>
      </c>
      <c r="B28" s="11" t="s">
        <v>203</v>
      </c>
      <c r="C28" s="11" t="s">
        <v>56</v>
      </c>
      <c r="D28" s="19">
        <v>50</v>
      </c>
      <c r="E28" s="11" t="s">
        <v>149</v>
      </c>
      <c r="F28" s="11" t="s">
        <v>29</v>
      </c>
      <c r="G28" s="11" t="s">
        <v>30</v>
      </c>
      <c r="H28" s="12">
        <v>46148</v>
      </c>
      <c r="I28" s="12" t="str">
        <f t="shared" si="0"/>
        <v>May</v>
      </c>
      <c r="J28" s="24">
        <v>0.46736111111111112</v>
      </c>
      <c r="K28" s="19">
        <v>6</v>
      </c>
      <c r="L28" s="12">
        <v>46149</v>
      </c>
      <c r="M28" s="24">
        <v>9.0277777777777769E-3</v>
      </c>
      <c r="N28" s="11">
        <v>13</v>
      </c>
      <c r="O28" s="11" t="s">
        <v>34</v>
      </c>
      <c r="P28" s="11" t="s">
        <v>35</v>
      </c>
      <c r="Q28" s="11"/>
      <c r="R28" s="11" t="s">
        <v>36</v>
      </c>
      <c r="S28" s="19">
        <v>40</v>
      </c>
      <c r="T28" s="11" t="s">
        <v>49</v>
      </c>
      <c r="U28" s="11" t="s">
        <v>38</v>
      </c>
      <c r="V28" s="11">
        <v>3</v>
      </c>
      <c r="W28" s="11" t="s">
        <v>39</v>
      </c>
      <c r="X28" s="11" t="s">
        <v>3333</v>
      </c>
      <c r="Y28" s="11" t="s">
        <v>52</v>
      </c>
      <c r="Z28" s="11" t="s">
        <v>71</v>
      </c>
      <c r="AA28" s="11" t="str">
        <f>IF(A28=" ", "Missing Value", " ")</f>
        <v xml:space="preserve"> </v>
      </c>
    </row>
    <row r="29" spans="1:27">
      <c r="A29" s="11" t="s">
        <v>209</v>
      </c>
      <c r="B29" s="11" t="s">
        <v>210</v>
      </c>
      <c r="C29" s="11" t="s">
        <v>56</v>
      </c>
      <c r="D29" s="19">
        <v>53</v>
      </c>
      <c r="E29" s="11" t="s">
        <v>92</v>
      </c>
      <c r="F29" s="11" t="s">
        <v>29</v>
      </c>
      <c r="G29" s="11" t="s">
        <v>93</v>
      </c>
      <c r="H29" s="12">
        <v>46072</v>
      </c>
      <c r="I29" s="12" t="str">
        <f t="shared" si="0"/>
        <v>February</v>
      </c>
      <c r="J29" s="24">
        <v>0.58194444444444449</v>
      </c>
      <c r="K29" s="19">
        <v>24</v>
      </c>
      <c r="L29" s="12">
        <v>46073</v>
      </c>
      <c r="M29" s="24">
        <v>0.74861111111111112</v>
      </c>
      <c r="N29" s="11">
        <v>28</v>
      </c>
      <c r="O29" s="11" t="s">
        <v>34</v>
      </c>
      <c r="P29" s="11" t="s">
        <v>35</v>
      </c>
      <c r="Q29" s="11"/>
      <c r="R29" s="11" t="s">
        <v>36</v>
      </c>
      <c r="S29" s="19">
        <v>50</v>
      </c>
      <c r="T29" s="11" t="s">
        <v>37</v>
      </c>
      <c r="U29" s="11" t="s">
        <v>96</v>
      </c>
      <c r="V29" s="11">
        <v>1</v>
      </c>
      <c r="W29" s="11" t="s">
        <v>70</v>
      </c>
      <c r="X29" s="11" t="s">
        <v>3333</v>
      </c>
      <c r="Y29" s="11" t="s">
        <v>109</v>
      </c>
      <c r="Z29" s="11" t="s">
        <v>53</v>
      </c>
      <c r="AA29" s="11" t="s">
        <v>3229</v>
      </c>
    </row>
    <row r="30" spans="1:27">
      <c r="A30" s="11" t="s">
        <v>215</v>
      </c>
      <c r="B30" s="11" t="s">
        <v>216</v>
      </c>
      <c r="C30" s="11" t="s">
        <v>56</v>
      </c>
      <c r="D30" s="19">
        <v>90</v>
      </c>
      <c r="E30" s="11" t="s">
        <v>149</v>
      </c>
      <c r="F30" s="11" t="s">
        <v>29</v>
      </c>
      <c r="G30" s="11" t="s">
        <v>30</v>
      </c>
      <c r="H30" s="12">
        <v>46053</v>
      </c>
      <c r="I30" s="12" t="str">
        <f t="shared" si="0"/>
        <v>January</v>
      </c>
      <c r="J30" s="24">
        <v>0.32430555555555557</v>
      </c>
      <c r="K30" s="19">
        <v>6</v>
      </c>
      <c r="L30" s="12">
        <v>46053</v>
      </c>
      <c r="M30" s="24">
        <v>0.69930555555555551</v>
      </c>
      <c r="N30" s="11">
        <v>9</v>
      </c>
      <c r="O30" s="11" t="s">
        <v>34</v>
      </c>
      <c r="P30" s="11" t="s">
        <v>35</v>
      </c>
      <c r="Q30" s="11"/>
      <c r="R30" s="11" t="s">
        <v>36</v>
      </c>
      <c r="S30" s="19">
        <v>40</v>
      </c>
      <c r="T30" s="11" t="s">
        <v>49</v>
      </c>
      <c r="U30" s="11" t="s">
        <v>164</v>
      </c>
      <c r="V30" s="11">
        <v>3</v>
      </c>
      <c r="W30" s="11" t="s">
        <v>89</v>
      </c>
      <c r="X30" s="11" t="s">
        <v>3333</v>
      </c>
      <c r="Y30" s="11" t="s">
        <v>109</v>
      </c>
      <c r="Z30" s="11" t="s">
        <v>53</v>
      </c>
      <c r="AA30" s="11" t="str">
        <f>IF(A30=" ", "Missing Value", " ")</f>
        <v xml:space="preserve"> </v>
      </c>
    </row>
    <row r="31" spans="1:27">
      <c r="A31" s="11" t="s">
        <v>220</v>
      </c>
      <c r="B31" s="11" t="s">
        <v>221</v>
      </c>
      <c r="C31" s="11" t="s">
        <v>56</v>
      </c>
      <c r="D31" s="19">
        <v>67</v>
      </c>
      <c r="E31" s="11" t="s">
        <v>92</v>
      </c>
      <c r="F31" s="11" t="s">
        <v>29</v>
      </c>
      <c r="G31" s="11" t="s">
        <v>93</v>
      </c>
      <c r="H31" s="12">
        <v>46138</v>
      </c>
      <c r="I31" s="12" t="str">
        <f t="shared" si="0"/>
        <v>April</v>
      </c>
      <c r="J31" s="24">
        <v>0.68819444444444444</v>
      </c>
      <c r="K31" s="19">
        <v>24</v>
      </c>
      <c r="L31" s="12">
        <v>46139</v>
      </c>
      <c r="M31" s="24">
        <v>0.81319444444444444</v>
      </c>
      <c r="N31" s="11">
        <v>27</v>
      </c>
      <c r="O31" s="11" t="s">
        <v>34</v>
      </c>
      <c r="P31" s="11" t="s">
        <v>35</v>
      </c>
      <c r="Q31" s="11"/>
      <c r="R31" s="11" t="s">
        <v>132</v>
      </c>
      <c r="S31" s="19">
        <v>50</v>
      </c>
      <c r="T31" s="11" t="s">
        <v>37</v>
      </c>
      <c r="U31" s="11" t="s">
        <v>164</v>
      </c>
      <c r="V31" s="11">
        <v>3</v>
      </c>
      <c r="W31" s="11" t="s">
        <v>70</v>
      </c>
      <c r="X31" s="11" t="s">
        <v>3334</v>
      </c>
      <c r="Y31" s="11" t="s">
        <v>41</v>
      </c>
      <c r="Z31" s="11" t="s">
        <v>53</v>
      </c>
      <c r="AA31" s="11" t="s">
        <v>3261</v>
      </c>
    </row>
    <row r="32" spans="1:27">
      <c r="A32" s="11" t="s">
        <v>226</v>
      </c>
      <c r="B32" s="11" t="s">
        <v>227</v>
      </c>
      <c r="C32" s="11" t="s">
        <v>56</v>
      </c>
      <c r="D32" s="19">
        <v>67</v>
      </c>
      <c r="E32" s="11" t="s">
        <v>28</v>
      </c>
      <c r="F32" s="11" t="s">
        <v>29</v>
      </c>
      <c r="G32" s="11" t="s">
        <v>83</v>
      </c>
      <c r="H32" s="12">
        <v>46077</v>
      </c>
      <c r="I32" s="12" t="str">
        <f t="shared" si="0"/>
        <v>February</v>
      </c>
      <c r="J32" s="24">
        <v>0.3125</v>
      </c>
      <c r="K32" s="19">
        <v>5</v>
      </c>
      <c r="L32" s="12">
        <v>46077</v>
      </c>
      <c r="M32" s="24">
        <v>0.52083333333333337</v>
      </c>
      <c r="N32" s="11">
        <v>5</v>
      </c>
      <c r="O32" s="11" t="s">
        <v>68</v>
      </c>
      <c r="P32" s="11" t="s">
        <v>35</v>
      </c>
      <c r="Q32" s="11"/>
      <c r="R32" s="11" t="s">
        <v>36</v>
      </c>
      <c r="S32" s="19">
        <v>35</v>
      </c>
      <c r="T32" s="11" t="s">
        <v>49</v>
      </c>
      <c r="U32" s="11" t="s">
        <v>96</v>
      </c>
      <c r="V32" s="11">
        <v>1</v>
      </c>
      <c r="W32" s="11" t="s">
        <v>89</v>
      </c>
      <c r="X32" s="11" t="s">
        <v>3334</v>
      </c>
      <c r="Y32" s="11" t="s">
        <v>41</v>
      </c>
      <c r="Z32" s="11" t="s">
        <v>71</v>
      </c>
      <c r="AA32" s="11" t="s">
        <v>3234</v>
      </c>
    </row>
    <row r="33" spans="1:27">
      <c r="A33" s="11" t="s">
        <v>230</v>
      </c>
      <c r="B33" s="11" t="s">
        <v>231</v>
      </c>
      <c r="C33" s="11" t="s">
        <v>56</v>
      </c>
      <c r="D33" s="19">
        <v>26</v>
      </c>
      <c r="E33" s="11" t="s">
        <v>173</v>
      </c>
      <c r="F33" s="11" t="s">
        <v>29</v>
      </c>
      <c r="G33" s="11" t="s">
        <v>168</v>
      </c>
      <c r="H33" s="12">
        <v>46161</v>
      </c>
      <c r="I33" s="12" t="str">
        <f t="shared" si="0"/>
        <v>May</v>
      </c>
      <c r="J33" s="24">
        <v>0.33541666666666664</v>
      </c>
      <c r="K33" s="19">
        <v>4</v>
      </c>
      <c r="L33" s="12">
        <v>46161</v>
      </c>
      <c r="M33" s="24">
        <v>0.8354166666666667</v>
      </c>
      <c r="N33" s="11">
        <v>12</v>
      </c>
      <c r="O33" s="11" t="s">
        <v>34</v>
      </c>
      <c r="P33" s="11" t="s">
        <v>35</v>
      </c>
      <c r="Q33" s="11"/>
      <c r="R33" s="11" t="s">
        <v>36</v>
      </c>
      <c r="S33" s="19">
        <v>25</v>
      </c>
      <c r="T33" s="11" t="s">
        <v>37</v>
      </c>
      <c r="U33" s="11" t="s">
        <v>164</v>
      </c>
      <c r="V33" s="11">
        <v>4</v>
      </c>
      <c r="W33" s="11" t="s">
        <v>70</v>
      </c>
      <c r="X33" s="11" t="s">
        <v>51</v>
      </c>
      <c r="Y33" s="11" t="s">
        <v>109</v>
      </c>
      <c r="Z33" s="11" t="s">
        <v>42</v>
      </c>
      <c r="AA33" s="11" t="s">
        <v>3234</v>
      </c>
    </row>
    <row r="34" spans="1:27">
      <c r="A34" s="11" t="s">
        <v>234</v>
      </c>
      <c r="B34" s="11" t="s">
        <v>235</v>
      </c>
      <c r="C34" s="11" t="s">
        <v>27</v>
      </c>
      <c r="D34" s="19">
        <v>85</v>
      </c>
      <c r="E34" s="11" t="s">
        <v>173</v>
      </c>
      <c r="F34" s="11" t="s">
        <v>29</v>
      </c>
      <c r="G34" s="11" t="s">
        <v>83</v>
      </c>
      <c r="H34" s="12">
        <v>46093</v>
      </c>
      <c r="I34" s="12" t="str">
        <f t="shared" si="0"/>
        <v>March</v>
      </c>
      <c r="J34" s="24">
        <v>0.49027777777777776</v>
      </c>
      <c r="K34" s="19">
        <v>4</v>
      </c>
      <c r="L34" s="12">
        <v>46093</v>
      </c>
      <c r="M34" s="24">
        <v>0.99027777777777781</v>
      </c>
      <c r="N34" s="11">
        <v>12</v>
      </c>
      <c r="O34" s="11" t="s">
        <v>34</v>
      </c>
      <c r="P34" s="11" t="s">
        <v>35</v>
      </c>
      <c r="Q34" s="11"/>
      <c r="R34" s="11" t="s">
        <v>36</v>
      </c>
      <c r="S34" s="19">
        <v>25</v>
      </c>
      <c r="T34" s="11" t="s">
        <v>49</v>
      </c>
      <c r="U34" s="19">
        <f>SUM(S:S)</f>
        <v>31090</v>
      </c>
      <c r="V34" s="11">
        <v>4</v>
      </c>
      <c r="W34" s="11" t="s">
        <v>89</v>
      </c>
      <c r="X34" s="11" t="s">
        <v>3325</v>
      </c>
      <c r="Y34" s="11" t="s">
        <v>41</v>
      </c>
      <c r="Z34" s="11" t="s">
        <v>71</v>
      </c>
      <c r="AA34" s="11" t="s">
        <v>3234</v>
      </c>
    </row>
    <row r="35" spans="1:27">
      <c r="A35" s="11" t="s">
        <v>239</v>
      </c>
      <c r="B35" s="11" t="s">
        <v>240</v>
      </c>
      <c r="C35" s="11" t="s">
        <v>56</v>
      </c>
      <c r="D35" s="19">
        <v>24</v>
      </c>
      <c r="E35" s="11" t="s">
        <v>28</v>
      </c>
      <c r="F35" s="11" t="s">
        <v>29</v>
      </c>
      <c r="G35" s="11" t="s">
        <v>83</v>
      </c>
      <c r="H35" s="12">
        <v>46150</v>
      </c>
      <c r="I35" s="12" t="str">
        <f t="shared" si="0"/>
        <v>May</v>
      </c>
      <c r="J35" s="24">
        <v>0.45208333333333334</v>
      </c>
      <c r="K35" s="19">
        <v>5</v>
      </c>
      <c r="L35" s="12">
        <v>46150</v>
      </c>
      <c r="M35" s="24">
        <v>0.70208333333333328</v>
      </c>
      <c r="N35" s="11">
        <v>6</v>
      </c>
      <c r="O35" s="11" t="s">
        <v>34</v>
      </c>
      <c r="P35" s="11" t="s">
        <v>35</v>
      </c>
      <c r="Q35" s="11"/>
      <c r="R35" s="11" t="s">
        <v>36</v>
      </c>
      <c r="S35" s="19">
        <v>35</v>
      </c>
      <c r="T35" s="11" t="s">
        <v>37</v>
      </c>
      <c r="U35" s="19">
        <f>SUM(S2:S1000)</f>
        <v>31055</v>
      </c>
      <c r="V35" s="11">
        <v>3</v>
      </c>
      <c r="W35" s="11" t="s">
        <v>89</v>
      </c>
      <c r="X35" s="11" t="s">
        <v>3334</v>
      </c>
      <c r="Y35" s="11" t="s">
        <v>41</v>
      </c>
      <c r="Z35" s="11" t="s">
        <v>53</v>
      </c>
      <c r="AA35" s="11" t="s">
        <v>3234</v>
      </c>
    </row>
    <row r="36" spans="1:27">
      <c r="A36" s="11" t="s">
        <v>243</v>
      </c>
      <c r="B36" s="11" t="s">
        <v>244</v>
      </c>
      <c r="C36" s="11" t="s">
        <v>27</v>
      </c>
      <c r="D36" s="19">
        <v>14</v>
      </c>
      <c r="E36" s="11" t="s">
        <v>28</v>
      </c>
      <c r="F36" s="11" t="s">
        <v>29</v>
      </c>
      <c r="G36" s="11" t="s">
        <v>30</v>
      </c>
      <c r="H36" s="12">
        <v>46081</v>
      </c>
      <c r="I36" s="12" t="str">
        <f t="shared" si="0"/>
        <v>February</v>
      </c>
      <c r="J36" s="24">
        <v>0.63402777777777775</v>
      </c>
      <c r="K36" s="19">
        <v>5</v>
      </c>
      <c r="L36" s="12">
        <v>46082</v>
      </c>
      <c r="M36" s="24">
        <v>5.0694444444444445E-2</v>
      </c>
      <c r="N36" s="11">
        <v>10</v>
      </c>
      <c r="O36" s="11" t="s">
        <v>34</v>
      </c>
      <c r="P36" s="11" t="s">
        <v>35</v>
      </c>
      <c r="Q36" s="11"/>
      <c r="R36" s="11" t="s">
        <v>36</v>
      </c>
      <c r="S36" s="19">
        <v>35</v>
      </c>
      <c r="T36" s="11" t="s">
        <v>49</v>
      </c>
      <c r="U36" s="11" t="s">
        <v>164</v>
      </c>
      <c r="V36" s="11">
        <v>4</v>
      </c>
      <c r="W36" s="11" t="s">
        <v>62</v>
      </c>
      <c r="X36" s="11" t="s">
        <v>3325</v>
      </c>
      <c r="Y36" s="11" t="s">
        <v>52</v>
      </c>
      <c r="Z36" s="11" t="s">
        <v>53</v>
      </c>
      <c r="AA36" s="11" t="str">
        <f>IF(A36=" ", "Missing Value", " ")</f>
        <v xml:space="preserve"> </v>
      </c>
    </row>
    <row r="37" spans="1:27">
      <c r="A37" s="11" t="s">
        <v>249</v>
      </c>
      <c r="B37" s="11" t="s">
        <v>250</v>
      </c>
      <c r="C37" s="11" t="s">
        <v>27</v>
      </c>
      <c r="D37" s="19">
        <v>63</v>
      </c>
      <c r="E37" s="11" t="s">
        <v>57</v>
      </c>
      <c r="F37" s="11" t="s">
        <v>29</v>
      </c>
      <c r="G37" s="11" t="s">
        <v>58</v>
      </c>
      <c r="H37" s="12">
        <v>46104</v>
      </c>
      <c r="I37" s="12" t="str">
        <f t="shared" si="0"/>
        <v>March</v>
      </c>
      <c r="J37" s="24">
        <v>0.68402777777777779</v>
      </c>
      <c r="K37" s="19">
        <v>3</v>
      </c>
      <c r="L37" s="12">
        <v>46105</v>
      </c>
      <c r="M37" s="24">
        <v>0.10069444444444445</v>
      </c>
      <c r="N37" s="11">
        <v>10</v>
      </c>
      <c r="O37" s="11" t="s">
        <v>34</v>
      </c>
      <c r="P37" s="11" t="s">
        <v>35</v>
      </c>
      <c r="Q37" s="11"/>
      <c r="R37" s="11" t="s">
        <v>36</v>
      </c>
      <c r="S37" s="19">
        <v>15</v>
      </c>
      <c r="T37" s="11" t="s">
        <v>37</v>
      </c>
      <c r="U37" s="11" t="s">
        <v>164</v>
      </c>
      <c r="V37" s="11">
        <v>3</v>
      </c>
      <c r="W37" s="11" t="s">
        <v>70</v>
      </c>
      <c r="X37" s="11" t="s">
        <v>3333</v>
      </c>
      <c r="Y37" s="11" t="s">
        <v>41</v>
      </c>
      <c r="Z37" s="11" t="s">
        <v>53</v>
      </c>
      <c r="AA37" s="11"/>
    </row>
    <row r="38" spans="1:27">
      <c r="A38" s="11" t="s">
        <v>255</v>
      </c>
      <c r="B38" s="11" t="s">
        <v>256</v>
      </c>
      <c r="C38" s="11" t="s">
        <v>56</v>
      </c>
      <c r="D38" s="19">
        <v>73</v>
      </c>
      <c r="E38" s="11" t="s">
        <v>149</v>
      </c>
      <c r="F38" s="11" t="s">
        <v>29</v>
      </c>
      <c r="G38" s="11" t="s">
        <v>83</v>
      </c>
      <c r="H38" s="12">
        <v>46153</v>
      </c>
      <c r="I38" s="12" t="str">
        <f t="shared" si="0"/>
        <v>May</v>
      </c>
      <c r="J38" s="24">
        <v>0.65972222222222221</v>
      </c>
      <c r="K38" s="19">
        <v>6</v>
      </c>
      <c r="L38" s="12">
        <v>46154</v>
      </c>
      <c r="M38" s="24">
        <v>0.2013888888888889</v>
      </c>
      <c r="N38" s="11">
        <v>13</v>
      </c>
      <c r="O38" s="11" t="s">
        <v>34</v>
      </c>
      <c r="P38" s="11" t="s">
        <v>35</v>
      </c>
      <c r="Q38" s="11"/>
      <c r="R38" s="11" t="s">
        <v>36</v>
      </c>
      <c r="S38" s="19">
        <v>40</v>
      </c>
      <c r="T38" s="11" t="s">
        <v>49</v>
      </c>
      <c r="U38" s="11" t="s">
        <v>96</v>
      </c>
      <c r="V38" s="11">
        <v>5</v>
      </c>
      <c r="W38" s="11" t="s">
        <v>39</v>
      </c>
      <c r="X38" s="11" t="s">
        <v>3334</v>
      </c>
      <c r="Y38" s="11" t="s">
        <v>109</v>
      </c>
      <c r="Z38" s="11" t="s">
        <v>71</v>
      </c>
      <c r="AA38" s="11" t="s">
        <v>3234</v>
      </c>
    </row>
    <row r="39" spans="1:27">
      <c r="A39" s="11" t="s">
        <v>260</v>
      </c>
      <c r="B39" s="11" t="s">
        <v>261</v>
      </c>
      <c r="C39" s="11" t="s">
        <v>56</v>
      </c>
      <c r="D39" s="19">
        <v>13</v>
      </c>
      <c r="E39" s="11" t="s">
        <v>28</v>
      </c>
      <c r="F39" s="11" t="s">
        <v>29</v>
      </c>
      <c r="G39" s="11" t="s">
        <v>168</v>
      </c>
      <c r="H39" s="12">
        <v>46121</v>
      </c>
      <c r="I39" s="12" t="str">
        <f t="shared" si="0"/>
        <v>April</v>
      </c>
      <c r="J39" s="24">
        <v>0.52638888888888891</v>
      </c>
      <c r="K39" s="19">
        <v>5</v>
      </c>
      <c r="L39" s="12">
        <v>46121</v>
      </c>
      <c r="M39" s="24">
        <v>0.90138888888888891</v>
      </c>
      <c r="N39" s="11">
        <v>9</v>
      </c>
      <c r="O39" s="11" t="s">
        <v>34</v>
      </c>
      <c r="P39" s="11" t="s">
        <v>35</v>
      </c>
      <c r="Q39" s="11"/>
      <c r="R39" s="11" t="s">
        <v>36</v>
      </c>
      <c r="S39" s="19">
        <v>35</v>
      </c>
      <c r="T39" s="11" t="s">
        <v>37</v>
      </c>
      <c r="U39" s="11" t="s">
        <v>38</v>
      </c>
      <c r="V39" s="11">
        <v>1</v>
      </c>
      <c r="W39" s="11" t="s">
        <v>70</v>
      </c>
      <c r="X39" s="11" t="s">
        <v>51</v>
      </c>
      <c r="Y39" s="11" t="s">
        <v>109</v>
      </c>
      <c r="Z39" s="11" t="s">
        <v>42</v>
      </c>
      <c r="AA39" s="11" t="s">
        <v>3234</v>
      </c>
    </row>
    <row r="40" spans="1:27">
      <c r="A40" s="11" t="s">
        <v>265</v>
      </c>
      <c r="B40" s="11" t="s">
        <v>266</v>
      </c>
      <c r="C40" s="11" t="s">
        <v>56</v>
      </c>
      <c r="D40" s="19">
        <v>60</v>
      </c>
      <c r="E40" s="11" t="s">
        <v>149</v>
      </c>
      <c r="F40" s="11" t="s">
        <v>29</v>
      </c>
      <c r="G40" s="11" t="s">
        <v>30</v>
      </c>
      <c r="H40" s="12">
        <v>46126</v>
      </c>
      <c r="I40" s="12" t="str">
        <f t="shared" si="0"/>
        <v>April</v>
      </c>
      <c r="J40" s="24">
        <v>0.65763888888888888</v>
      </c>
      <c r="K40" s="19">
        <v>6</v>
      </c>
      <c r="L40" s="12">
        <v>46126</v>
      </c>
      <c r="M40" s="24">
        <v>0.94930555555555551</v>
      </c>
      <c r="N40" s="11">
        <v>7</v>
      </c>
      <c r="O40" s="11" t="s">
        <v>34</v>
      </c>
      <c r="P40" s="11" t="s">
        <v>270</v>
      </c>
      <c r="Q40" s="11" t="s">
        <v>271</v>
      </c>
      <c r="R40" s="11" t="s">
        <v>36</v>
      </c>
      <c r="S40" s="19">
        <v>40</v>
      </c>
      <c r="T40" s="11" t="s">
        <v>37</v>
      </c>
      <c r="U40" s="11" t="s">
        <v>96</v>
      </c>
      <c r="V40" s="11">
        <v>4</v>
      </c>
      <c r="W40" s="11" t="s">
        <v>62</v>
      </c>
      <c r="X40" s="11" t="s">
        <v>3325</v>
      </c>
      <c r="Y40" s="11" t="s">
        <v>41</v>
      </c>
      <c r="Z40" s="11" t="s">
        <v>53</v>
      </c>
      <c r="AA40" s="11" t="s">
        <v>3251</v>
      </c>
    </row>
    <row r="41" spans="1:27">
      <c r="A41" s="11" t="s">
        <v>272</v>
      </c>
      <c r="B41" s="11" t="s">
        <v>273</v>
      </c>
      <c r="C41" s="11" t="s">
        <v>56</v>
      </c>
      <c r="D41" s="19">
        <v>57</v>
      </c>
      <c r="E41" s="11" t="s">
        <v>92</v>
      </c>
      <c r="F41" s="11" t="s">
        <v>29</v>
      </c>
      <c r="G41" s="11" t="s">
        <v>30</v>
      </c>
      <c r="H41" s="12">
        <v>46179</v>
      </c>
      <c r="I41" s="12" t="str">
        <f t="shared" si="0"/>
        <v>June</v>
      </c>
      <c r="J41" s="24">
        <v>0.32430555555555557</v>
      </c>
      <c r="K41" s="19">
        <v>24</v>
      </c>
      <c r="L41" s="12">
        <v>46180</v>
      </c>
      <c r="M41" s="24">
        <v>0.61597222222222225</v>
      </c>
      <c r="N41" s="11">
        <v>31</v>
      </c>
      <c r="O41" s="11" t="s">
        <v>34</v>
      </c>
      <c r="P41" s="11" t="s">
        <v>35</v>
      </c>
      <c r="Q41" s="11"/>
      <c r="R41" s="11" t="s">
        <v>36</v>
      </c>
      <c r="S41" s="19">
        <v>50</v>
      </c>
      <c r="T41" s="11" t="s">
        <v>37</v>
      </c>
      <c r="U41" s="11" t="s">
        <v>164</v>
      </c>
      <c r="V41" s="11">
        <v>4</v>
      </c>
      <c r="W41" s="11" t="s">
        <v>62</v>
      </c>
      <c r="X41" s="11" t="s">
        <v>51</v>
      </c>
      <c r="Y41" s="11" t="s">
        <v>41</v>
      </c>
      <c r="Z41" s="11" t="s">
        <v>53</v>
      </c>
      <c r="AA41" s="11" t="s">
        <v>3229</v>
      </c>
    </row>
    <row r="42" spans="1:27">
      <c r="A42" s="11" t="s">
        <v>276</v>
      </c>
      <c r="B42" s="11" t="s">
        <v>277</v>
      </c>
      <c r="C42" s="11" t="s">
        <v>27</v>
      </c>
      <c r="D42" s="19">
        <v>73</v>
      </c>
      <c r="E42" s="11" t="s">
        <v>173</v>
      </c>
      <c r="F42" s="11" t="s">
        <v>29</v>
      </c>
      <c r="G42" s="11" t="s">
        <v>30</v>
      </c>
      <c r="H42" s="12">
        <v>46062</v>
      </c>
      <c r="I42" s="12" t="str">
        <f t="shared" si="0"/>
        <v>February</v>
      </c>
      <c r="J42" s="24">
        <v>0.4284722222222222</v>
      </c>
      <c r="K42" s="19">
        <v>4</v>
      </c>
      <c r="L42" s="12">
        <v>46062</v>
      </c>
      <c r="M42" s="24">
        <v>0.92847222222222225</v>
      </c>
      <c r="N42" s="11">
        <v>12</v>
      </c>
      <c r="O42" s="11" t="s">
        <v>34</v>
      </c>
      <c r="P42" s="11" t="s">
        <v>35</v>
      </c>
      <c r="Q42" s="11"/>
      <c r="R42" s="11" t="s">
        <v>36</v>
      </c>
      <c r="S42" s="19">
        <v>25</v>
      </c>
      <c r="T42" s="11" t="s">
        <v>49</v>
      </c>
      <c r="U42" s="11" t="s">
        <v>38</v>
      </c>
      <c r="V42" s="11">
        <v>5</v>
      </c>
      <c r="W42" s="11" t="s">
        <v>39</v>
      </c>
      <c r="X42" s="11" t="s">
        <v>3333</v>
      </c>
      <c r="Y42" s="11" t="s">
        <v>52</v>
      </c>
      <c r="Z42" s="11" t="s">
        <v>71</v>
      </c>
      <c r="AA42" s="11" t="s">
        <v>3234</v>
      </c>
    </row>
    <row r="43" spans="1:27">
      <c r="A43" s="11" t="s">
        <v>281</v>
      </c>
      <c r="B43" s="11" t="s">
        <v>282</v>
      </c>
      <c r="C43" s="11" t="s">
        <v>27</v>
      </c>
      <c r="D43" s="19">
        <v>59</v>
      </c>
      <c r="E43" s="11" t="s">
        <v>149</v>
      </c>
      <c r="F43" s="11" t="s">
        <v>29</v>
      </c>
      <c r="G43" s="11" t="s">
        <v>93</v>
      </c>
      <c r="H43" s="12">
        <v>46129</v>
      </c>
      <c r="I43" s="12" t="str">
        <f t="shared" si="0"/>
        <v>April</v>
      </c>
      <c r="J43" s="24">
        <v>0.64930555555555558</v>
      </c>
      <c r="K43" s="19">
        <v>6</v>
      </c>
      <c r="L43" s="12">
        <v>46129</v>
      </c>
      <c r="M43" s="24">
        <v>0.98263888888888884</v>
      </c>
      <c r="N43" s="11">
        <v>8</v>
      </c>
      <c r="O43" s="11" t="s">
        <v>34</v>
      </c>
      <c r="P43" s="11" t="s">
        <v>35</v>
      </c>
      <c r="Q43" s="11"/>
      <c r="R43" s="11" t="s">
        <v>36</v>
      </c>
      <c r="S43" s="19">
        <v>40</v>
      </c>
      <c r="T43" s="11" t="s">
        <v>49</v>
      </c>
      <c r="U43" s="11" t="s">
        <v>38</v>
      </c>
      <c r="V43" s="11">
        <v>3</v>
      </c>
      <c r="W43" s="11" t="s">
        <v>39</v>
      </c>
      <c r="X43" s="11" t="s">
        <v>3334</v>
      </c>
      <c r="Y43" s="11" t="s">
        <v>52</v>
      </c>
      <c r="Z43" s="11" t="s">
        <v>53</v>
      </c>
      <c r="AA43" s="11" t="s">
        <v>3234</v>
      </c>
    </row>
    <row r="44" spans="1:27">
      <c r="A44" s="11" t="s">
        <v>285</v>
      </c>
      <c r="B44" s="11" t="s">
        <v>286</v>
      </c>
      <c r="C44" s="11" t="s">
        <v>56</v>
      </c>
      <c r="D44" s="19">
        <v>73</v>
      </c>
      <c r="E44" s="11" t="s">
        <v>57</v>
      </c>
      <c r="F44" s="11" t="s">
        <v>29</v>
      </c>
      <c r="G44" s="11" t="s">
        <v>58</v>
      </c>
      <c r="H44" s="12">
        <v>46048</v>
      </c>
      <c r="I44" s="12" t="str">
        <f t="shared" si="0"/>
        <v>January</v>
      </c>
      <c r="J44" s="24">
        <v>0.38263888888888886</v>
      </c>
      <c r="K44" s="19">
        <v>3</v>
      </c>
      <c r="L44" s="12">
        <v>46048</v>
      </c>
      <c r="M44" s="24">
        <v>0.75763888888888886</v>
      </c>
      <c r="N44" s="11">
        <v>9</v>
      </c>
      <c r="O44" s="11" t="s">
        <v>34</v>
      </c>
      <c r="P44" s="11" t="s">
        <v>35</v>
      </c>
      <c r="Q44" s="11"/>
      <c r="R44" s="11" t="s">
        <v>36</v>
      </c>
      <c r="S44" s="19">
        <v>15</v>
      </c>
      <c r="T44" s="11" t="s">
        <v>49</v>
      </c>
      <c r="U44" s="11" t="s">
        <v>164</v>
      </c>
      <c r="V44" s="11">
        <v>5</v>
      </c>
      <c r="W44" s="11" t="s">
        <v>39</v>
      </c>
      <c r="X44" s="11" t="s">
        <v>3325</v>
      </c>
      <c r="Y44" s="11" t="s">
        <v>109</v>
      </c>
      <c r="Z44" s="11" t="s">
        <v>53</v>
      </c>
      <c r="AA44" s="11"/>
    </row>
    <row r="45" spans="1:27">
      <c r="A45" s="11" t="s">
        <v>290</v>
      </c>
      <c r="B45" s="11" t="s">
        <v>198</v>
      </c>
      <c r="C45" s="11" t="s">
        <v>56</v>
      </c>
      <c r="D45" s="19">
        <v>84</v>
      </c>
      <c r="E45" s="11" t="s">
        <v>81</v>
      </c>
      <c r="F45" s="11" t="s">
        <v>82</v>
      </c>
      <c r="G45" s="11" t="s">
        <v>83</v>
      </c>
      <c r="H45" s="12">
        <v>46127</v>
      </c>
      <c r="I45" s="12" t="str">
        <f t="shared" si="0"/>
        <v>April</v>
      </c>
      <c r="J45" s="24">
        <v>0.3659722222222222</v>
      </c>
      <c r="K45" s="19">
        <v>8</v>
      </c>
      <c r="L45" s="12">
        <v>46127</v>
      </c>
      <c r="M45" s="24">
        <v>0.86597222222222225</v>
      </c>
      <c r="N45" s="11">
        <v>12</v>
      </c>
      <c r="O45" s="11" t="s">
        <v>34</v>
      </c>
      <c r="P45" s="11" t="s">
        <v>35</v>
      </c>
      <c r="Q45" s="11"/>
      <c r="R45" s="11" t="s">
        <v>36</v>
      </c>
      <c r="S45" s="19">
        <v>20</v>
      </c>
      <c r="T45" s="11" t="s">
        <v>49</v>
      </c>
      <c r="U45" s="11" t="s">
        <v>164</v>
      </c>
      <c r="V45" s="11">
        <v>3</v>
      </c>
      <c r="W45" s="11" t="s">
        <v>89</v>
      </c>
      <c r="X45" s="11" t="s">
        <v>3333</v>
      </c>
      <c r="Y45" s="11" t="s">
        <v>41</v>
      </c>
      <c r="Z45" s="11" t="s">
        <v>42</v>
      </c>
      <c r="AA45" s="11" t="s">
        <v>3227</v>
      </c>
    </row>
    <row r="46" spans="1:27">
      <c r="A46" s="11" t="s">
        <v>294</v>
      </c>
      <c r="B46" s="11" t="s">
        <v>295</v>
      </c>
      <c r="C46" s="11" t="s">
        <v>56</v>
      </c>
      <c r="D46" s="19">
        <v>46</v>
      </c>
      <c r="E46" s="11" t="s">
        <v>81</v>
      </c>
      <c r="F46" s="11" t="s">
        <v>82</v>
      </c>
      <c r="G46" s="11" t="s">
        <v>83</v>
      </c>
      <c r="H46" s="12">
        <v>46048</v>
      </c>
      <c r="I46" s="12" t="str">
        <f t="shared" si="0"/>
        <v>January</v>
      </c>
      <c r="J46" s="24">
        <v>0.36180555555555555</v>
      </c>
      <c r="K46" s="19">
        <v>8</v>
      </c>
      <c r="L46" s="12">
        <v>46048</v>
      </c>
      <c r="M46" s="24">
        <v>0.90347222222222223</v>
      </c>
      <c r="N46" s="11">
        <v>13</v>
      </c>
      <c r="O46" s="11" t="s">
        <v>34</v>
      </c>
      <c r="P46" s="11" t="s">
        <v>35</v>
      </c>
      <c r="Q46" s="11"/>
      <c r="R46" s="11" t="s">
        <v>36</v>
      </c>
      <c r="S46" s="19">
        <v>20</v>
      </c>
      <c r="T46" s="11" t="s">
        <v>49</v>
      </c>
      <c r="U46" s="11" t="s">
        <v>38</v>
      </c>
      <c r="V46" s="11">
        <v>1</v>
      </c>
      <c r="W46" s="11" t="s">
        <v>39</v>
      </c>
      <c r="X46" s="11" t="s">
        <v>3325</v>
      </c>
      <c r="Y46" s="11" t="s">
        <v>109</v>
      </c>
      <c r="Z46" s="11" t="s">
        <v>53</v>
      </c>
      <c r="AA46" s="11" t="str">
        <f>IF(A46=" ", "Missing Value", " ")</f>
        <v xml:space="preserve"> </v>
      </c>
    </row>
    <row r="47" spans="1:27">
      <c r="A47" s="11" t="s">
        <v>298</v>
      </c>
      <c r="B47" s="11" t="s">
        <v>299</v>
      </c>
      <c r="C47" s="11" t="s">
        <v>56</v>
      </c>
      <c r="D47" s="19">
        <v>7</v>
      </c>
      <c r="E47" s="11" t="s">
        <v>173</v>
      </c>
      <c r="F47" s="11" t="s">
        <v>29</v>
      </c>
      <c r="G47" s="11" t="s">
        <v>168</v>
      </c>
      <c r="H47" s="12">
        <v>46190</v>
      </c>
      <c r="I47" s="12" t="str">
        <f t="shared" si="0"/>
        <v>June</v>
      </c>
      <c r="J47" s="24">
        <v>0.5625</v>
      </c>
      <c r="K47" s="19">
        <v>4</v>
      </c>
      <c r="L47" s="12">
        <v>46190</v>
      </c>
      <c r="M47" s="24">
        <v>0.6875</v>
      </c>
      <c r="N47" s="11">
        <v>3</v>
      </c>
      <c r="O47" s="11" t="s">
        <v>68</v>
      </c>
      <c r="P47" s="11" t="s">
        <v>35</v>
      </c>
      <c r="Q47" s="11"/>
      <c r="R47" s="11" t="s">
        <v>36</v>
      </c>
      <c r="S47" s="19">
        <v>25</v>
      </c>
      <c r="T47" s="11" t="s">
        <v>49</v>
      </c>
      <c r="U47" s="11" t="s">
        <v>96</v>
      </c>
      <c r="V47" s="11">
        <v>1</v>
      </c>
      <c r="W47" s="11" t="s">
        <v>62</v>
      </c>
      <c r="X47" s="11" t="s">
        <v>3333</v>
      </c>
      <c r="Y47" s="11" t="s">
        <v>52</v>
      </c>
      <c r="Z47" s="11" t="s">
        <v>42</v>
      </c>
      <c r="AA47" s="11" t="s">
        <v>3234</v>
      </c>
    </row>
    <row r="48" spans="1:27">
      <c r="A48" s="11" t="s">
        <v>303</v>
      </c>
      <c r="B48" s="11" t="s">
        <v>304</v>
      </c>
      <c r="C48" s="11" t="s">
        <v>27</v>
      </c>
      <c r="D48" s="19">
        <v>44</v>
      </c>
      <c r="E48" s="11" t="s">
        <v>149</v>
      </c>
      <c r="F48" s="11" t="s">
        <v>29</v>
      </c>
      <c r="G48" s="11" t="s">
        <v>30</v>
      </c>
      <c r="H48" s="12">
        <v>46200</v>
      </c>
      <c r="I48" s="12" t="str">
        <f t="shared" si="0"/>
        <v>June</v>
      </c>
      <c r="J48" s="24">
        <v>0.55000000000000004</v>
      </c>
      <c r="K48" s="19">
        <v>6</v>
      </c>
      <c r="L48" s="12">
        <v>46200</v>
      </c>
      <c r="M48" s="24">
        <v>0.8833333333333333</v>
      </c>
      <c r="N48" s="11">
        <v>8</v>
      </c>
      <c r="O48" s="11" t="s">
        <v>34</v>
      </c>
      <c r="P48" s="11" t="s">
        <v>35</v>
      </c>
      <c r="Q48" s="11"/>
      <c r="R48" s="11" t="s">
        <v>132</v>
      </c>
      <c r="S48" s="19">
        <v>40</v>
      </c>
      <c r="T48" s="11" t="s">
        <v>49</v>
      </c>
      <c r="U48" s="11" t="s">
        <v>164</v>
      </c>
      <c r="V48" s="11">
        <v>4</v>
      </c>
      <c r="W48" s="11" t="s">
        <v>39</v>
      </c>
      <c r="X48" s="11" t="s">
        <v>51</v>
      </c>
      <c r="Y48" s="11" t="s">
        <v>41</v>
      </c>
      <c r="Z48" s="11" t="s">
        <v>53</v>
      </c>
      <c r="AA48" s="11" t="s">
        <v>3262</v>
      </c>
    </row>
    <row r="49" spans="1:27">
      <c r="A49" s="11" t="s">
        <v>308</v>
      </c>
      <c r="B49" s="11" t="s">
        <v>309</v>
      </c>
      <c r="C49" s="11" t="s">
        <v>27</v>
      </c>
      <c r="D49" s="19">
        <v>64</v>
      </c>
      <c r="E49" s="11" t="s">
        <v>173</v>
      </c>
      <c r="F49" s="11" t="s">
        <v>29</v>
      </c>
      <c r="G49" s="11" t="s">
        <v>83</v>
      </c>
      <c r="H49" s="12">
        <v>46152</v>
      </c>
      <c r="I49" s="12" t="str">
        <f t="shared" si="0"/>
        <v>May</v>
      </c>
      <c r="J49" s="24">
        <v>0.42430555555555555</v>
      </c>
      <c r="K49" s="19">
        <v>4</v>
      </c>
      <c r="L49" s="12">
        <v>46152</v>
      </c>
      <c r="M49" s="24">
        <v>0.63263888888888886</v>
      </c>
      <c r="N49" s="11">
        <v>5</v>
      </c>
      <c r="O49" s="11" t="s">
        <v>34</v>
      </c>
      <c r="P49" s="11" t="s">
        <v>35</v>
      </c>
      <c r="Q49" s="11"/>
      <c r="R49" s="11" t="s">
        <v>36</v>
      </c>
      <c r="S49" s="19">
        <v>25</v>
      </c>
      <c r="T49" s="11" t="s">
        <v>49</v>
      </c>
      <c r="U49" s="11" t="s">
        <v>38</v>
      </c>
      <c r="V49" s="11">
        <v>4</v>
      </c>
      <c r="W49" s="11" t="s">
        <v>70</v>
      </c>
      <c r="X49" s="11" t="s">
        <v>3334</v>
      </c>
      <c r="Y49" s="11" t="s">
        <v>41</v>
      </c>
      <c r="Z49" s="11" t="s">
        <v>53</v>
      </c>
      <c r="AA49" s="11" t="s">
        <v>3234</v>
      </c>
    </row>
    <row r="50" spans="1:27">
      <c r="A50" s="11" t="s">
        <v>312</v>
      </c>
      <c r="B50" s="11" t="s">
        <v>313</v>
      </c>
      <c r="C50" s="11" t="s">
        <v>27</v>
      </c>
      <c r="D50" s="19">
        <v>90</v>
      </c>
      <c r="E50" s="11" t="s">
        <v>57</v>
      </c>
      <c r="F50" s="11" t="s">
        <v>29</v>
      </c>
      <c r="G50" s="11" t="s">
        <v>58</v>
      </c>
      <c r="H50" s="12">
        <v>46176</v>
      </c>
      <c r="I50" s="12" t="str">
        <f t="shared" si="0"/>
        <v>June</v>
      </c>
      <c r="J50" s="24">
        <v>0.45069444444444445</v>
      </c>
      <c r="K50" s="19">
        <v>3</v>
      </c>
      <c r="L50" s="12">
        <v>46176</v>
      </c>
      <c r="M50" s="24">
        <v>0.7006944444444444</v>
      </c>
      <c r="N50" s="11">
        <v>6</v>
      </c>
      <c r="O50" s="11" t="s">
        <v>34</v>
      </c>
      <c r="P50" s="11" t="s">
        <v>35</v>
      </c>
      <c r="Q50" s="11"/>
      <c r="R50" s="11" t="s">
        <v>36</v>
      </c>
      <c r="S50" s="19">
        <v>15</v>
      </c>
      <c r="T50" s="11" t="s">
        <v>37</v>
      </c>
      <c r="U50" s="11" t="s">
        <v>96</v>
      </c>
      <c r="V50" s="11">
        <v>5</v>
      </c>
      <c r="W50" s="11" t="s">
        <v>39</v>
      </c>
      <c r="X50" s="11" t="s">
        <v>3325</v>
      </c>
      <c r="Y50" s="11" t="s">
        <v>41</v>
      </c>
      <c r="Z50" s="11" t="s">
        <v>53</v>
      </c>
      <c r="AA50" s="11"/>
    </row>
    <row r="51" spans="1:27">
      <c r="A51" s="11" t="s">
        <v>317</v>
      </c>
      <c r="B51" s="11" t="s">
        <v>318</v>
      </c>
      <c r="C51" s="11" t="s">
        <v>56</v>
      </c>
      <c r="D51" s="19">
        <v>14</v>
      </c>
      <c r="E51" s="11" t="s">
        <v>28</v>
      </c>
      <c r="F51" s="11" t="s">
        <v>29</v>
      </c>
      <c r="G51" s="11" t="s">
        <v>30</v>
      </c>
      <c r="H51" s="12">
        <v>46114</v>
      </c>
      <c r="I51" s="12" t="str">
        <f t="shared" si="0"/>
        <v>April</v>
      </c>
      <c r="J51" s="24">
        <v>0.34097222222222223</v>
      </c>
      <c r="K51" s="19">
        <v>5</v>
      </c>
      <c r="L51" s="12">
        <v>46114</v>
      </c>
      <c r="M51" s="24">
        <v>0.63263888888888886</v>
      </c>
      <c r="N51" s="11">
        <v>7</v>
      </c>
      <c r="O51" s="11" t="s">
        <v>34</v>
      </c>
      <c r="P51" s="11" t="s">
        <v>35</v>
      </c>
      <c r="Q51" s="11"/>
      <c r="R51" s="11" t="s">
        <v>36</v>
      </c>
      <c r="S51" s="19">
        <v>35</v>
      </c>
      <c r="T51" s="11" t="s">
        <v>49</v>
      </c>
      <c r="U51" s="11" t="s">
        <v>164</v>
      </c>
      <c r="V51" s="11">
        <v>4</v>
      </c>
      <c r="W51" s="11" t="s">
        <v>89</v>
      </c>
      <c r="X51" s="11" t="s">
        <v>3333</v>
      </c>
      <c r="Y51" s="11" t="s">
        <v>41</v>
      </c>
      <c r="Z51" s="11" t="s">
        <v>53</v>
      </c>
      <c r="AA51" s="11" t="str">
        <f>IF(A51=" ", "Missing Value", " ")</f>
        <v xml:space="preserve"> </v>
      </c>
    </row>
    <row r="52" spans="1:27">
      <c r="A52" s="11" t="s">
        <v>321</v>
      </c>
      <c r="B52" s="11" t="s">
        <v>322</v>
      </c>
      <c r="C52" s="11" t="s">
        <v>27</v>
      </c>
      <c r="D52" s="19">
        <v>22</v>
      </c>
      <c r="E52" s="11" t="s">
        <v>173</v>
      </c>
      <c r="F52" s="11" t="s">
        <v>29</v>
      </c>
      <c r="G52" s="11" t="s">
        <v>168</v>
      </c>
      <c r="H52" s="12">
        <v>46191</v>
      </c>
      <c r="I52" s="12" t="str">
        <f t="shared" si="0"/>
        <v>June</v>
      </c>
      <c r="J52" s="24">
        <v>0.64097222222222228</v>
      </c>
      <c r="K52" s="19">
        <v>4</v>
      </c>
      <c r="L52" s="12">
        <v>46192</v>
      </c>
      <c r="M52" s="24">
        <v>5.7638888888888892E-2</v>
      </c>
      <c r="N52" s="11">
        <v>10</v>
      </c>
      <c r="O52" s="11" t="s">
        <v>34</v>
      </c>
      <c r="P52" s="11" t="s">
        <v>35</v>
      </c>
      <c r="Q52" s="11"/>
      <c r="R52" s="11" t="s">
        <v>36</v>
      </c>
      <c r="S52" s="19">
        <v>25</v>
      </c>
      <c r="T52" s="11" t="s">
        <v>49</v>
      </c>
      <c r="U52" s="11" t="s">
        <v>164</v>
      </c>
      <c r="V52" s="11">
        <v>5</v>
      </c>
      <c r="W52" s="11" t="s">
        <v>70</v>
      </c>
      <c r="X52" s="11" t="s">
        <v>3334</v>
      </c>
      <c r="Y52" s="11" t="s">
        <v>41</v>
      </c>
      <c r="Z52" s="11" t="s">
        <v>71</v>
      </c>
      <c r="AA52" s="11" t="s">
        <v>3234</v>
      </c>
    </row>
    <row r="53" spans="1:27">
      <c r="A53" s="11" t="s">
        <v>327</v>
      </c>
      <c r="B53" s="11" t="s">
        <v>328</v>
      </c>
      <c r="C53" s="11" t="s">
        <v>56</v>
      </c>
      <c r="D53" s="19">
        <v>38</v>
      </c>
      <c r="E53" s="11" t="s">
        <v>81</v>
      </c>
      <c r="F53" s="11" t="s">
        <v>82</v>
      </c>
      <c r="G53" s="11" t="s">
        <v>83</v>
      </c>
      <c r="H53" s="12">
        <v>46110</v>
      </c>
      <c r="I53" s="12" t="str">
        <f t="shared" si="0"/>
        <v>March</v>
      </c>
      <c r="J53" s="24">
        <v>0.36527777777777776</v>
      </c>
      <c r="K53" s="19">
        <v>8</v>
      </c>
      <c r="L53" s="12">
        <v>46110</v>
      </c>
      <c r="M53" s="24">
        <v>0.99027777777777781</v>
      </c>
      <c r="N53" s="11">
        <v>15</v>
      </c>
      <c r="O53" s="11" t="s">
        <v>34</v>
      </c>
      <c r="P53" s="11" t="s">
        <v>35</v>
      </c>
      <c r="Q53" s="11"/>
      <c r="R53" s="11" t="s">
        <v>36</v>
      </c>
      <c r="S53" s="19">
        <v>20</v>
      </c>
      <c r="T53" s="11" t="s">
        <v>49</v>
      </c>
      <c r="U53" s="11" t="s">
        <v>96</v>
      </c>
      <c r="V53" s="11">
        <v>4</v>
      </c>
      <c r="W53" s="11" t="s">
        <v>62</v>
      </c>
      <c r="X53" s="11" t="s">
        <v>3325</v>
      </c>
      <c r="Y53" s="11" t="s">
        <v>41</v>
      </c>
      <c r="Z53" s="11" t="s">
        <v>42</v>
      </c>
      <c r="AA53" s="11" t="str">
        <f>IF(A53=" ", "Missing Value", " ")</f>
        <v xml:space="preserve"> </v>
      </c>
    </row>
    <row r="54" spans="1:27">
      <c r="A54" s="11" t="s">
        <v>331</v>
      </c>
      <c r="B54" s="11" t="s">
        <v>332</v>
      </c>
      <c r="C54" s="11" t="s">
        <v>27</v>
      </c>
      <c r="D54" s="19">
        <v>74</v>
      </c>
      <c r="E54" s="11" t="s">
        <v>173</v>
      </c>
      <c r="F54" s="11" t="s">
        <v>29</v>
      </c>
      <c r="G54" s="11" t="s">
        <v>58</v>
      </c>
      <c r="H54" s="12">
        <v>46122</v>
      </c>
      <c r="I54" s="12" t="str">
        <f t="shared" si="0"/>
        <v>April</v>
      </c>
      <c r="J54" s="24">
        <v>0.36875000000000002</v>
      </c>
      <c r="K54" s="19">
        <v>4</v>
      </c>
      <c r="L54" s="12">
        <v>46122</v>
      </c>
      <c r="M54" s="24">
        <v>0.66041666666666665</v>
      </c>
      <c r="N54" s="11">
        <v>7</v>
      </c>
      <c r="O54" s="11" t="s">
        <v>34</v>
      </c>
      <c r="P54" s="11" t="s">
        <v>35</v>
      </c>
      <c r="Q54" s="11"/>
      <c r="R54" s="11" t="s">
        <v>36</v>
      </c>
      <c r="S54" s="19">
        <v>25</v>
      </c>
      <c r="T54" s="11" t="s">
        <v>37</v>
      </c>
      <c r="U54" s="11" t="s">
        <v>96</v>
      </c>
      <c r="V54" s="11">
        <v>1</v>
      </c>
      <c r="W54" s="11" t="s">
        <v>39</v>
      </c>
      <c r="X54" s="11" t="s">
        <v>51</v>
      </c>
      <c r="Y54" s="11" t="s">
        <v>109</v>
      </c>
      <c r="Z54" s="11" t="s">
        <v>42</v>
      </c>
      <c r="AA54" s="11" t="s">
        <v>3234</v>
      </c>
    </row>
    <row r="55" spans="1:27">
      <c r="A55" s="11" t="s">
        <v>335</v>
      </c>
      <c r="B55" s="11" t="s">
        <v>336</v>
      </c>
      <c r="C55" s="11" t="s">
        <v>27</v>
      </c>
      <c r="D55" s="19">
        <v>89</v>
      </c>
      <c r="E55" s="11" t="s">
        <v>81</v>
      </c>
      <c r="F55" s="11" t="s">
        <v>82</v>
      </c>
      <c r="G55" s="11" t="s">
        <v>83</v>
      </c>
      <c r="H55" s="12">
        <v>46158</v>
      </c>
      <c r="I55" s="12" t="str">
        <f t="shared" si="0"/>
        <v>May</v>
      </c>
      <c r="J55" s="24">
        <v>0.47222222222222221</v>
      </c>
      <c r="K55" s="19">
        <v>8</v>
      </c>
      <c r="L55" s="12">
        <v>46159</v>
      </c>
      <c r="M55" s="24">
        <v>0.1388888888888889</v>
      </c>
      <c r="N55" s="11">
        <v>16</v>
      </c>
      <c r="O55" s="11" t="s">
        <v>34</v>
      </c>
      <c r="P55" s="11" t="s">
        <v>35</v>
      </c>
      <c r="Q55" s="11"/>
      <c r="R55" s="11" t="s">
        <v>36</v>
      </c>
      <c r="S55" s="19">
        <v>20</v>
      </c>
      <c r="T55" s="11" t="s">
        <v>49</v>
      </c>
      <c r="U55" s="11" t="s">
        <v>96</v>
      </c>
      <c r="V55" s="11">
        <v>5</v>
      </c>
      <c r="W55" s="11" t="s">
        <v>62</v>
      </c>
      <c r="X55" s="11" t="s">
        <v>3325</v>
      </c>
      <c r="Y55" s="11" t="s">
        <v>109</v>
      </c>
      <c r="Z55" s="11" t="s">
        <v>53</v>
      </c>
      <c r="AA55" s="11" t="str">
        <f>IF(A55=" ", "Missing Value", " ")</f>
        <v xml:space="preserve"> </v>
      </c>
    </row>
    <row r="56" spans="1:27">
      <c r="A56" s="11" t="s">
        <v>340</v>
      </c>
      <c r="B56" s="11" t="s">
        <v>341</v>
      </c>
      <c r="C56" s="11" t="s">
        <v>56</v>
      </c>
      <c r="D56" s="19">
        <v>51</v>
      </c>
      <c r="E56" s="11" t="s">
        <v>81</v>
      </c>
      <c r="F56" s="11" t="s">
        <v>82</v>
      </c>
      <c r="G56" s="11" t="s">
        <v>58</v>
      </c>
      <c r="H56" s="12">
        <v>46050</v>
      </c>
      <c r="I56" s="12" t="str">
        <f t="shared" si="0"/>
        <v>January</v>
      </c>
      <c r="J56" s="24">
        <v>0.50069444444444444</v>
      </c>
      <c r="K56" s="19">
        <v>8</v>
      </c>
      <c r="L56" s="12">
        <v>46051</v>
      </c>
      <c r="M56" s="24">
        <v>0.12569444444444444</v>
      </c>
      <c r="N56" s="11">
        <v>15</v>
      </c>
      <c r="O56" s="11" t="s">
        <v>34</v>
      </c>
      <c r="P56" s="11" t="s">
        <v>35</v>
      </c>
      <c r="Q56" s="11"/>
      <c r="R56" s="11" t="s">
        <v>36</v>
      </c>
      <c r="S56" s="19">
        <v>20</v>
      </c>
      <c r="T56" s="11" t="s">
        <v>49</v>
      </c>
      <c r="U56" s="11" t="s">
        <v>38</v>
      </c>
      <c r="V56" s="11">
        <v>5</v>
      </c>
      <c r="W56" s="11" t="s">
        <v>39</v>
      </c>
      <c r="X56" s="11" t="s">
        <v>3325</v>
      </c>
      <c r="Y56" s="11" t="s">
        <v>52</v>
      </c>
      <c r="Z56" s="11" t="s">
        <v>71</v>
      </c>
      <c r="AA56" s="11" t="s">
        <v>3234</v>
      </c>
    </row>
    <row r="57" spans="1:27">
      <c r="A57" s="11" t="s">
        <v>346</v>
      </c>
      <c r="B57" s="11" t="s">
        <v>347</v>
      </c>
      <c r="C57" s="11" t="s">
        <v>27</v>
      </c>
      <c r="D57" s="19">
        <v>30</v>
      </c>
      <c r="E57" s="11" t="s">
        <v>149</v>
      </c>
      <c r="F57" s="11" t="s">
        <v>29</v>
      </c>
      <c r="G57" s="11" t="s">
        <v>30</v>
      </c>
      <c r="H57" s="12">
        <v>46075</v>
      </c>
      <c r="I57" s="12" t="str">
        <f t="shared" si="0"/>
        <v>February</v>
      </c>
      <c r="J57" s="24">
        <v>0.35833333333333334</v>
      </c>
      <c r="K57" s="19">
        <v>6</v>
      </c>
      <c r="L57" s="12">
        <v>46075</v>
      </c>
      <c r="M57" s="24">
        <v>0.94166666666666665</v>
      </c>
      <c r="N57" s="11">
        <v>14</v>
      </c>
      <c r="O57" s="11" t="s">
        <v>34</v>
      </c>
      <c r="P57" s="11" t="s">
        <v>35</v>
      </c>
      <c r="Q57" s="11"/>
      <c r="R57" s="11" t="s">
        <v>36</v>
      </c>
      <c r="S57" s="19">
        <v>40</v>
      </c>
      <c r="T57" s="11" t="s">
        <v>49</v>
      </c>
      <c r="U57" s="11" t="s">
        <v>164</v>
      </c>
      <c r="V57" s="11">
        <v>3</v>
      </c>
      <c r="W57" s="11" t="s">
        <v>70</v>
      </c>
      <c r="X57" s="11" t="s">
        <v>3334</v>
      </c>
      <c r="Y57" s="11" t="s">
        <v>41</v>
      </c>
      <c r="Z57" s="11" t="s">
        <v>42</v>
      </c>
      <c r="AA57" s="11" t="str">
        <f>IF(A57=" ", "Missing Value", " ")</f>
        <v xml:space="preserve"> </v>
      </c>
    </row>
    <row r="58" spans="1:27">
      <c r="A58" s="11" t="s">
        <v>351</v>
      </c>
      <c r="B58" s="11" t="s">
        <v>352</v>
      </c>
      <c r="C58" s="11" t="s">
        <v>56</v>
      </c>
      <c r="D58" s="19">
        <v>36</v>
      </c>
      <c r="E58" s="11" t="s">
        <v>81</v>
      </c>
      <c r="F58" s="11" t="s">
        <v>82</v>
      </c>
      <c r="G58" s="11" t="s">
        <v>83</v>
      </c>
      <c r="H58" s="12">
        <v>46162</v>
      </c>
      <c r="I58" s="12" t="str">
        <f t="shared" si="0"/>
        <v>May</v>
      </c>
      <c r="J58" s="24">
        <v>0.62083333333333335</v>
      </c>
      <c r="K58" s="19">
        <v>8</v>
      </c>
      <c r="L58" s="12">
        <v>46163</v>
      </c>
      <c r="M58" s="24">
        <v>0.20416666666666666</v>
      </c>
      <c r="N58" s="11">
        <v>14</v>
      </c>
      <c r="O58" s="11" t="s">
        <v>34</v>
      </c>
      <c r="P58" s="11" t="s">
        <v>35</v>
      </c>
      <c r="Q58" s="11"/>
      <c r="R58" s="11" t="s">
        <v>36</v>
      </c>
      <c r="S58" s="19">
        <v>20</v>
      </c>
      <c r="T58" s="11" t="s">
        <v>49</v>
      </c>
      <c r="U58" s="11" t="s">
        <v>38</v>
      </c>
      <c r="V58" s="11">
        <v>2</v>
      </c>
      <c r="W58" s="11" t="s">
        <v>62</v>
      </c>
      <c r="X58" s="11" t="s">
        <v>51</v>
      </c>
      <c r="Y58" s="11" t="s">
        <v>52</v>
      </c>
      <c r="Z58" s="11" t="s">
        <v>42</v>
      </c>
      <c r="AA58" s="11" t="str">
        <f>IF(A58=" ", "Missing Value", " ")</f>
        <v xml:space="preserve"> </v>
      </c>
    </row>
    <row r="59" spans="1:27">
      <c r="A59" s="11" t="s">
        <v>357</v>
      </c>
      <c r="B59" s="11" t="s">
        <v>358</v>
      </c>
      <c r="C59" s="11" t="s">
        <v>56</v>
      </c>
      <c r="D59" s="19">
        <v>9</v>
      </c>
      <c r="E59" s="11" t="s">
        <v>28</v>
      </c>
      <c r="F59" s="11" t="s">
        <v>29</v>
      </c>
      <c r="G59" s="11" t="s">
        <v>93</v>
      </c>
      <c r="H59" s="12">
        <v>46047</v>
      </c>
      <c r="I59" s="12" t="str">
        <f t="shared" si="0"/>
        <v>January</v>
      </c>
      <c r="J59" s="24">
        <v>0.50347222222222221</v>
      </c>
      <c r="K59" s="19">
        <v>5</v>
      </c>
      <c r="L59" s="12">
        <v>46047</v>
      </c>
      <c r="M59" s="24">
        <v>0.71180555555555558</v>
      </c>
      <c r="N59" s="11">
        <v>5</v>
      </c>
      <c r="O59" s="11" t="s">
        <v>68</v>
      </c>
      <c r="P59" s="11" t="s">
        <v>35</v>
      </c>
      <c r="Q59" s="11"/>
      <c r="R59" s="11" t="s">
        <v>36</v>
      </c>
      <c r="S59" s="19">
        <v>35</v>
      </c>
      <c r="T59" s="11" t="s">
        <v>37</v>
      </c>
      <c r="U59" s="11" t="s">
        <v>164</v>
      </c>
      <c r="V59" s="11">
        <v>2</v>
      </c>
      <c r="W59" s="11" t="s">
        <v>39</v>
      </c>
      <c r="X59" s="11" t="s">
        <v>3334</v>
      </c>
      <c r="Y59" s="11" t="s">
        <v>52</v>
      </c>
      <c r="Z59" s="11" t="s">
        <v>42</v>
      </c>
      <c r="AA59" s="11" t="s">
        <v>3234</v>
      </c>
    </row>
    <row r="60" spans="1:27">
      <c r="A60" s="11" t="s">
        <v>361</v>
      </c>
      <c r="B60" s="11" t="s">
        <v>362</v>
      </c>
      <c r="C60" s="11" t="s">
        <v>56</v>
      </c>
      <c r="D60" s="19">
        <v>75</v>
      </c>
      <c r="E60" s="11" t="s">
        <v>92</v>
      </c>
      <c r="F60" s="11" t="s">
        <v>29</v>
      </c>
      <c r="G60" s="11" t="s">
        <v>83</v>
      </c>
      <c r="H60" s="12">
        <v>46197</v>
      </c>
      <c r="I60" s="12" t="str">
        <f t="shared" si="0"/>
        <v>June</v>
      </c>
      <c r="J60" s="24">
        <v>0.30208333333333331</v>
      </c>
      <c r="K60" s="19">
        <v>24</v>
      </c>
      <c r="L60" s="12">
        <v>46198</v>
      </c>
      <c r="M60" s="24">
        <v>0.26041666666666669</v>
      </c>
      <c r="N60" s="11">
        <v>23</v>
      </c>
      <c r="O60" s="11" t="s">
        <v>68</v>
      </c>
      <c r="P60" s="11" t="s">
        <v>35</v>
      </c>
      <c r="Q60" s="11"/>
      <c r="R60" s="11" t="s">
        <v>36</v>
      </c>
      <c r="S60" s="19">
        <v>50</v>
      </c>
      <c r="T60" s="11" t="s">
        <v>37</v>
      </c>
      <c r="U60" s="11" t="s">
        <v>96</v>
      </c>
      <c r="V60" s="11">
        <v>3</v>
      </c>
      <c r="W60" s="11" t="s">
        <v>62</v>
      </c>
      <c r="X60" s="11" t="s">
        <v>3334</v>
      </c>
      <c r="Y60" s="11" t="s">
        <v>52</v>
      </c>
      <c r="Z60" s="11" t="s">
        <v>53</v>
      </c>
      <c r="AA60" s="11" t="s">
        <v>3235</v>
      </c>
    </row>
    <row r="61" spans="1:27">
      <c r="A61" s="11" t="s">
        <v>367</v>
      </c>
      <c r="B61" s="11" t="s">
        <v>368</v>
      </c>
      <c r="C61" s="11" t="s">
        <v>27</v>
      </c>
      <c r="D61" s="19">
        <v>46</v>
      </c>
      <c r="E61" s="11" t="s">
        <v>28</v>
      </c>
      <c r="F61" s="11" t="s">
        <v>29</v>
      </c>
      <c r="G61" s="11" t="s">
        <v>93</v>
      </c>
      <c r="H61" s="12">
        <v>46174</v>
      </c>
      <c r="I61" s="12" t="str">
        <f t="shared" si="0"/>
        <v>June</v>
      </c>
      <c r="J61" s="24">
        <v>0.39444444444444443</v>
      </c>
      <c r="K61" s="19">
        <v>5</v>
      </c>
      <c r="L61" s="12">
        <v>46174</v>
      </c>
      <c r="M61" s="24">
        <v>0.76944444444444449</v>
      </c>
      <c r="N61" s="11">
        <v>9</v>
      </c>
      <c r="O61" s="11" t="s">
        <v>34</v>
      </c>
      <c r="P61" s="11" t="s">
        <v>35</v>
      </c>
      <c r="Q61" s="11"/>
      <c r="R61" s="11" t="s">
        <v>36</v>
      </c>
      <c r="S61" s="19">
        <v>35</v>
      </c>
      <c r="T61" s="11" t="s">
        <v>49</v>
      </c>
      <c r="U61" s="11" t="s">
        <v>96</v>
      </c>
      <c r="V61" s="11">
        <v>3</v>
      </c>
      <c r="W61" s="11" t="s">
        <v>89</v>
      </c>
      <c r="X61" s="11" t="s">
        <v>3334</v>
      </c>
      <c r="Y61" s="11" t="s">
        <v>41</v>
      </c>
      <c r="Z61" s="11" t="s">
        <v>42</v>
      </c>
      <c r="AA61" s="11" t="s">
        <v>3234</v>
      </c>
    </row>
    <row r="62" spans="1:27">
      <c r="A62" s="11" t="s">
        <v>372</v>
      </c>
      <c r="B62" s="11" t="s">
        <v>373</v>
      </c>
      <c r="C62" s="11" t="s">
        <v>56</v>
      </c>
      <c r="D62" s="19">
        <v>65</v>
      </c>
      <c r="E62" s="11" t="s">
        <v>28</v>
      </c>
      <c r="F62" s="11" t="s">
        <v>29</v>
      </c>
      <c r="G62" s="11" t="s">
        <v>30</v>
      </c>
      <c r="H62" s="12">
        <v>46062</v>
      </c>
      <c r="I62" s="12" t="str">
        <f t="shared" si="0"/>
        <v>February</v>
      </c>
      <c r="J62" s="24">
        <v>0.70277777777777772</v>
      </c>
      <c r="K62" s="19">
        <v>5</v>
      </c>
      <c r="L62" s="12">
        <v>46063</v>
      </c>
      <c r="M62" s="24">
        <v>0.11944444444444445</v>
      </c>
      <c r="N62" s="11">
        <v>10</v>
      </c>
      <c r="O62" s="11" t="s">
        <v>34</v>
      </c>
      <c r="P62" s="11" t="s">
        <v>35</v>
      </c>
      <c r="Q62" s="11"/>
      <c r="R62" s="11" t="s">
        <v>36</v>
      </c>
      <c r="S62" s="19">
        <v>35</v>
      </c>
      <c r="T62" s="11" t="s">
        <v>37</v>
      </c>
      <c r="U62" s="11" t="s">
        <v>164</v>
      </c>
      <c r="V62" s="11">
        <v>2</v>
      </c>
      <c r="W62" s="11" t="s">
        <v>89</v>
      </c>
      <c r="X62" s="11" t="s">
        <v>51</v>
      </c>
      <c r="Y62" s="11" t="s">
        <v>52</v>
      </c>
      <c r="Z62" s="11" t="s">
        <v>53</v>
      </c>
      <c r="AA62" s="11" t="str">
        <f>IF(A62=" ", "Missing Value", " ")</f>
        <v xml:space="preserve"> </v>
      </c>
    </row>
    <row r="63" spans="1:27">
      <c r="A63" s="11" t="s">
        <v>377</v>
      </c>
      <c r="B63" s="11" t="s">
        <v>378</v>
      </c>
      <c r="C63" s="11" t="s">
        <v>56</v>
      </c>
      <c r="D63" s="19">
        <v>31</v>
      </c>
      <c r="E63" s="11" t="s">
        <v>81</v>
      </c>
      <c r="F63" s="11" t="s">
        <v>82</v>
      </c>
      <c r="G63" s="11" t="s">
        <v>168</v>
      </c>
      <c r="H63" s="12">
        <v>46054</v>
      </c>
      <c r="I63" s="12" t="str">
        <f t="shared" si="0"/>
        <v>February</v>
      </c>
      <c r="J63" s="24">
        <v>0.30625000000000002</v>
      </c>
      <c r="K63" s="19">
        <v>8</v>
      </c>
      <c r="L63" s="12">
        <v>46054</v>
      </c>
      <c r="M63" s="24">
        <v>0.93125000000000002</v>
      </c>
      <c r="N63" s="11">
        <v>15</v>
      </c>
      <c r="O63" s="11" t="s">
        <v>34</v>
      </c>
      <c r="P63" s="11" t="s">
        <v>35</v>
      </c>
      <c r="Q63" s="11"/>
      <c r="R63" s="11" t="s">
        <v>36</v>
      </c>
      <c r="S63" s="19">
        <v>20</v>
      </c>
      <c r="T63" s="11" t="s">
        <v>37</v>
      </c>
      <c r="U63" s="11" t="s">
        <v>38</v>
      </c>
      <c r="V63" s="11">
        <v>4</v>
      </c>
      <c r="W63" s="11" t="s">
        <v>62</v>
      </c>
      <c r="X63" s="11" t="s">
        <v>3334</v>
      </c>
      <c r="Y63" s="11" t="s">
        <v>109</v>
      </c>
      <c r="Z63" s="11" t="s">
        <v>53</v>
      </c>
      <c r="AA63" s="11" t="s">
        <v>3234</v>
      </c>
    </row>
    <row r="64" spans="1:27">
      <c r="A64" s="11" t="s">
        <v>382</v>
      </c>
      <c r="B64" s="11" t="s">
        <v>383</v>
      </c>
      <c r="C64" s="11" t="s">
        <v>27</v>
      </c>
      <c r="D64" s="19">
        <v>43</v>
      </c>
      <c r="E64" s="11" t="s">
        <v>173</v>
      </c>
      <c r="F64" s="11" t="s">
        <v>29</v>
      </c>
      <c r="G64" s="11" t="s">
        <v>83</v>
      </c>
      <c r="H64" s="12">
        <v>46125</v>
      </c>
      <c r="I64" s="12" t="str">
        <f t="shared" si="0"/>
        <v>April</v>
      </c>
      <c r="J64" s="24">
        <v>0.59583333333333333</v>
      </c>
      <c r="K64" s="19">
        <v>4</v>
      </c>
      <c r="L64" s="12">
        <v>46125</v>
      </c>
      <c r="M64" s="24">
        <v>0.9291666666666667</v>
      </c>
      <c r="N64" s="11">
        <v>8</v>
      </c>
      <c r="O64" s="11" t="s">
        <v>34</v>
      </c>
      <c r="P64" s="11" t="s">
        <v>35</v>
      </c>
      <c r="Q64" s="11"/>
      <c r="R64" s="11" t="s">
        <v>36</v>
      </c>
      <c r="S64" s="19">
        <v>25</v>
      </c>
      <c r="T64" s="11" t="s">
        <v>49</v>
      </c>
      <c r="U64" s="11" t="s">
        <v>38</v>
      </c>
      <c r="V64" s="11">
        <v>3</v>
      </c>
      <c r="W64" s="11" t="s">
        <v>39</v>
      </c>
      <c r="X64" s="11" t="s">
        <v>3325</v>
      </c>
      <c r="Y64" s="11" t="s">
        <v>52</v>
      </c>
      <c r="Z64" s="11" t="s">
        <v>53</v>
      </c>
      <c r="AA64" s="11" t="s">
        <v>3234</v>
      </c>
    </row>
    <row r="65" spans="1:27">
      <c r="A65" s="11" t="s">
        <v>386</v>
      </c>
      <c r="B65" s="11" t="s">
        <v>387</v>
      </c>
      <c r="C65" s="11" t="s">
        <v>56</v>
      </c>
      <c r="D65" s="19">
        <v>76</v>
      </c>
      <c r="E65" s="11" t="s">
        <v>57</v>
      </c>
      <c r="F65" s="11" t="s">
        <v>29</v>
      </c>
      <c r="G65" s="11" t="s">
        <v>83</v>
      </c>
      <c r="H65" s="12">
        <v>46166</v>
      </c>
      <c r="I65" s="12" t="str">
        <f t="shared" si="0"/>
        <v>May</v>
      </c>
      <c r="J65" s="24">
        <v>0.41875000000000001</v>
      </c>
      <c r="K65" s="19">
        <v>3</v>
      </c>
      <c r="L65" s="12">
        <v>46166</v>
      </c>
      <c r="M65" s="24">
        <v>0.75208333333333333</v>
      </c>
      <c r="N65" s="11">
        <v>8</v>
      </c>
      <c r="O65" s="11" t="s">
        <v>34</v>
      </c>
      <c r="P65" s="11" t="s">
        <v>270</v>
      </c>
      <c r="Q65" s="11" t="s">
        <v>391</v>
      </c>
      <c r="R65" s="11" t="s">
        <v>36</v>
      </c>
      <c r="S65" s="19">
        <v>15</v>
      </c>
      <c r="T65" s="11" t="s">
        <v>37</v>
      </c>
      <c r="U65" s="11" t="s">
        <v>38</v>
      </c>
      <c r="V65" s="11">
        <v>5</v>
      </c>
      <c r="W65" s="11" t="s">
        <v>39</v>
      </c>
      <c r="X65" s="11" t="s">
        <v>3333</v>
      </c>
      <c r="Y65" s="11" t="s">
        <v>52</v>
      </c>
      <c r="Z65" s="11" t="s">
        <v>42</v>
      </c>
      <c r="AA65" s="11" t="s">
        <v>3252</v>
      </c>
    </row>
    <row r="66" spans="1:27">
      <c r="A66" s="11" t="s">
        <v>392</v>
      </c>
      <c r="B66" s="11" t="s">
        <v>393</v>
      </c>
      <c r="C66" s="11" t="s">
        <v>27</v>
      </c>
      <c r="D66" s="19">
        <v>87</v>
      </c>
      <c r="E66" s="11" t="s">
        <v>57</v>
      </c>
      <c r="F66" s="11" t="s">
        <v>29</v>
      </c>
      <c r="G66" s="11" t="s">
        <v>58</v>
      </c>
      <c r="H66" s="12">
        <v>46058</v>
      </c>
      <c r="I66" s="12" t="str">
        <f t="shared" ref="I66:I129" si="1">TEXT(H66, "mmmm")</f>
        <v>February</v>
      </c>
      <c r="J66" s="24">
        <v>0.62847222222222221</v>
      </c>
      <c r="K66" s="19">
        <v>3</v>
      </c>
      <c r="L66" s="12">
        <v>46059</v>
      </c>
      <c r="M66" s="24">
        <v>8.6805555555555552E-2</v>
      </c>
      <c r="N66" s="11">
        <v>11</v>
      </c>
      <c r="O66" s="11" t="s">
        <v>34</v>
      </c>
      <c r="P66" s="11" t="s">
        <v>35</v>
      </c>
      <c r="Q66" s="11"/>
      <c r="R66" s="11" t="s">
        <v>36</v>
      </c>
      <c r="S66" s="19">
        <v>15</v>
      </c>
      <c r="T66" s="11" t="s">
        <v>37</v>
      </c>
      <c r="U66" s="11" t="s">
        <v>164</v>
      </c>
      <c r="V66" s="11">
        <v>2</v>
      </c>
      <c r="W66" s="11" t="s">
        <v>62</v>
      </c>
      <c r="X66" s="11" t="s">
        <v>51</v>
      </c>
      <c r="Y66" s="11" t="s">
        <v>41</v>
      </c>
      <c r="Z66" s="11" t="s">
        <v>53</v>
      </c>
      <c r="AA66" s="11"/>
    </row>
    <row r="67" spans="1:27">
      <c r="A67" s="11" t="s">
        <v>398</v>
      </c>
      <c r="B67" s="11" t="s">
        <v>399</v>
      </c>
      <c r="C67" s="11" t="s">
        <v>27</v>
      </c>
      <c r="D67" s="19">
        <v>58</v>
      </c>
      <c r="E67" s="11" t="s">
        <v>173</v>
      </c>
      <c r="F67" s="11" t="s">
        <v>29</v>
      </c>
      <c r="G67" s="11" t="s">
        <v>168</v>
      </c>
      <c r="H67" s="12">
        <v>46182</v>
      </c>
      <c r="I67" s="12" t="str">
        <f t="shared" si="1"/>
        <v>June</v>
      </c>
      <c r="J67" s="24">
        <v>0.29722222222222222</v>
      </c>
      <c r="K67" s="19">
        <v>4</v>
      </c>
      <c r="L67" s="12">
        <v>46182</v>
      </c>
      <c r="M67" s="24">
        <v>0.79722222222222228</v>
      </c>
      <c r="N67" s="11">
        <v>12</v>
      </c>
      <c r="O67" s="11" t="s">
        <v>34</v>
      </c>
      <c r="P67" s="11" t="s">
        <v>270</v>
      </c>
      <c r="Q67" s="11" t="s">
        <v>271</v>
      </c>
      <c r="R67" s="11" t="s">
        <v>36</v>
      </c>
      <c r="S67" s="19">
        <v>25</v>
      </c>
      <c r="T67" s="11" t="s">
        <v>37</v>
      </c>
      <c r="U67" s="11" t="s">
        <v>164</v>
      </c>
      <c r="V67" s="11">
        <v>3</v>
      </c>
      <c r="W67" s="11" t="s">
        <v>62</v>
      </c>
      <c r="X67" s="11" t="s">
        <v>3325</v>
      </c>
      <c r="Y67" s="11" t="s">
        <v>41</v>
      </c>
      <c r="Z67" s="11" t="s">
        <v>42</v>
      </c>
      <c r="AA67" s="11" t="s">
        <v>3252</v>
      </c>
    </row>
    <row r="68" spans="1:27">
      <c r="A68" s="11" t="s">
        <v>403</v>
      </c>
      <c r="B68" s="11" t="s">
        <v>404</v>
      </c>
      <c r="C68" s="11" t="s">
        <v>27</v>
      </c>
      <c r="D68" s="19">
        <v>82</v>
      </c>
      <c r="E68" s="11" t="s">
        <v>149</v>
      </c>
      <c r="F68" s="11" t="s">
        <v>29</v>
      </c>
      <c r="G68" s="11" t="s">
        <v>30</v>
      </c>
      <c r="H68" s="12">
        <v>46130</v>
      </c>
      <c r="I68" s="12" t="str">
        <f t="shared" si="1"/>
        <v>April</v>
      </c>
      <c r="J68" s="24">
        <v>0.52013888888888893</v>
      </c>
      <c r="K68" s="19">
        <v>6</v>
      </c>
      <c r="L68" s="12">
        <v>46131</v>
      </c>
      <c r="M68" s="24">
        <v>2.013888888888889E-2</v>
      </c>
      <c r="N68" s="11">
        <v>12</v>
      </c>
      <c r="O68" s="11" t="s">
        <v>34</v>
      </c>
      <c r="P68" s="11" t="s">
        <v>35</v>
      </c>
      <c r="Q68" s="11"/>
      <c r="R68" s="11" t="s">
        <v>36</v>
      </c>
      <c r="S68" s="19">
        <v>40</v>
      </c>
      <c r="T68" s="11" t="s">
        <v>49</v>
      </c>
      <c r="U68" s="11" t="s">
        <v>38</v>
      </c>
      <c r="V68" s="11">
        <v>2</v>
      </c>
      <c r="W68" s="11" t="s">
        <v>39</v>
      </c>
      <c r="X68" s="11" t="s">
        <v>51</v>
      </c>
      <c r="Y68" s="11" t="s">
        <v>52</v>
      </c>
      <c r="Z68" s="11" t="s">
        <v>71</v>
      </c>
      <c r="AA68" s="11" t="str">
        <f>IF(A68=" ", "Missing Value", " ")</f>
        <v xml:space="preserve"> </v>
      </c>
    </row>
    <row r="69" spans="1:27">
      <c r="A69" s="11" t="s">
        <v>409</v>
      </c>
      <c r="B69" s="11" t="s">
        <v>410</v>
      </c>
      <c r="C69" s="11" t="s">
        <v>56</v>
      </c>
      <c r="D69" s="19">
        <v>62</v>
      </c>
      <c r="E69" s="11" t="s">
        <v>149</v>
      </c>
      <c r="F69" s="11" t="s">
        <v>29</v>
      </c>
      <c r="G69" s="11" t="s">
        <v>30</v>
      </c>
      <c r="H69" s="12">
        <v>46123</v>
      </c>
      <c r="I69" s="12" t="str">
        <f t="shared" si="1"/>
        <v>April</v>
      </c>
      <c r="J69" s="24">
        <v>0.59930555555555554</v>
      </c>
      <c r="K69" s="19">
        <v>6</v>
      </c>
      <c r="L69" s="12">
        <v>46124</v>
      </c>
      <c r="M69" s="24">
        <v>0.14097222222222222</v>
      </c>
      <c r="N69" s="11">
        <v>13</v>
      </c>
      <c r="O69" s="11" t="s">
        <v>34</v>
      </c>
      <c r="P69" s="11" t="s">
        <v>35</v>
      </c>
      <c r="Q69" s="11"/>
      <c r="R69" s="11" t="s">
        <v>36</v>
      </c>
      <c r="S69" s="19">
        <v>40</v>
      </c>
      <c r="T69" s="11" t="s">
        <v>49</v>
      </c>
      <c r="U69" s="11" t="s">
        <v>38</v>
      </c>
      <c r="V69" s="11">
        <v>3</v>
      </c>
      <c r="W69" s="11" t="s">
        <v>62</v>
      </c>
      <c r="X69" s="11" t="s">
        <v>3333</v>
      </c>
      <c r="Y69" s="11" t="s">
        <v>52</v>
      </c>
      <c r="Z69" s="11" t="s">
        <v>42</v>
      </c>
      <c r="AA69" s="11" t="str">
        <f>IF(A69=" ", "Missing Value", " ")</f>
        <v xml:space="preserve"> </v>
      </c>
    </row>
    <row r="70" spans="1:27">
      <c r="A70" s="11" t="s">
        <v>415</v>
      </c>
      <c r="B70" s="11" t="s">
        <v>416</v>
      </c>
      <c r="C70" s="11" t="s">
        <v>27</v>
      </c>
      <c r="D70" s="19">
        <v>78</v>
      </c>
      <c r="E70" s="11" t="s">
        <v>173</v>
      </c>
      <c r="F70" s="11" t="s">
        <v>29</v>
      </c>
      <c r="G70" s="11" t="s">
        <v>168</v>
      </c>
      <c r="H70" s="12">
        <v>46054</v>
      </c>
      <c r="I70" s="12" t="str">
        <f t="shared" si="1"/>
        <v>February</v>
      </c>
      <c r="J70" s="24">
        <v>0.41666666666666669</v>
      </c>
      <c r="K70" s="19">
        <v>4</v>
      </c>
      <c r="L70" s="12">
        <v>46054</v>
      </c>
      <c r="M70" s="24">
        <v>0.79166666666666663</v>
      </c>
      <c r="N70" s="11">
        <v>9</v>
      </c>
      <c r="O70" s="11" t="s">
        <v>34</v>
      </c>
      <c r="P70" s="11" t="s">
        <v>35</v>
      </c>
      <c r="Q70" s="11"/>
      <c r="R70" s="11" t="s">
        <v>36</v>
      </c>
      <c r="S70" s="19">
        <v>25</v>
      </c>
      <c r="T70" s="11" t="s">
        <v>37</v>
      </c>
      <c r="U70" s="11" t="s">
        <v>96</v>
      </c>
      <c r="V70" s="11">
        <v>4</v>
      </c>
      <c r="W70" s="11" t="s">
        <v>89</v>
      </c>
      <c r="X70" s="11" t="s">
        <v>3333</v>
      </c>
      <c r="Y70" s="11" t="s">
        <v>41</v>
      </c>
      <c r="Z70" s="11" t="s">
        <v>71</v>
      </c>
      <c r="AA70" s="11" t="s">
        <v>3234</v>
      </c>
    </row>
    <row r="71" spans="1:27">
      <c r="A71" s="11" t="s">
        <v>419</v>
      </c>
      <c r="B71" s="11" t="s">
        <v>420</v>
      </c>
      <c r="C71" s="11" t="s">
        <v>56</v>
      </c>
      <c r="D71" s="19">
        <v>52</v>
      </c>
      <c r="E71" s="11" t="s">
        <v>173</v>
      </c>
      <c r="F71" s="11" t="s">
        <v>29</v>
      </c>
      <c r="G71" s="11" t="s">
        <v>93</v>
      </c>
      <c r="H71" s="12">
        <v>46111</v>
      </c>
      <c r="I71" s="12" t="str">
        <f t="shared" si="1"/>
        <v>March</v>
      </c>
      <c r="J71" s="24">
        <v>0.49444444444444446</v>
      </c>
      <c r="K71" s="19">
        <v>4</v>
      </c>
      <c r="L71" s="12">
        <v>46111</v>
      </c>
      <c r="M71" s="24">
        <v>0.86944444444444446</v>
      </c>
      <c r="N71" s="11">
        <v>9</v>
      </c>
      <c r="O71" s="11" t="s">
        <v>34</v>
      </c>
      <c r="P71" s="11" t="s">
        <v>35</v>
      </c>
      <c r="Q71" s="11"/>
      <c r="R71" s="11" t="s">
        <v>36</v>
      </c>
      <c r="S71" s="19">
        <v>25</v>
      </c>
      <c r="T71" s="11" t="s">
        <v>49</v>
      </c>
      <c r="U71" s="11" t="s">
        <v>96</v>
      </c>
      <c r="V71" s="11">
        <v>1</v>
      </c>
      <c r="W71" s="11" t="s">
        <v>39</v>
      </c>
      <c r="X71" s="11" t="s">
        <v>3333</v>
      </c>
      <c r="Y71" s="11" t="s">
        <v>41</v>
      </c>
      <c r="Z71" s="11" t="s">
        <v>53</v>
      </c>
      <c r="AA71" s="11" t="s">
        <v>3234</v>
      </c>
    </row>
    <row r="72" spans="1:27">
      <c r="A72" s="11" t="s">
        <v>424</v>
      </c>
      <c r="B72" s="11" t="s">
        <v>425</v>
      </c>
      <c r="C72" s="11" t="s">
        <v>27</v>
      </c>
      <c r="D72" s="19">
        <v>40</v>
      </c>
      <c r="E72" s="11" t="s">
        <v>149</v>
      </c>
      <c r="F72" s="11" t="s">
        <v>29</v>
      </c>
      <c r="G72" s="11" t="s">
        <v>83</v>
      </c>
      <c r="H72" s="12">
        <v>46174</v>
      </c>
      <c r="I72" s="12" t="str">
        <f t="shared" si="1"/>
        <v>June</v>
      </c>
      <c r="J72" s="24">
        <v>0.61250000000000004</v>
      </c>
      <c r="K72" s="19">
        <v>6</v>
      </c>
      <c r="L72" s="12">
        <v>46175</v>
      </c>
      <c r="M72" s="24">
        <v>0.19583333333333333</v>
      </c>
      <c r="N72" s="11">
        <v>14</v>
      </c>
      <c r="O72" s="11" t="s">
        <v>34</v>
      </c>
      <c r="P72" s="11" t="s">
        <v>35</v>
      </c>
      <c r="Q72" s="11"/>
      <c r="R72" s="11" t="s">
        <v>36</v>
      </c>
      <c r="S72" s="19">
        <v>40</v>
      </c>
      <c r="T72" s="11" t="s">
        <v>37</v>
      </c>
      <c r="U72" s="11" t="s">
        <v>164</v>
      </c>
      <c r="V72" s="11">
        <v>4</v>
      </c>
      <c r="W72" s="11" t="s">
        <v>70</v>
      </c>
      <c r="X72" s="11" t="s">
        <v>51</v>
      </c>
      <c r="Y72" s="11" t="s">
        <v>41</v>
      </c>
      <c r="Z72" s="11" t="s">
        <v>42</v>
      </c>
      <c r="AA72" s="11" t="s">
        <v>3234</v>
      </c>
    </row>
    <row r="73" spans="1:27">
      <c r="A73" s="11" t="s">
        <v>429</v>
      </c>
      <c r="B73" s="11" t="s">
        <v>430</v>
      </c>
      <c r="C73" s="11" t="s">
        <v>27</v>
      </c>
      <c r="D73" s="19">
        <v>67</v>
      </c>
      <c r="E73" s="11" t="s">
        <v>92</v>
      </c>
      <c r="F73" s="11" t="s">
        <v>29</v>
      </c>
      <c r="G73" s="11" t="s">
        <v>93</v>
      </c>
      <c r="H73" s="12">
        <v>46026</v>
      </c>
      <c r="I73" s="12" t="str">
        <f t="shared" si="1"/>
        <v>January</v>
      </c>
      <c r="J73" s="24">
        <v>0.52500000000000002</v>
      </c>
      <c r="K73" s="19">
        <v>24</v>
      </c>
      <c r="L73" s="12">
        <v>46027</v>
      </c>
      <c r="M73" s="24">
        <v>0.65</v>
      </c>
      <c r="N73" s="11">
        <v>27</v>
      </c>
      <c r="O73" s="11" t="s">
        <v>34</v>
      </c>
      <c r="P73" s="11" t="s">
        <v>35</v>
      </c>
      <c r="Q73" s="11"/>
      <c r="R73" s="11" t="s">
        <v>36</v>
      </c>
      <c r="S73" s="19">
        <v>50</v>
      </c>
      <c r="T73" s="11" t="s">
        <v>49</v>
      </c>
      <c r="U73" s="11" t="s">
        <v>96</v>
      </c>
      <c r="V73" s="11">
        <v>5</v>
      </c>
      <c r="W73" s="11" t="s">
        <v>89</v>
      </c>
      <c r="X73" s="11" t="s">
        <v>3334</v>
      </c>
      <c r="Y73" s="11" t="s">
        <v>41</v>
      </c>
      <c r="Z73" s="11" t="s">
        <v>53</v>
      </c>
      <c r="AA73" s="11" t="str">
        <f>IF(A73=" ", "Missing Value", " ")</f>
        <v xml:space="preserve"> </v>
      </c>
    </row>
    <row r="74" spans="1:27">
      <c r="A74" s="11" t="s">
        <v>435</v>
      </c>
      <c r="B74" s="11" t="s">
        <v>436</v>
      </c>
      <c r="C74" s="11" t="s">
        <v>56</v>
      </c>
      <c r="D74" s="19">
        <v>81</v>
      </c>
      <c r="E74" s="11" t="s">
        <v>149</v>
      </c>
      <c r="F74" s="11" t="s">
        <v>29</v>
      </c>
      <c r="G74" s="11" t="s">
        <v>93</v>
      </c>
      <c r="H74" s="12">
        <v>46120</v>
      </c>
      <c r="I74" s="12" t="str">
        <f t="shared" si="1"/>
        <v>April</v>
      </c>
      <c r="J74" s="24">
        <v>0.58333333333333337</v>
      </c>
      <c r="K74" s="19">
        <v>6</v>
      </c>
      <c r="L74" s="12">
        <v>46120</v>
      </c>
      <c r="M74" s="24">
        <v>0.83333333333333337</v>
      </c>
      <c r="N74" s="11">
        <v>6</v>
      </c>
      <c r="O74" s="11" t="s">
        <v>68</v>
      </c>
      <c r="P74" s="11" t="s">
        <v>35</v>
      </c>
      <c r="Q74" s="11"/>
      <c r="R74" s="11" t="s">
        <v>36</v>
      </c>
      <c r="S74" s="19">
        <v>40</v>
      </c>
      <c r="T74" s="11" t="s">
        <v>49</v>
      </c>
      <c r="U74" s="11" t="s">
        <v>38</v>
      </c>
      <c r="V74" s="11">
        <v>2</v>
      </c>
      <c r="W74" s="11" t="s">
        <v>89</v>
      </c>
      <c r="X74" s="11" t="s">
        <v>3333</v>
      </c>
      <c r="Y74" s="11" t="s">
        <v>41</v>
      </c>
      <c r="Z74" s="11" t="s">
        <v>71</v>
      </c>
      <c r="AA74" s="11" t="s">
        <v>3234</v>
      </c>
    </row>
    <row r="75" spans="1:27">
      <c r="A75" s="11" t="s">
        <v>440</v>
      </c>
      <c r="B75" s="11" t="s">
        <v>441</v>
      </c>
      <c r="C75" s="11" t="s">
        <v>56</v>
      </c>
      <c r="D75" s="19">
        <v>50</v>
      </c>
      <c r="E75" s="11" t="s">
        <v>57</v>
      </c>
      <c r="F75" s="11" t="s">
        <v>29</v>
      </c>
      <c r="G75" s="11" t="s">
        <v>93</v>
      </c>
      <c r="H75" s="12">
        <v>46116</v>
      </c>
      <c r="I75" s="12" t="str">
        <f t="shared" si="1"/>
        <v>April</v>
      </c>
      <c r="J75" s="24">
        <v>0.50347222222222221</v>
      </c>
      <c r="K75" s="19">
        <v>3</v>
      </c>
      <c r="L75" s="12">
        <v>46116</v>
      </c>
      <c r="M75" s="24">
        <v>0.87847222222222221</v>
      </c>
      <c r="N75" s="11">
        <v>9</v>
      </c>
      <c r="O75" s="11" t="s">
        <v>34</v>
      </c>
      <c r="P75" s="11" t="s">
        <v>270</v>
      </c>
      <c r="Q75" s="11" t="s">
        <v>271</v>
      </c>
      <c r="R75" s="11" t="s">
        <v>36</v>
      </c>
      <c r="S75" s="19">
        <v>15</v>
      </c>
      <c r="T75" s="11" t="s">
        <v>49</v>
      </c>
      <c r="U75" s="11" t="s">
        <v>96</v>
      </c>
      <c r="V75" s="11">
        <v>5</v>
      </c>
      <c r="W75" s="11" t="s">
        <v>62</v>
      </c>
      <c r="X75" s="11" t="s">
        <v>3334</v>
      </c>
      <c r="Y75" s="11" t="s">
        <v>52</v>
      </c>
      <c r="Z75" s="11" t="s">
        <v>53</v>
      </c>
      <c r="AA75" s="11" t="s">
        <v>3254</v>
      </c>
    </row>
    <row r="76" spans="1:27">
      <c r="A76" s="11" t="s">
        <v>444</v>
      </c>
      <c r="B76" s="11" t="s">
        <v>445</v>
      </c>
      <c r="C76" s="11" t="s">
        <v>27</v>
      </c>
      <c r="D76" s="19">
        <v>5</v>
      </c>
      <c r="E76" s="11" t="s">
        <v>92</v>
      </c>
      <c r="F76" s="11" t="s">
        <v>29</v>
      </c>
      <c r="G76" s="11" t="s">
        <v>93</v>
      </c>
      <c r="H76" s="12">
        <v>46052</v>
      </c>
      <c r="I76" s="12" t="str">
        <f t="shared" si="1"/>
        <v>January</v>
      </c>
      <c r="J76" s="24">
        <v>0.32083333333333336</v>
      </c>
      <c r="K76" s="19">
        <v>24</v>
      </c>
      <c r="L76" s="12">
        <v>46053</v>
      </c>
      <c r="M76" s="24">
        <v>0.40416666666666667</v>
      </c>
      <c r="N76" s="11">
        <v>26</v>
      </c>
      <c r="O76" s="11" t="s">
        <v>34</v>
      </c>
      <c r="P76" s="11" t="s">
        <v>35</v>
      </c>
      <c r="Q76" s="11"/>
      <c r="R76" s="11" t="s">
        <v>36</v>
      </c>
      <c r="S76" s="19">
        <v>50</v>
      </c>
      <c r="T76" s="11" t="s">
        <v>49</v>
      </c>
      <c r="U76" s="11" t="s">
        <v>96</v>
      </c>
      <c r="V76" s="11">
        <v>1</v>
      </c>
      <c r="W76" s="11" t="s">
        <v>62</v>
      </c>
      <c r="X76" s="11" t="s">
        <v>51</v>
      </c>
      <c r="Y76" s="11" t="s">
        <v>41</v>
      </c>
      <c r="Z76" s="11" t="s">
        <v>71</v>
      </c>
      <c r="AA76" s="11" t="s">
        <v>3233</v>
      </c>
    </row>
    <row r="77" spans="1:27">
      <c r="A77" s="11" t="s">
        <v>449</v>
      </c>
      <c r="B77" s="11" t="s">
        <v>450</v>
      </c>
      <c r="C77" s="11" t="s">
        <v>27</v>
      </c>
      <c r="D77" s="19">
        <v>39</v>
      </c>
      <c r="E77" s="11" t="s">
        <v>149</v>
      </c>
      <c r="F77" s="11" t="s">
        <v>29</v>
      </c>
      <c r="G77" s="11" t="s">
        <v>83</v>
      </c>
      <c r="H77" s="12">
        <v>46074</v>
      </c>
      <c r="I77" s="12" t="str">
        <f t="shared" si="1"/>
        <v>February</v>
      </c>
      <c r="J77" s="24">
        <v>0.38750000000000001</v>
      </c>
      <c r="K77" s="19">
        <v>6</v>
      </c>
      <c r="L77" s="12">
        <v>46074</v>
      </c>
      <c r="M77" s="24">
        <v>0.97083333333333333</v>
      </c>
      <c r="N77" s="11">
        <v>14</v>
      </c>
      <c r="O77" s="11" t="s">
        <v>34</v>
      </c>
      <c r="P77" s="11" t="s">
        <v>35</v>
      </c>
      <c r="Q77" s="11"/>
      <c r="R77" s="11" t="s">
        <v>36</v>
      </c>
      <c r="S77" s="19">
        <v>40</v>
      </c>
      <c r="T77" s="11" t="s">
        <v>49</v>
      </c>
      <c r="U77" s="11" t="s">
        <v>96</v>
      </c>
      <c r="V77" s="11">
        <v>3</v>
      </c>
      <c r="W77" s="11" t="s">
        <v>39</v>
      </c>
      <c r="X77" s="11" t="s">
        <v>3325</v>
      </c>
      <c r="Y77" s="11" t="s">
        <v>52</v>
      </c>
      <c r="Z77" s="11" t="s">
        <v>53</v>
      </c>
      <c r="AA77" s="11" t="s">
        <v>3234</v>
      </c>
    </row>
    <row r="78" spans="1:27">
      <c r="A78" s="11" t="s">
        <v>454</v>
      </c>
      <c r="B78" s="11" t="s">
        <v>455</v>
      </c>
      <c r="C78" s="11" t="s">
        <v>56</v>
      </c>
      <c r="D78" s="19">
        <v>83</v>
      </c>
      <c r="E78" s="11" t="s">
        <v>28</v>
      </c>
      <c r="F78" s="11" t="s">
        <v>29</v>
      </c>
      <c r="G78" s="11" t="s">
        <v>168</v>
      </c>
      <c r="H78" s="12">
        <v>46151</v>
      </c>
      <c r="I78" s="12" t="str">
        <f t="shared" si="1"/>
        <v>May</v>
      </c>
      <c r="J78" s="24">
        <v>0.69513888888888886</v>
      </c>
      <c r="K78" s="19">
        <v>5</v>
      </c>
      <c r="L78" s="12">
        <v>46152</v>
      </c>
      <c r="M78" s="24">
        <v>0.23680555555555555</v>
      </c>
      <c r="N78" s="11">
        <v>13</v>
      </c>
      <c r="O78" s="11" t="s">
        <v>34</v>
      </c>
      <c r="P78" s="11" t="s">
        <v>35</v>
      </c>
      <c r="Q78" s="11"/>
      <c r="R78" s="11" t="s">
        <v>36</v>
      </c>
      <c r="S78" s="19">
        <v>35</v>
      </c>
      <c r="T78" s="11" t="s">
        <v>37</v>
      </c>
      <c r="U78" s="11" t="s">
        <v>38</v>
      </c>
      <c r="V78" s="11">
        <v>4</v>
      </c>
      <c r="W78" s="11" t="s">
        <v>89</v>
      </c>
      <c r="X78" s="11" t="s">
        <v>51</v>
      </c>
      <c r="Y78" s="11" t="s">
        <v>109</v>
      </c>
      <c r="Z78" s="11" t="s">
        <v>53</v>
      </c>
      <c r="AA78" s="11" t="s">
        <v>3234</v>
      </c>
    </row>
    <row r="79" spans="1:27">
      <c r="A79" s="11" t="s">
        <v>458</v>
      </c>
      <c r="B79" s="11" t="s">
        <v>459</v>
      </c>
      <c r="C79" s="11" t="s">
        <v>56</v>
      </c>
      <c r="D79" s="19">
        <v>4</v>
      </c>
      <c r="E79" s="11" t="s">
        <v>149</v>
      </c>
      <c r="F79" s="11" t="s">
        <v>29</v>
      </c>
      <c r="G79" s="11" t="s">
        <v>168</v>
      </c>
      <c r="H79" s="12">
        <v>46061</v>
      </c>
      <c r="I79" s="12" t="str">
        <f t="shared" si="1"/>
        <v>February</v>
      </c>
      <c r="J79" s="24">
        <v>0.30138888888888887</v>
      </c>
      <c r="K79" s="19">
        <v>6</v>
      </c>
      <c r="L79" s="12">
        <v>46061</v>
      </c>
      <c r="M79" s="24">
        <v>0.71805555555555556</v>
      </c>
      <c r="N79" s="11">
        <v>10</v>
      </c>
      <c r="O79" s="11" t="s">
        <v>34</v>
      </c>
      <c r="P79" s="11" t="s">
        <v>35</v>
      </c>
      <c r="Q79" s="11"/>
      <c r="R79" s="11" t="s">
        <v>36</v>
      </c>
      <c r="S79" s="19">
        <v>40</v>
      </c>
      <c r="T79" s="11" t="s">
        <v>37</v>
      </c>
      <c r="U79" s="11" t="s">
        <v>38</v>
      </c>
      <c r="V79" s="11">
        <v>2</v>
      </c>
      <c r="W79" s="11" t="s">
        <v>62</v>
      </c>
      <c r="X79" s="11" t="s">
        <v>51</v>
      </c>
      <c r="Y79" s="11" t="s">
        <v>41</v>
      </c>
      <c r="Z79" s="11" t="s">
        <v>71</v>
      </c>
      <c r="AA79" s="11" t="s">
        <v>3234</v>
      </c>
    </row>
    <row r="80" spans="1:27">
      <c r="A80" s="11" t="s">
        <v>462</v>
      </c>
      <c r="B80" s="11" t="s">
        <v>463</v>
      </c>
      <c r="C80" s="11" t="s">
        <v>27</v>
      </c>
      <c r="D80" s="19">
        <v>47</v>
      </c>
      <c r="E80" s="11" t="s">
        <v>57</v>
      </c>
      <c r="F80" s="11" t="s">
        <v>29</v>
      </c>
      <c r="G80" s="11" t="s">
        <v>83</v>
      </c>
      <c r="H80" s="12">
        <v>46070</v>
      </c>
      <c r="I80" s="12" t="str">
        <f t="shared" si="1"/>
        <v>February</v>
      </c>
      <c r="J80" s="24">
        <v>0.41180555555555554</v>
      </c>
      <c r="K80" s="19">
        <v>3</v>
      </c>
      <c r="L80" s="12">
        <v>46070</v>
      </c>
      <c r="M80" s="24">
        <v>0.49513888888888891</v>
      </c>
      <c r="N80" s="11">
        <v>2</v>
      </c>
      <c r="O80" s="11" t="s">
        <v>68</v>
      </c>
      <c r="P80" s="11" t="s">
        <v>35</v>
      </c>
      <c r="Q80" s="11"/>
      <c r="R80" s="11" t="s">
        <v>36</v>
      </c>
      <c r="S80" s="19">
        <v>15</v>
      </c>
      <c r="T80" s="11" t="s">
        <v>37</v>
      </c>
      <c r="U80" s="11" t="s">
        <v>164</v>
      </c>
      <c r="V80" s="11">
        <v>2</v>
      </c>
      <c r="W80" s="11" t="s">
        <v>62</v>
      </c>
      <c r="X80" s="11" t="s">
        <v>51</v>
      </c>
      <c r="Y80" s="11" t="s">
        <v>52</v>
      </c>
      <c r="Z80" s="11" t="s">
        <v>53</v>
      </c>
      <c r="AA80" s="11" t="s">
        <v>3234</v>
      </c>
    </row>
    <row r="81" spans="1:27">
      <c r="A81" s="11" t="s">
        <v>467</v>
      </c>
      <c r="B81" s="11" t="s">
        <v>468</v>
      </c>
      <c r="C81" s="11" t="s">
        <v>56</v>
      </c>
      <c r="D81" s="19">
        <v>28</v>
      </c>
      <c r="E81" s="11" t="s">
        <v>92</v>
      </c>
      <c r="F81" s="11" t="s">
        <v>29</v>
      </c>
      <c r="G81" s="11" t="s">
        <v>93</v>
      </c>
      <c r="H81" s="12">
        <v>46060</v>
      </c>
      <c r="I81" s="12" t="str">
        <f t="shared" si="1"/>
        <v>February</v>
      </c>
      <c r="J81" s="24">
        <v>0.35972222222222222</v>
      </c>
      <c r="K81" s="19">
        <v>24</v>
      </c>
      <c r="L81" s="12">
        <v>46061</v>
      </c>
      <c r="M81" s="24">
        <v>0.31805555555555554</v>
      </c>
      <c r="N81" s="11">
        <v>23</v>
      </c>
      <c r="O81" s="11" t="s">
        <v>68</v>
      </c>
      <c r="P81" s="11" t="s">
        <v>35</v>
      </c>
      <c r="Q81" s="11"/>
      <c r="R81" s="11" t="s">
        <v>36</v>
      </c>
      <c r="S81" s="19">
        <v>50</v>
      </c>
      <c r="T81" s="11" t="s">
        <v>49</v>
      </c>
      <c r="U81" s="11" t="s">
        <v>96</v>
      </c>
      <c r="V81" s="11">
        <v>4</v>
      </c>
      <c r="W81" s="11" t="s">
        <v>62</v>
      </c>
      <c r="X81" s="11" t="s">
        <v>3334</v>
      </c>
      <c r="Y81" s="11" t="s">
        <v>52</v>
      </c>
      <c r="Z81" s="11" t="s">
        <v>71</v>
      </c>
      <c r="AA81" s="11" t="s">
        <v>3229</v>
      </c>
    </row>
    <row r="82" spans="1:27">
      <c r="A82" s="11" t="s">
        <v>471</v>
      </c>
      <c r="B82" s="11" t="s">
        <v>472</v>
      </c>
      <c r="C82" s="11" t="s">
        <v>27</v>
      </c>
      <c r="D82" s="19">
        <v>85</v>
      </c>
      <c r="E82" s="11" t="s">
        <v>81</v>
      </c>
      <c r="F82" s="11" t="s">
        <v>82</v>
      </c>
      <c r="G82" s="11" t="s">
        <v>83</v>
      </c>
      <c r="H82" s="12">
        <v>46094</v>
      </c>
      <c r="I82" s="12" t="str">
        <f t="shared" si="1"/>
        <v>March</v>
      </c>
      <c r="J82" s="24">
        <v>0.69374999999999998</v>
      </c>
      <c r="K82" s="19">
        <v>8</v>
      </c>
      <c r="L82" s="12">
        <v>46095</v>
      </c>
      <c r="M82" s="24">
        <v>0.31874999999999998</v>
      </c>
      <c r="N82" s="11">
        <v>15</v>
      </c>
      <c r="O82" s="11" t="s">
        <v>34</v>
      </c>
      <c r="P82" s="11" t="s">
        <v>35</v>
      </c>
      <c r="Q82" s="11"/>
      <c r="R82" s="11" t="s">
        <v>36</v>
      </c>
      <c r="S82" s="19">
        <v>20</v>
      </c>
      <c r="T82" s="11" t="s">
        <v>49</v>
      </c>
      <c r="U82" s="11" t="s">
        <v>38</v>
      </c>
      <c r="V82" s="11">
        <v>3</v>
      </c>
      <c r="W82" s="11" t="s">
        <v>89</v>
      </c>
      <c r="X82" s="11" t="s">
        <v>3334</v>
      </c>
      <c r="Y82" s="11" t="s">
        <v>109</v>
      </c>
      <c r="Z82" s="11" t="s">
        <v>71</v>
      </c>
      <c r="AA82" s="11" t="str">
        <f>IF(A82=" ", "Missing Value", " ")</f>
        <v xml:space="preserve"> </v>
      </c>
    </row>
    <row r="83" spans="1:27">
      <c r="A83" s="11" t="s">
        <v>477</v>
      </c>
      <c r="B83" s="11" t="s">
        <v>478</v>
      </c>
      <c r="C83" s="11" t="s">
        <v>27</v>
      </c>
      <c r="D83" s="19">
        <v>77</v>
      </c>
      <c r="E83" s="11" t="s">
        <v>57</v>
      </c>
      <c r="F83" s="11" t="s">
        <v>29</v>
      </c>
      <c r="G83" s="11" t="s">
        <v>58</v>
      </c>
      <c r="H83" s="12">
        <v>46104</v>
      </c>
      <c r="I83" s="12" t="str">
        <f t="shared" si="1"/>
        <v>March</v>
      </c>
      <c r="J83" s="24">
        <v>0.47083333333333333</v>
      </c>
      <c r="K83" s="19">
        <v>3</v>
      </c>
      <c r="L83" s="12">
        <v>46104</v>
      </c>
      <c r="M83" s="24">
        <v>0.6791666666666667</v>
      </c>
      <c r="N83" s="11">
        <v>5</v>
      </c>
      <c r="O83" s="11" t="s">
        <v>34</v>
      </c>
      <c r="P83" s="11" t="s">
        <v>35</v>
      </c>
      <c r="Q83" s="11"/>
      <c r="R83" s="11" t="s">
        <v>36</v>
      </c>
      <c r="S83" s="19">
        <v>15</v>
      </c>
      <c r="T83" s="11" t="s">
        <v>49</v>
      </c>
      <c r="U83" s="11" t="s">
        <v>38</v>
      </c>
      <c r="V83" s="11">
        <v>1</v>
      </c>
      <c r="W83" s="11" t="s">
        <v>39</v>
      </c>
      <c r="X83" s="11" t="s">
        <v>3325</v>
      </c>
      <c r="Y83" s="11" t="s">
        <v>41</v>
      </c>
      <c r="Z83" s="11" t="s">
        <v>71</v>
      </c>
      <c r="AA83" s="11"/>
    </row>
    <row r="84" spans="1:27">
      <c r="A84" s="11" t="s">
        <v>480</v>
      </c>
      <c r="B84" s="11" t="s">
        <v>481</v>
      </c>
      <c r="C84" s="11" t="s">
        <v>56</v>
      </c>
      <c r="D84" s="19">
        <v>5</v>
      </c>
      <c r="E84" s="11" t="s">
        <v>28</v>
      </c>
      <c r="F84" s="11" t="s">
        <v>29</v>
      </c>
      <c r="G84" s="11" t="s">
        <v>30</v>
      </c>
      <c r="H84" s="12">
        <v>46031</v>
      </c>
      <c r="I84" s="12" t="str">
        <f t="shared" si="1"/>
        <v>January</v>
      </c>
      <c r="J84" s="24">
        <v>0.33680555555555558</v>
      </c>
      <c r="K84" s="19">
        <v>5</v>
      </c>
      <c r="L84" s="12">
        <v>46031</v>
      </c>
      <c r="M84" s="24">
        <v>0.50347222222222221</v>
      </c>
      <c r="N84" s="11">
        <v>4</v>
      </c>
      <c r="O84" s="11" t="s">
        <v>68</v>
      </c>
      <c r="P84" s="11" t="s">
        <v>35</v>
      </c>
      <c r="Q84" s="11"/>
      <c r="R84" s="11" t="s">
        <v>36</v>
      </c>
      <c r="S84" s="19">
        <v>35</v>
      </c>
      <c r="T84" s="11" t="s">
        <v>49</v>
      </c>
      <c r="U84" s="11" t="s">
        <v>164</v>
      </c>
      <c r="V84" s="11">
        <v>2</v>
      </c>
      <c r="W84" s="11" t="s">
        <v>70</v>
      </c>
      <c r="X84" s="11" t="s">
        <v>3333</v>
      </c>
      <c r="Y84" s="11" t="s">
        <v>41</v>
      </c>
      <c r="Z84" s="11" t="s">
        <v>53</v>
      </c>
      <c r="AA84" s="11" t="str">
        <f>IF(A84=" ", "Missing Value", " ")</f>
        <v xml:space="preserve"> </v>
      </c>
    </row>
    <row r="85" spans="1:27">
      <c r="A85" s="11" t="s">
        <v>484</v>
      </c>
      <c r="B85" s="11" t="s">
        <v>485</v>
      </c>
      <c r="C85" s="11" t="s">
        <v>56</v>
      </c>
      <c r="D85" s="19">
        <v>13</v>
      </c>
      <c r="E85" s="11" t="s">
        <v>173</v>
      </c>
      <c r="F85" s="11" t="s">
        <v>29</v>
      </c>
      <c r="G85" s="11" t="s">
        <v>83</v>
      </c>
      <c r="H85" s="12">
        <v>46134</v>
      </c>
      <c r="I85" s="12" t="str">
        <f t="shared" si="1"/>
        <v>April</v>
      </c>
      <c r="J85" s="24">
        <v>0.5131944444444444</v>
      </c>
      <c r="K85" s="19">
        <v>4</v>
      </c>
      <c r="L85" s="12">
        <v>46134</v>
      </c>
      <c r="M85" s="24">
        <v>0.84652777777777777</v>
      </c>
      <c r="N85" s="11">
        <v>8</v>
      </c>
      <c r="O85" s="11" t="s">
        <v>34</v>
      </c>
      <c r="P85" s="11" t="s">
        <v>35</v>
      </c>
      <c r="Q85" s="11"/>
      <c r="R85" s="11" t="s">
        <v>36</v>
      </c>
      <c r="S85" s="19">
        <v>25</v>
      </c>
      <c r="T85" s="11" t="s">
        <v>37</v>
      </c>
      <c r="U85" s="11" t="s">
        <v>96</v>
      </c>
      <c r="V85" s="11">
        <v>4</v>
      </c>
      <c r="W85" s="11" t="s">
        <v>70</v>
      </c>
      <c r="X85" s="11" t="s">
        <v>51</v>
      </c>
      <c r="Y85" s="11" t="s">
        <v>109</v>
      </c>
      <c r="Z85" s="11" t="s">
        <v>42</v>
      </c>
      <c r="AA85" s="11" t="s">
        <v>3234</v>
      </c>
    </row>
    <row r="86" spans="1:27">
      <c r="A86" s="11" t="s">
        <v>488</v>
      </c>
      <c r="B86" s="11" t="s">
        <v>489</v>
      </c>
      <c r="C86" s="11" t="s">
        <v>56</v>
      </c>
      <c r="D86" s="19">
        <v>2</v>
      </c>
      <c r="E86" s="11" t="s">
        <v>92</v>
      </c>
      <c r="F86" s="11" t="s">
        <v>29</v>
      </c>
      <c r="G86" s="11" t="s">
        <v>168</v>
      </c>
      <c r="H86" s="12">
        <v>46084</v>
      </c>
      <c r="I86" s="12" t="str">
        <f t="shared" si="1"/>
        <v>March</v>
      </c>
      <c r="J86" s="24">
        <v>0.39027777777777778</v>
      </c>
      <c r="K86" s="19">
        <v>24</v>
      </c>
      <c r="L86" s="12">
        <v>46085</v>
      </c>
      <c r="M86" s="24">
        <v>0.34861111111111109</v>
      </c>
      <c r="N86" s="11">
        <v>23</v>
      </c>
      <c r="O86" s="11" t="s">
        <v>68</v>
      </c>
      <c r="P86" s="11" t="s">
        <v>35</v>
      </c>
      <c r="Q86" s="11"/>
      <c r="R86" s="11" t="s">
        <v>36</v>
      </c>
      <c r="S86" s="19">
        <v>50</v>
      </c>
      <c r="T86" s="11" t="s">
        <v>49</v>
      </c>
      <c r="U86" s="11" t="s">
        <v>164</v>
      </c>
      <c r="V86" s="11">
        <v>1</v>
      </c>
      <c r="W86" s="11" t="s">
        <v>62</v>
      </c>
      <c r="X86" s="11" t="s">
        <v>51</v>
      </c>
      <c r="Y86" s="11" t="s">
        <v>109</v>
      </c>
      <c r="Z86" s="11" t="s">
        <v>42</v>
      </c>
      <c r="AA86" s="11" t="s">
        <v>3237</v>
      </c>
    </row>
    <row r="87" spans="1:27">
      <c r="A87" s="11" t="s">
        <v>494</v>
      </c>
      <c r="B87" s="11" t="s">
        <v>495</v>
      </c>
      <c r="C87" s="11" t="s">
        <v>56</v>
      </c>
      <c r="D87" s="19">
        <v>69</v>
      </c>
      <c r="E87" s="11" t="s">
        <v>149</v>
      </c>
      <c r="F87" s="11" t="s">
        <v>29</v>
      </c>
      <c r="G87" s="11" t="s">
        <v>83</v>
      </c>
      <c r="H87" s="12">
        <v>46163</v>
      </c>
      <c r="I87" s="12" t="str">
        <f t="shared" si="1"/>
        <v>May</v>
      </c>
      <c r="J87" s="24">
        <v>0.60347222222222219</v>
      </c>
      <c r="K87" s="19">
        <v>6</v>
      </c>
      <c r="L87" s="12">
        <v>46163</v>
      </c>
      <c r="M87" s="24">
        <v>0.93680555555555556</v>
      </c>
      <c r="N87" s="11">
        <v>8</v>
      </c>
      <c r="O87" s="11" t="s">
        <v>34</v>
      </c>
      <c r="P87" s="11" t="s">
        <v>35</v>
      </c>
      <c r="Q87" s="11"/>
      <c r="R87" s="11" t="s">
        <v>36</v>
      </c>
      <c r="S87" s="19">
        <v>40</v>
      </c>
      <c r="T87" s="11" t="s">
        <v>49</v>
      </c>
      <c r="U87" s="11" t="s">
        <v>96</v>
      </c>
      <c r="V87" s="11">
        <v>5</v>
      </c>
      <c r="W87" s="11" t="s">
        <v>70</v>
      </c>
      <c r="X87" s="11" t="s">
        <v>3325</v>
      </c>
      <c r="Y87" s="11" t="s">
        <v>41</v>
      </c>
      <c r="Z87" s="11" t="s">
        <v>53</v>
      </c>
      <c r="AA87" s="11" t="s">
        <v>3234</v>
      </c>
    </row>
    <row r="88" spans="1:27">
      <c r="A88" s="11" t="s">
        <v>498</v>
      </c>
      <c r="B88" s="11" t="s">
        <v>499</v>
      </c>
      <c r="C88" s="11" t="s">
        <v>56</v>
      </c>
      <c r="D88" s="19">
        <v>84</v>
      </c>
      <c r="E88" s="11" t="s">
        <v>92</v>
      </c>
      <c r="F88" s="11" t="s">
        <v>29</v>
      </c>
      <c r="G88" s="11" t="s">
        <v>83</v>
      </c>
      <c r="H88" s="12">
        <v>46133</v>
      </c>
      <c r="I88" s="12" t="str">
        <f t="shared" si="1"/>
        <v>April</v>
      </c>
      <c r="J88" s="24">
        <v>0.30763888888888891</v>
      </c>
      <c r="K88" s="19">
        <v>24</v>
      </c>
      <c r="L88" s="12">
        <v>46134</v>
      </c>
      <c r="M88" s="24">
        <v>0.51597222222222228</v>
      </c>
      <c r="N88" s="11">
        <v>29</v>
      </c>
      <c r="O88" s="11" t="s">
        <v>34</v>
      </c>
      <c r="P88" s="11" t="s">
        <v>35</v>
      </c>
      <c r="Q88" s="11"/>
      <c r="R88" s="11" t="s">
        <v>36</v>
      </c>
      <c r="S88" s="19">
        <v>50</v>
      </c>
      <c r="T88" s="11" t="s">
        <v>49</v>
      </c>
      <c r="U88" s="11" t="s">
        <v>96</v>
      </c>
      <c r="V88" s="11">
        <v>2</v>
      </c>
      <c r="W88" s="11" t="s">
        <v>70</v>
      </c>
      <c r="X88" s="11" t="s">
        <v>3325</v>
      </c>
      <c r="Y88" s="11" t="s">
        <v>109</v>
      </c>
      <c r="Z88" s="11" t="s">
        <v>53</v>
      </c>
      <c r="AA88" s="11" t="s">
        <v>3235</v>
      </c>
    </row>
    <row r="89" spans="1:27">
      <c r="A89" s="11" t="s">
        <v>503</v>
      </c>
      <c r="B89" s="11" t="s">
        <v>504</v>
      </c>
      <c r="C89" s="11" t="s">
        <v>56</v>
      </c>
      <c r="D89" s="19">
        <v>47</v>
      </c>
      <c r="E89" s="11" t="s">
        <v>57</v>
      </c>
      <c r="F89" s="11" t="s">
        <v>29</v>
      </c>
      <c r="G89" s="11" t="s">
        <v>83</v>
      </c>
      <c r="H89" s="12">
        <v>46175</v>
      </c>
      <c r="I89" s="12" t="str">
        <f t="shared" si="1"/>
        <v>June</v>
      </c>
      <c r="J89" s="24">
        <v>0.31527777777777777</v>
      </c>
      <c r="K89" s="19">
        <v>3</v>
      </c>
      <c r="L89" s="12">
        <v>46175</v>
      </c>
      <c r="M89" s="24">
        <v>0.44027777777777777</v>
      </c>
      <c r="N89" s="11">
        <v>3</v>
      </c>
      <c r="O89" s="11" t="s">
        <v>68</v>
      </c>
      <c r="P89" s="11" t="s">
        <v>35</v>
      </c>
      <c r="Q89" s="11"/>
      <c r="R89" s="11" t="s">
        <v>36</v>
      </c>
      <c r="S89" s="19">
        <v>15</v>
      </c>
      <c r="T89" s="11" t="s">
        <v>49</v>
      </c>
      <c r="U89" s="11" t="s">
        <v>96</v>
      </c>
      <c r="V89" s="11">
        <v>2</v>
      </c>
      <c r="W89" s="11" t="s">
        <v>39</v>
      </c>
      <c r="X89" s="11" t="s">
        <v>3325</v>
      </c>
      <c r="Y89" s="11" t="s">
        <v>52</v>
      </c>
      <c r="Z89" s="11" t="s">
        <v>53</v>
      </c>
      <c r="AA89" s="11" t="s">
        <v>3234</v>
      </c>
    </row>
    <row r="90" spans="1:27">
      <c r="A90" s="11" t="s">
        <v>507</v>
      </c>
      <c r="B90" s="11" t="s">
        <v>508</v>
      </c>
      <c r="C90" s="11" t="s">
        <v>56</v>
      </c>
      <c r="D90" s="19">
        <v>9</v>
      </c>
      <c r="E90" s="11" t="s">
        <v>28</v>
      </c>
      <c r="F90" s="11" t="s">
        <v>29</v>
      </c>
      <c r="G90" s="11" t="s">
        <v>83</v>
      </c>
      <c r="H90" s="12">
        <v>46175</v>
      </c>
      <c r="I90" s="12" t="str">
        <f t="shared" si="1"/>
        <v>June</v>
      </c>
      <c r="J90" s="24">
        <v>0.50694444444444442</v>
      </c>
      <c r="K90" s="19">
        <v>5</v>
      </c>
      <c r="L90" s="12">
        <v>46176</v>
      </c>
      <c r="M90" s="24">
        <v>4.8611111111111112E-2</v>
      </c>
      <c r="N90" s="11">
        <v>13</v>
      </c>
      <c r="O90" s="11" t="s">
        <v>34</v>
      </c>
      <c r="P90" s="11" t="s">
        <v>35</v>
      </c>
      <c r="Q90" s="11"/>
      <c r="R90" s="11" t="s">
        <v>36</v>
      </c>
      <c r="S90" s="19">
        <v>35</v>
      </c>
      <c r="T90" s="11" t="s">
        <v>49</v>
      </c>
      <c r="U90" s="11" t="s">
        <v>96</v>
      </c>
      <c r="V90" s="11">
        <v>1</v>
      </c>
      <c r="W90" s="11" t="s">
        <v>62</v>
      </c>
      <c r="X90" s="11" t="s">
        <v>3325</v>
      </c>
      <c r="Y90" s="11" t="s">
        <v>52</v>
      </c>
      <c r="Z90" s="11" t="s">
        <v>42</v>
      </c>
      <c r="AA90" s="11" t="s">
        <v>3234</v>
      </c>
    </row>
    <row r="91" spans="1:27">
      <c r="A91" s="11" t="s">
        <v>511</v>
      </c>
      <c r="B91" s="11" t="s">
        <v>512</v>
      </c>
      <c r="C91" s="11" t="s">
        <v>27</v>
      </c>
      <c r="D91" s="19">
        <v>2</v>
      </c>
      <c r="E91" s="11" t="s">
        <v>173</v>
      </c>
      <c r="F91" s="11" t="s">
        <v>29</v>
      </c>
      <c r="G91" s="11" t="s">
        <v>30</v>
      </c>
      <c r="H91" s="12">
        <v>46196</v>
      </c>
      <c r="I91" s="12" t="str">
        <f t="shared" si="1"/>
        <v>June</v>
      </c>
      <c r="J91" s="24">
        <v>0.42083333333333334</v>
      </c>
      <c r="K91" s="19">
        <v>4</v>
      </c>
      <c r="L91" s="12">
        <v>46196</v>
      </c>
      <c r="M91" s="24">
        <v>0.79583333333333328</v>
      </c>
      <c r="N91" s="11">
        <v>9</v>
      </c>
      <c r="O91" s="11" t="s">
        <v>34</v>
      </c>
      <c r="P91" s="11" t="s">
        <v>35</v>
      </c>
      <c r="Q91" s="11"/>
      <c r="R91" s="11" t="s">
        <v>36</v>
      </c>
      <c r="S91" s="19">
        <v>25</v>
      </c>
      <c r="T91" s="11" t="s">
        <v>37</v>
      </c>
      <c r="U91" s="11" t="s">
        <v>164</v>
      </c>
      <c r="V91" s="11">
        <v>2</v>
      </c>
      <c r="W91" s="11" t="s">
        <v>70</v>
      </c>
      <c r="X91" s="11" t="s">
        <v>3334</v>
      </c>
      <c r="Y91" s="11" t="s">
        <v>52</v>
      </c>
      <c r="Z91" s="11" t="s">
        <v>71</v>
      </c>
      <c r="AA91" s="11" t="s">
        <v>3234</v>
      </c>
    </row>
    <row r="92" spans="1:27">
      <c r="A92" s="11" t="s">
        <v>516</v>
      </c>
      <c r="B92" s="11" t="s">
        <v>517</v>
      </c>
      <c r="C92" s="11" t="s">
        <v>27</v>
      </c>
      <c r="D92" s="19">
        <v>87</v>
      </c>
      <c r="E92" s="11" t="s">
        <v>57</v>
      </c>
      <c r="F92" s="11" t="s">
        <v>29</v>
      </c>
      <c r="G92" s="11" t="s">
        <v>168</v>
      </c>
      <c r="H92" s="12">
        <v>46059</v>
      </c>
      <c r="I92" s="12" t="str">
        <f t="shared" si="1"/>
        <v>February</v>
      </c>
      <c r="J92" s="24">
        <v>0.66388888888888886</v>
      </c>
      <c r="K92" s="19">
        <v>3</v>
      </c>
      <c r="L92" s="12">
        <v>46059</v>
      </c>
      <c r="M92" s="24">
        <v>0.8305555555555556</v>
      </c>
      <c r="N92" s="11">
        <v>4</v>
      </c>
      <c r="O92" s="11" t="s">
        <v>34</v>
      </c>
      <c r="P92" s="11" t="s">
        <v>35</v>
      </c>
      <c r="Q92" s="11"/>
      <c r="R92" s="11" t="s">
        <v>36</v>
      </c>
      <c r="S92" s="19">
        <v>15</v>
      </c>
      <c r="T92" s="11" t="s">
        <v>37</v>
      </c>
      <c r="U92" s="11" t="s">
        <v>38</v>
      </c>
      <c r="V92" s="11">
        <v>3</v>
      </c>
      <c r="W92" s="11" t="s">
        <v>39</v>
      </c>
      <c r="X92" s="11" t="s">
        <v>3325</v>
      </c>
      <c r="Y92" s="11" t="s">
        <v>41</v>
      </c>
      <c r="Z92" s="11" t="s">
        <v>53</v>
      </c>
      <c r="AA92" s="11" t="s">
        <v>3234</v>
      </c>
    </row>
    <row r="93" spans="1:27">
      <c r="A93" s="11" t="s">
        <v>520</v>
      </c>
      <c r="B93" s="11" t="s">
        <v>521</v>
      </c>
      <c r="C93" s="11" t="s">
        <v>56</v>
      </c>
      <c r="D93" s="19">
        <v>58</v>
      </c>
      <c r="E93" s="11" t="s">
        <v>28</v>
      </c>
      <c r="F93" s="11" t="s">
        <v>29</v>
      </c>
      <c r="G93" s="11" t="s">
        <v>168</v>
      </c>
      <c r="H93" s="12">
        <v>46192</v>
      </c>
      <c r="I93" s="12" t="str">
        <f t="shared" si="1"/>
        <v>June</v>
      </c>
      <c r="J93" s="24">
        <v>0.53333333333333333</v>
      </c>
      <c r="K93" s="19">
        <v>5</v>
      </c>
      <c r="L93" s="12">
        <v>46192</v>
      </c>
      <c r="M93" s="24">
        <v>0.8666666666666667</v>
      </c>
      <c r="N93" s="11">
        <v>8</v>
      </c>
      <c r="O93" s="11" t="s">
        <v>34</v>
      </c>
      <c r="P93" s="11" t="s">
        <v>35</v>
      </c>
      <c r="Q93" s="11"/>
      <c r="R93" s="11" t="s">
        <v>36</v>
      </c>
      <c r="S93" s="19">
        <v>35</v>
      </c>
      <c r="T93" s="11" t="s">
        <v>49</v>
      </c>
      <c r="U93" s="11" t="s">
        <v>96</v>
      </c>
      <c r="V93" s="11">
        <v>4</v>
      </c>
      <c r="W93" s="11" t="s">
        <v>70</v>
      </c>
      <c r="X93" s="11" t="s">
        <v>3333</v>
      </c>
      <c r="Y93" s="11" t="s">
        <v>41</v>
      </c>
      <c r="Z93" s="11" t="s">
        <v>53</v>
      </c>
      <c r="AA93" s="11" t="s">
        <v>3234</v>
      </c>
    </row>
    <row r="94" spans="1:27">
      <c r="A94" s="11" t="s">
        <v>524</v>
      </c>
      <c r="B94" s="11" t="s">
        <v>525</v>
      </c>
      <c r="C94" s="11" t="s">
        <v>27</v>
      </c>
      <c r="D94" s="19">
        <v>68</v>
      </c>
      <c r="E94" s="11" t="s">
        <v>81</v>
      </c>
      <c r="F94" s="11" t="s">
        <v>82</v>
      </c>
      <c r="G94" s="11" t="s">
        <v>58</v>
      </c>
      <c r="H94" s="12">
        <v>46076</v>
      </c>
      <c r="I94" s="12" t="str">
        <f t="shared" si="1"/>
        <v>February</v>
      </c>
      <c r="J94" s="24">
        <v>0.42777777777777776</v>
      </c>
      <c r="K94" s="19">
        <v>8</v>
      </c>
      <c r="L94" s="12">
        <v>46076</v>
      </c>
      <c r="M94" s="24">
        <v>0.88611111111111107</v>
      </c>
      <c r="N94" s="11">
        <v>11</v>
      </c>
      <c r="O94" s="11" t="s">
        <v>34</v>
      </c>
      <c r="P94" s="11" t="s">
        <v>35</v>
      </c>
      <c r="Q94" s="11"/>
      <c r="R94" s="11" t="s">
        <v>36</v>
      </c>
      <c r="S94" s="19">
        <v>20</v>
      </c>
      <c r="T94" s="11" t="s">
        <v>49</v>
      </c>
      <c r="U94" s="11" t="s">
        <v>38</v>
      </c>
      <c r="V94" s="11">
        <v>1</v>
      </c>
      <c r="W94" s="11" t="s">
        <v>89</v>
      </c>
      <c r="X94" s="11" t="s">
        <v>3325</v>
      </c>
      <c r="Y94" s="11" t="s">
        <v>109</v>
      </c>
      <c r="Z94" s="11" t="s">
        <v>53</v>
      </c>
      <c r="AA94" s="11" t="s">
        <v>3234</v>
      </c>
    </row>
    <row r="95" spans="1:27">
      <c r="A95" s="11" t="s">
        <v>529</v>
      </c>
      <c r="B95" s="11" t="s">
        <v>530</v>
      </c>
      <c r="C95" s="11" t="s">
        <v>56</v>
      </c>
      <c r="D95" s="19">
        <v>89</v>
      </c>
      <c r="E95" s="11" t="s">
        <v>57</v>
      </c>
      <c r="F95" s="11" t="s">
        <v>29</v>
      </c>
      <c r="G95" s="11" t="s">
        <v>58</v>
      </c>
      <c r="H95" s="12">
        <v>46153</v>
      </c>
      <c r="I95" s="12" t="str">
        <f t="shared" si="1"/>
        <v>May</v>
      </c>
      <c r="J95" s="24">
        <v>0.47847222222222224</v>
      </c>
      <c r="K95" s="19">
        <v>3</v>
      </c>
      <c r="L95" s="12">
        <v>46153</v>
      </c>
      <c r="M95" s="24">
        <v>0.81180555555555556</v>
      </c>
      <c r="N95" s="11">
        <v>8</v>
      </c>
      <c r="O95" s="11" t="s">
        <v>34</v>
      </c>
      <c r="P95" s="11" t="s">
        <v>35</v>
      </c>
      <c r="Q95" s="11"/>
      <c r="R95" s="11" t="s">
        <v>36</v>
      </c>
      <c r="S95" s="19">
        <v>15</v>
      </c>
      <c r="T95" s="11" t="s">
        <v>49</v>
      </c>
      <c r="U95" s="11" t="s">
        <v>164</v>
      </c>
      <c r="V95" s="11">
        <v>3</v>
      </c>
      <c r="W95" s="11" t="s">
        <v>89</v>
      </c>
      <c r="X95" s="11" t="s">
        <v>3334</v>
      </c>
      <c r="Y95" s="11" t="s">
        <v>109</v>
      </c>
      <c r="Z95" s="11" t="s">
        <v>53</v>
      </c>
      <c r="AA95" s="11"/>
    </row>
    <row r="96" spans="1:27">
      <c r="A96" s="11" t="s">
        <v>533</v>
      </c>
      <c r="B96" s="11" t="s">
        <v>534</v>
      </c>
      <c r="C96" s="11" t="s">
        <v>27</v>
      </c>
      <c r="D96" s="19">
        <v>41</v>
      </c>
      <c r="E96" s="11" t="s">
        <v>81</v>
      </c>
      <c r="F96" s="11" t="s">
        <v>82</v>
      </c>
      <c r="G96" s="11" t="s">
        <v>30</v>
      </c>
      <c r="H96" s="12">
        <v>46132</v>
      </c>
      <c r="I96" s="12" t="str">
        <f t="shared" si="1"/>
        <v>April</v>
      </c>
      <c r="J96" s="24">
        <v>0.46388888888888891</v>
      </c>
      <c r="K96" s="19">
        <v>8</v>
      </c>
      <c r="L96" s="12">
        <v>46132</v>
      </c>
      <c r="M96" s="24">
        <v>0.79722222222222228</v>
      </c>
      <c r="N96" s="11">
        <v>8</v>
      </c>
      <c r="O96" s="11" t="s">
        <v>68</v>
      </c>
      <c r="P96" s="11" t="s">
        <v>35</v>
      </c>
      <c r="Q96" s="11"/>
      <c r="R96" s="11" t="s">
        <v>36</v>
      </c>
      <c r="S96" s="19">
        <v>20</v>
      </c>
      <c r="T96" s="11" t="s">
        <v>37</v>
      </c>
      <c r="U96" s="11" t="s">
        <v>96</v>
      </c>
      <c r="V96" s="11">
        <v>2</v>
      </c>
      <c r="W96" s="11" t="s">
        <v>70</v>
      </c>
      <c r="X96" s="11" t="s">
        <v>3325</v>
      </c>
      <c r="Y96" s="11" t="s">
        <v>41</v>
      </c>
      <c r="Z96" s="11" t="s">
        <v>42</v>
      </c>
      <c r="AA96" s="11" t="s">
        <v>3234</v>
      </c>
    </row>
    <row r="97" spans="1:27">
      <c r="A97" s="11" t="s">
        <v>535</v>
      </c>
      <c r="B97" s="11" t="s">
        <v>536</v>
      </c>
      <c r="C97" s="11" t="s">
        <v>27</v>
      </c>
      <c r="D97" s="19">
        <v>88</v>
      </c>
      <c r="E97" s="11" t="s">
        <v>92</v>
      </c>
      <c r="F97" s="11" t="s">
        <v>29</v>
      </c>
      <c r="G97" s="11" t="s">
        <v>93</v>
      </c>
      <c r="H97" s="12">
        <v>46199</v>
      </c>
      <c r="I97" s="12" t="str">
        <f t="shared" si="1"/>
        <v>June</v>
      </c>
      <c r="J97" s="24">
        <v>0.59861111111111109</v>
      </c>
      <c r="K97" s="19">
        <v>24</v>
      </c>
      <c r="L97" s="12">
        <v>46200</v>
      </c>
      <c r="M97" s="24">
        <v>0.72361111111111109</v>
      </c>
      <c r="N97" s="11">
        <v>27</v>
      </c>
      <c r="O97" s="11" t="s">
        <v>34</v>
      </c>
      <c r="P97" s="11" t="s">
        <v>35</v>
      </c>
      <c r="Q97" s="11"/>
      <c r="R97" s="11" t="s">
        <v>36</v>
      </c>
      <c r="S97" s="19">
        <v>50</v>
      </c>
      <c r="T97" s="11" t="s">
        <v>37</v>
      </c>
      <c r="U97" s="11" t="s">
        <v>96</v>
      </c>
      <c r="V97" s="11">
        <v>4</v>
      </c>
      <c r="W97" s="11" t="s">
        <v>62</v>
      </c>
      <c r="X97" s="11" t="s">
        <v>3333</v>
      </c>
      <c r="Y97" s="11" t="s">
        <v>52</v>
      </c>
      <c r="Z97" s="11" t="s">
        <v>42</v>
      </c>
      <c r="AA97" s="11" t="str">
        <f>IF(A97=" ", "Missing Value", " ")</f>
        <v xml:space="preserve"> </v>
      </c>
    </row>
    <row r="98" spans="1:27">
      <c r="A98" s="11" t="s">
        <v>540</v>
      </c>
      <c r="B98" s="11" t="s">
        <v>541</v>
      </c>
      <c r="C98" s="11" t="s">
        <v>27</v>
      </c>
      <c r="D98" s="19">
        <v>74</v>
      </c>
      <c r="E98" s="11" t="s">
        <v>81</v>
      </c>
      <c r="F98" s="11" t="s">
        <v>82</v>
      </c>
      <c r="G98" s="11" t="s">
        <v>83</v>
      </c>
      <c r="H98" s="12">
        <v>46107</v>
      </c>
      <c r="I98" s="12" t="str">
        <f t="shared" si="1"/>
        <v>March</v>
      </c>
      <c r="J98" s="24">
        <v>0.67083333333333328</v>
      </c>
      <c r="K98" s="19">
        <v>8</v>
      </c>
      <c r="L98" s="12">
        <v>46108</v>
      </c>
      <c r="M98" s="24">
        <v>0.21249999999999999</v>
      </c>
      <c r="N98" s="11">
        <v>13</v>
      </c>
      <c r="O98" s="11" t="s">
        <v>34</v>
      </c>
      <c r="P98" s="11" t="s">
        <v>35</v>
      </c>
      <c r="Q98" s="11"/>
      <c r="R98" s="11" t="s">
        <v>36</v>
      </c>
      <c r="S98" s="19">
        <v>20</v>
      </c>
      <c r="T98" s="11" t="s">
        <v>37</v>
      </c>
      <c r="U98" s="11" t="s">
        <v>164</v>
      </c>
      <c r="V98" s="11">
        <v>5</v>
      </c>
      <c r="W98" s="11" t="s">
        <v>62</v>
      </c>
      <c r="X98" s="11" t="s">
        <v>3333</v>
      </c>
      <c r="Y98" s="11" t="s">
        <v>41</v>
      </c>
      <c r="Z98" s="11" t="s">
        <v>71</v>
      </c>
      <c r="AA98" s="11" t="str">
        <f>IF(A98=" ", "Missing Value", " ")</f>
        <v xml:space="preserve"> </v>
      </c>
    </row>
    <row r="99" spans="1:27">
      <c r="A99" s="11" t="s">
        <v>546</v>
      </c>
      <c r="B99" s="11" t="s">
        <v>547</v>
      </c>
      <c r="C99" s="11" t="s">
        <v>56</v>
      </c>
      <c r="D99" s="19">
        <v>49</v>
      </c>
      <c r="E99" s="11" t="s">
        <v>149</v>
      </c>
      <c r="F99" s="11" t="s">
        <v>29</v>
      </c>
      <c r="G99" s="11" t="s">
        <v>168</v>
      </c>
      <c r="H99" s="12">
        <v>46190</v>
      </c>
      <c r="I99" s="12" t="str">
        <f t="shared" si="1"/>
        <v>June</v>
      </c>
      <c r="J99" s="24">
        <v>0.49513888888888891</v>
      </c>
      <c r="K99" s="19">
        <v>6</v>
      </c>
      <c r="L99" s="12">
        <v>46190</v>
      </c>
      <c r="M99" s="24">
        <v>0.91180555555555554</v>
      </c>
      <c r="N99" s="11">
        <v>10</v>
      </c>
      <c r="O99" s="11" t="s">
        <v>34</v>
      </c>
      <c r="P99" s="11" t="s">
        <v>35</v>
      </c>
      <c r="Q99" s="11"/>
      <c r="R99" s="11" t="s">
        <v>36</v>
      </c>
      <c r="S99" s="19">
        <v>40</v>
      </c>
      <c r="T99" s="11" t="s">
        <v>37</v>
      </c>
      <c r="U99" s="11" t="s">
        <v>38</v>
      </c>
      <c r="V99" s="11">
        <v>1</v>
      </c>
      <c r="W99" s="11" t="s">
        <v>62</v>
      </c>
      <c r="X99" s="11" t="s">
        <v>3325</v>
      </c>
      <c r="Y99" s="11" t="s">
        <v>109</v>
      </c>
      <c r="Z99" s="11" t="s">
        <v>71</v>
      </c>
      <c r="AA99" s="11" t="s">
        <v>3234</v>
      </c>
    </row>
    <row r="100" spans="1:27">
      <c r="A100" s="11" t="s">
        <v>549</v>
      </c>
      <c r="B100" s="11" t="s">
        <v>550</v>
      </c>
      <c r="C100" s="11" t="s">
        <v>56</v>
      </c>
      <c r="D100" s="19">
        <v>52</v>
      </c>
      <c r="E100" s="11" t="s">
        <v>28</v>
      </c>
      <c r="F100" s="11" t="s">
        <v>29</v>
      </c>
      <c r="G100" s="11" t="s">
        <v>93</v>
      </c>
      <c r="H100" s="12">
        <v>46062</v>
      </c>
      <c r="I100" s="12" t="str">
        <f t="shared" si="1"/>
        <v>February</v>
      </c>
      <c r="J100" s="24">
        <v>0.54652777777777772</v>
      </c>
      <c r="K100" s="19">
        <v>5</v>
      </c>
      <c r="L100" s="12">
        <v>46063</v>
      </c>
      <c r="M100" s="24">
        <v>4.6527777777777779E-2</v>
      </c>
      <c r="N100" s="11">
        <v>12</v>
      </c>
      <c r="O100" s="11" t="s">
        <v>34</v>
      </c>
      <c r="P100" s="11" t="s">
        <v>35</v>
      </c>
      <c r="Q100" s="11"/>
      <c r="R100" s="11" t="s">
        <v>36</v>
      </c>
      <c r="S100" s="19">
        <v>35</v>
      </c>
      <c r="T100" s="11" t="s">
        <v>49</v>
      </c>
      <c r="U100" s="11" t="s">
        <v>164</v>
      </c>
      <c r="V100" s="11">
        <v>5</v>
      </c>
      <c r="W100" s="11" t="s">
        <v>62</v>
      </c>
      <c r="X100" s="11" t="s">
        <v>51</v>
      </c>
      <c r="Y100" s="11" t="s">
        <v>41</v>
      </c>
      <c r="Z100" s="11" t="s">
        <v>42</v>
      </c>
      <c r="AA100" s="11" t="s">
        <v>3234</v>
      </c>
    </row>
    <row r="101" spans="1:27">
      <c r="A101" s="11" t="s">
        <v>553</v>
      </c>
      <c r="B101" s="11" t="s">
        <v>554</v>
      </c>
      <c r="C101" s="11" t="s">
        <v>56</v>
      </c>
      <c r="D101" s="19">
        <v>28</v>
      </c>
      <c r="E101" s="11" t="s">
        <v>92</v>
      </c>
      <c r="F101" s="11" t="s">
        <v>29</v>
      </c>
      <c r="G101" s="11" t="s">
        <v>93</v>
      </c>
      <c r="H101" s="12">
        <v>46117</v>
      </c>
      <c r="I101" s="12" t="str">
        <f t="shared" si="1"/>
        <v>April</v>
      </c>
      <c r="J101" s="24">
        <v>0.40555555555555556</v>
      </c>
      <c r="K101" s="19">
        <v>24</v>
      </c>
      <c r="L101" s="12">
        <v>46118</v>
      </c>
      <c r="M101" s="24">
        <v>0.69722222222222219</v>
      </c>
      <c r="N101" s="11">
        <v>31</v>
      </c>
      <c r="O101" s="11" t="s">
        <v>34</v>
      </c>
      <c r="P101" s="11" t="s">
        <v>35</v>
      </c>
      <c r="Q101" s="11"/>
      <c r="R101" s="11" t="s">
        <v>36</v>
      </c>
      <c r="S101" s="19">
        <v>50</v>
      </c>
      <c r="T101" s="11" t="s">
        <v>37</v>
      </c>
      <c r="U101" s="11" t="s">
        <v>96</v>
      </c>
      <c r="V101" s="11">
        <v>2</v>
      </c>
      <c r="W101" s="11" t="s">
        <v>70</v>
      </c>
      <c r="X101" s="11" t="s">
        <v>3325</v>
      </c>
      <c r="Y101" s="11" t="s">
        <v>52</v>
      </c>
      <c r="Z101" s="11" t="s">
        <v>42</v>
      </c>
      <c r="AA101" s="11" t="s">
        <v>3229</v>
      </c>
    </row>
    <row r="102" spans="1:27">
      <c r="A102" s="11" t="s">
        <v>558</v>
      </c>
      <c r="B102" s="11" t="s">
        <v>559</v>
      </c>
      <c r="C102" s="11" t="s">
        <v>27</v>
      </c>
      <c r="D102" s="19">
        <v>28</v>
      </c>
      <c r="E102" s="11" t="s">
        <v>28</v>
      </c>
      <c r="F102" s="11" t="s">
        <v>29</v>
      </c>
      <c r="G102" s="11" t="s">
        <v>168</v>
      </c>
      <c r="H102" s="12">
        <v>46177</v>
      </c>
      <c r="I102" s="12" t="str">
        <f t="shared" si="1"/>
        <v>June</v>
      </c>
      <c r="J102" s="24">
        <v>0.43611111111111112</v>
      </c>
      <c r="K102" s="19">
        <v>5</v>
      </c>
      <c r="L102" s="12">
        <v>46177</v>
      </c>
      <c r="M102" s="24">
        <v>0.81111111111111112</v>
      </c>
      <c r="N102" s="11">
        <v>9</v>
      </c>
      <c r="O102" s="11" t="s">
        <v>34</v>
      </c>
      <c r="P102" s="11" t="s">
        <v>35</v>
      </c>
      <c r="Q102" s="11"/>
      <c r="R102" s="11" t="s">
        <v>36</v>
      </c>
      <c r="S102" s="19">
        <v>35</v>
      </c>
      <c r="T102" s="11" t="s">
        <v>49</v>
      </c>
      <c r="U102" s="11" t="s">
        <v>164</v>
      </c>
      <c r="V102" s="11">
        <v>5</v>
      </c>
      <c r="W102" s="11" t="s">
        <v>62</v>
      </c>
      <c r="X102" s="11" t="s">
        <v>3333</v>
      </c>
      <c r="Y102" s="11" t="s">
        <v>109</v>
      </c>
      <c r="Z102" s="11" t="s">
        <v>42</v>
      </c>
      <c r="AA102" s="11" t="s">
        <v>3234</v>
      </c>
    </row>
    <row r="103" spans="1:27">
      <c r="A103" s="11" t="s">
        <v>563</v>
      </c>
      <c r="B103" s="11" t="s">
        <v>564</v>
      </c>
      <c r="C103" s="11" t="s">
        <v>56</v>
      </c>
      <c r="D103" s="19">
        <v>79</v>
      </c>
      <c r="E103" s="11" t="s">
        <v>173</v>
      </c>
      <c r="F103" s="11" t="s">
        <v>29</v>
      </c>
      <c r="G103" s="11" t="s">
        <v>93</v>
      </c>
      <c r="H103" s="12">
        <v>46126</v>
      </c>
      <c r="I103" s="12" t="str">
        <f t="shared" si="1"/>
        <v>April</v>
      </c>
      <c r="J103" s="24">
        <v>0.59513888888888888</v>
      </c>
      <c r="K103" s="19">
        <v>4</v>
      </c>
      <c r="L103" s="12">
        <v>46126</v>
      </c>
      <c r="M103" s="24">
        <v>0.84513888888888888</v>
      </c>
      <c r="N103" s="11">
        <v>6</v>
      </c>
      <c r="O103" s="11" t="s">
        <v>34</v>
      </c>
      <c r="P103" s="11" t="s">
        <v>35</v>
      </c>
      <c r="Q103" s="11"/>
      <c r="R103" s="11" t="s">
        <v>36</v>
      </c>
      <c r="S103" s="19">
        <v>25</v>
      </c>
      <c r="T103" s="11" t="s">
        <v>49</v>
      </c>
      <c r="U103" s="11" t="s">
        <v>38</v>
      </c>
      <c r="V103" s="11">
        <v>5</v>
      </c>
      <c r="W103" s="11" t="s">
        <v>62</v>
      </c>
      <c r="X103" s="11" t="s">
        <v>3333</v>
      </c>
      <c r="Y103" s="11" t="s">
        <v>41</v>
      </c>
      <c r="Z103" s="11" t="s">
        <v>42</v>
      </c>
      <c r="AA103" s="11" t="s">
        <v>3234</v>
      </c>
    </row>
    <row r="104" spans="1:27">
      <c r="A104" s="11" t="s">
        <v>566</v>
      </c>
      <c r="B104" s="11" t="s">
        <v>567</v>
      </c>
      <c r="C104" s="11" t="s">
        <v>56</v>
      </c>
      <c r="D104" s="19">
        <v>22</v>
      </c>
      <c r="E104" s="11" t="s">
        <v>57</v>
      </c>
      <c r="F104" s="11" t="s">
        <v>29</v>
      </c>
      <c r="G104" s="11" t="s">
        <v>58</v>
      </c>
      <c r="H104" s="12">
        <v>46116</v>
      </c>
      <c r="I104" s="12" t="str">
        <f t="shared" si="1"/>
        <v>April</v>
      </c>
      <c r="J104" s="24">
        <v>0.62986111111111109</v>
      </c>
      <c r="K104" s="19">
        <v>3</v>
      </c>
      <c r="L104" s="12">
        <v>46116</v>
      </c>
      <c r="M104" s="24">
        <v>0.92152777777777772</v>
      </c>
      <c r="N104" s="11">
        <v>7</v>
      </c>
      <c r="O104" s="11" t="s">
        <v>34</v>
      </c>
      <c r="P104" s="11" t="s">
        <v>35</v>
      </c>
      <c r="Q104" s="11"/>
      <c r="R104" s="11" t="s">
        <v>36</v>
      </c>
      <c r="S104" s="19">
        <v>15</v>
      </c>
      <c r="T104" s="11" t="s">
        <v>37</v>
      </c>
      <c r="U104" s="11" t="s">
        <v>164</v>
      </c>
      <c r="V104" s="11">
        <v>4</v>
      </c>
      <c r="W104" s="11" t="s">
        <v>89</v>
      </c>
      <c r="X104" s="11" t="s">
        <v>51</v>
      </c>
      <c r="Y104" s="11" t="s">
        <v>41</v>
      </c>
      <c r="Z104" s="11" t="s">
        <v>42</v>
      </c>
      <c r="AA104" s="11"/>
    </row>
    <row r="105" spans="1:27">
      <c r="A105" s="11" t="s">
        <v>570</v>
      </c>
      <c r="B105" s="11" t="s">
        <v>571</v>
      </c>
      <c r="C105" s="11" t="s">
        <v>56</v>
      </c>
      <c r="D105" s="19">
        <v>83</v>
      </c>
      <c r="E105" s="11" t="s">
        <v>173</v>
      </c>
      <c r="F105" s="11" t="s">
        <v>29</v>
      </c>
      <c r="G105" s="11" t="s">
        <v>58</v>
      </c>
      <c r="H105" s="12">
        <v>46189</v>
      </c>
      <c r="I105" s="12" t="str">
        <f t="shared" si="1"/>
        <v>June</v>
      </c>
      <c r="J105" s="24">
        <v>0.30069444444444443</v>
      </c>
      <c r="K105" s="19">
        <v>4</v>
      </c>
      <c r="L105" s="12">
        <v>46189</v>
      </c>
      <c r="M105" s="24">
        <v>0.80069444444444449</v>
      </c>
      <c r="N105" s="11">
        <v>12</v>
      </c>
      <c r="O105" s="11" t="s">
        <v>34</v>
      </c>
      <c r="P105" s="11" t="s">
        <v>35</v>
      </c>
      <c r="Q105" s="11"/>
      <c r="R105" s="11" t="s">
        <v>36</v>
      </c>
      <c r="S105" s="19">
        <v>25</v>
      </c>
      <c r="T105" s="11" t="s">
        <v>49</v>
      </c>
      <c r="U105" s="11" t="s">
        <v>164</v>
      </c>
      <c r="V105" s="11">
        <v>4</v>
      </c>
      <c r="W105" s="11" t="s">
        <v>62</v>
      </c>
      <c r="X105" s="11" t="s">
        <v>3325</v>
      </c>
      <c r="Y105" s="11" t="s">
        <v>41</v>
      </c>
      <c r="Z105" s="11" t="s">
        <v>42</v>
      </c>
      <c r="AA105" s="11" t="s">
        <v>3234</v>
      </c>
    </row>
    <row r="106" spans="1:27">
      <c r="A106" s="11" t="s">
        <v>575</v>
      </c>
      <c r="B106" s="11" t="s">
        <v>576</v>
      </c>
      <c r="C106" s="11" t="s">
        <v>27</v>
      </c>
      <c r="D106" s="19">
        <v>70</v>
      </c>
      <c r="E106" s="11" t="s">
        <v>92</v>
      </c>
      <c r="F106" s="11" t="s">
        <v>29</v>
      </c>
      <c r="G106" s="11" t="s">
        <v>93</v>
      </c>
      <c r="H106" s="12">
        <v>46092</v>
      </c>
      <c r="I106" s="12" t="str">
        <f t="shared" si="1"/>
        <v>March</v>
      </c>
      <c r="J106" s="24">
        <v>0.68541666666666667</v>
      </c>
      <c r="K106" s="19">
        <v>24</v>
      </c>
      <c r="L106" s="12">
        <v>46094</v>
      </c>
      <c r="M106" s="24">
        <v>1.8749999999999999E-2</v>
      </c>
      <c r="N106" s="11">
        <v>32</v>
      </c>
      <c r="O106" s="11" t="s">
        <v>34</v>
      </c>
      <c r="P106" s="11" t="s">
        <v>35</v>
      </c>
      <c r="Q106" s="11"/>
      <c r="R106" s="11" t="s">
        <v>36</v>
      </c>
      <c r="S106" s="19">
        <v>50</v>
      </c>
      <c r="T106" s="11" t="s">
        <v>49</v>
      </c>
      <c r="U106" s="11" t="s">
        <v>164</v>
      </c>
      <c r="V106" s="11">
        <v>1</v>
      </c>
      <c r="W106" s="11" t="s">
        <v>62</v>
      </c>
      <c r="X106" s="11" t="s">
        <v>3334</v>
      </c>
      <c r="Y106" s="11" t="s">
        <v>52</v>
      </c>
      <c r="Z106" s="11" t="s">
        <v>42</v>
      </c>
      <c r="AA106" s="11" t="str">
        <f>IF(A106=" ", "Missing Value", " ")</f>
        <v xml:space="preserve"> </v>
      </c>
    </row>
    <row r="107" spans="1:27">
      <c r="A107" s="11" t="s">
        <v>580</v>
      </c>
      <c r="B107" s="11" t="s">
        <v>581</v>
      </c>
      <c r="C107" s="11" t="s">
        <v>56</v>
      </c>
      <c r="D107" s="19">
        <v>85</v>
      </c>
      <c r="E107" s="11" t="s">
        <v>81</v>
      </c>
      <c r="F107" s="11" t="s">
        <v>82</v>
      </c>
      <c r="G107" s="11" t="s">
        <v>83</v>
      </c>
      <c r="H107" s="12">
        <v>46203</v>
      </c>
      <c r="I107" s="12" t="str">
        <f t="shared" si="1"/>
        <v>June</v>
      </c>
      <c r="J107" s="24">
        <v>0.49513888888888891</v>
      </c>
      <c r="K107" s="19">
        <v>8</v>
      </c>
      <c r="L107" s="12">
        <v>46203</v>
      </c>
      <c r="M107" s="24">
        <v>0.82847222222222228</v>
      </c>
      <c r="N107" s="11">
        <v>8</v>
      </c>
      <c r="O107" s="11" t="s">
        <v>68</v>
      </c>
      <c r="P107" s="11" t="s">
        <v>35</v>
      </c>
      <c r="Q107" s="11"/>
      <c r="R107" s="11" t="s">
        <v>36</v>
      </c>
      <c r="S107" s="19">
        <v>20</v>
      </c>
      <c r="T107" s="11" t="s">
        <v>49</v>
      </c>
      <c r="U107" s="11" t="s">
        <v>164</v>
      </c>
      <c r="V107" s="11">
        <v>2</v>
      </c>
      <c r="W107" s="11" t="s">
        <v>70</v>
      </c>
      <c r="X107" s="11" t="s">
        <v>3333</v>
      </c>
      <c r="Y107" s="11" t="s">
        <v>52</v>
      </c>
      <c r="Z107" s="11" t="s">
        <v>53</v>
      </c>
      <c r="AA107" s="11" t="str">
        <f>IF(A107=" ", "Missing Value", " ")</f>
        <v xml:space="preserve"> </v>
      </c>
    </row>
    <row r="108" spans="1:27">
      <c r="A108" s="11" t="s">
        <v>584</v>
      </c>
      <c r="B108" s="11" t="s">
        <v>585</v>
      </c>
      <c r="C108" s="11" t="s">
        <v>56</v>
      </c>
      <c r="D108" s="19">
        <v>13</v>
      </c>
      <c r="E108" s="11" t="s">
        <v>57</v>
      </c>
      <c r="F108" s="11" t="s">
        <v>29</v>
      </c>
      <c r="G108" s="11" t="s">
        <v>30</v>
      </c>
      <c r="H108" s="12">
        <v>46083</v>
      </c>
      <c r="I108" s="12" t="str">
        <f t="shared" si="1"/>
        <v>March</v>
      </c>
      <c r="J108" s="24">
        <v>0.61458333333333337</v>
      </c>
      <c r="K108" s="19">
        <v>3</v>
      </c>
      <c r="L108" s="12">
        <v>46083</v>
      </c>
      <c r="M108" s="24">
        <v>0.98958333333333337</v>
      </c>
      <c r="N108" s="11">
        <v>9</v>
      </c>
      <c r="O108" s="11" t="s">
        <v>34</v>
      </c>
      <c r="P108" s="11" t="s">
        <v>35</v>
      </c>
      <c r="Q108" s="11"/>
      <c r="R108" s="11" t="s">
        <v>36</v>
      </c>
      <c r="S108" s="19">
        <v>15</v>
      </c>
      <c r="T108" s="11" t="s">
        <v>49</v>
      </c>
      <c r="U108" s="11" t="s">
        <v>38</v>
      </c>
      <c r="V108" s="11">
        <v>3</v>
      </c>
      <c r="W108" s="11" t="s">
        <v>39</v>
      </c>
      <c r="X108" s="11" t="s">
        <v>3325</v>
      </c>
      <c r="Y108" s="11" t="s">
        <v>109</v>
      </c>
      <c r="Z108" s="11" t="s">
        <v>53</v>
      </c>
      <c r="AA108" s="11" t="s">
        <v>3234</v>
      </c>
    </row>
    <row r="109" spans="1:27">
      <c r="A109" s="11" t="s">
        <v>589</v>
      </c>
      <c r="B109" s="11" t="s">
        <v>590</v>
      </c>
      <c r="C109" s="11" t="s">
        <v>56</v>
      </c>
      <c r="D109" s="19">
        <v>27</v>
      </c>
      <c r="E109" s="11" t="s">
        <v>149</v>
      </c>
      <c r="F109" s="11" t="s">
        <v>29</v>
      </c>
      <c r="G109" s="11" t="s">
        <v>30</v>
      </c>
      <c r="H109" s="12">
        <v>46058</v>
      </c>
      <c r="I109" s="12" t="str">
        <f t="shared" si="1"/>
        <v>February</v>
      </c>
      <c r="J109" s="24">
        <v>0.66249999999999998</v>
      </c>
      <c r="K109" s="19">
        <v>6</v>
      </c>
      <c r="L109" s="12">
        <v>46059</v>
      </c>
      <c r="M109" s="24">
        <v>3.7499999999999999E-2</v>
      </c>
      <c r="N109" s="11">
        <v>9</v>
      </c>
      <c r="O109" s="11" t="s">
        <v>34</v>
      </c>
      <c r="P109" s="11" t="s">
        <v>35</v>
      </c>
      <c r="Q109" s="11"/>
      <c r="R109" s="11" t="s">
        <v>36</v>
      </c>
      <c r="S109" s="19">
        <v>40</v>
      </c>
      <c r="T109" s="11" t="s">
        <v>49</v>
      </c>
      <c r="U109" s="11" t="s">
        <v>38</v>
      </c>
      <c r="V109" s="11">
        <v>1</v>
      </c>
      <c r="W109" s="11" t="s">
        <v>62</v>
      </c>
      <c r="X109" s="11" t="s">
        <v>3333</v>
      </c>
      <c r="Y109" s="11" t="s">
        <v>109</v>
      </c>
      <c r="Z109" s="11" t="s">
        <v>71</v>
      </c>
      <c r="AA109" s="11" t="str">
        <f>IF(A109=" ", "Missing Value", " ")</f>
        <v xml:space="preserve"> </v>
      </c>
    </row>
    <row r="110" spans="1:27">
      <c r="A110" s="11" t="s">
        <v>593</v>
      </c>
      <c r="B110" s="11" t="s">
        <v>594</v>
      </c>
      <c r="C110" s="11" t="s">
        <v>27</v>
      </c>
      <c r="D110" s="19">
        <v>2</v>
      </c>
      <c r="E110" s="11" t="s">
        <v>57</v>
      </c>
      <c r="F110" s="11" t="s">
        <v>29</v>
      </c>
      <c r="G110" s="11" t="s">
        <v>30</v>
      </c>
      <c r="H110" s="12">
        <v>46025</v>
      </c>
      <c r="I110" s="12" t="str">
        <f t="shared" si="1"/>
        <v>January</v>
      </c>
      <c r="J110" s="24">
        <v>0.58263888888888893</v>
      </c>
      <c r="K110" s="19">
        <v>3</v>
      </c>
      <c r="L110" s="12">
        <v>46025</v>
      </c>
      <c r="M110" s="24">
        <v>0.99930555555555556</v>
      </c>
      <c r="N110" s="11">
        <v>10</v>
      </c>
      <c r="O110" s="11" t="s">
        <v>34</v>
      </c>
      <c r="P110" s="11" t="s">
        <v>35</v>
      </c>
      <c r="Q110" s="11"/>
      <c r="R110" s="11" t="s">
        <v>36</v>
      </c>
      <c r="S110" s="19">
        <v>15</v>
      </c>
      <c r="T110" s="11" t="s">
        <v>49</v>
      </c>
      <c r="U110" s="11" t="s">
        <v>164</v>
      </c>
      <c r="V110" s="11">
        <v>5</v>
      </c>
      <c r="W110" s="11" t="s">
        <v>62</v>
      </c>
      <c r="X110" s="11" t="s">
        <v>3325</v>
      </c>
      <c r="Y110" s="11" t="s">
        <v>52</v>
      </c>
      <c r="Z110" s="11" t="s">
        <v>42</v>
      </c>
      <c r="AA110" s="11" t="s">
        <v>3234</v>
      </c>
    </row>
    <row r="111" spans="1:27">
      <c r="A111" s="11" t="s">
        <v>598</v>
      </c>
      <c r="B111" s="11" t="s">
        <v>599</v>
      </c>
      <c r="C111" s="11" t="s">
        <v>27</v>
      </c>
      <c r="D111" s="19">
        <v>10</v>
      </c>
      <c r="E111" s="11" t="s">
        <v>92</v>
      </c>
      <c r="F111" s="11" t="s">
        <v>29</v>
      </c>
      <c r="G111" s="11" t="s">
        <v>93</v>
      </c>
      <c r="H111" s="12">
        <v>46089</v>
      </c>
      <c r="I111" s="12" t="str">
        <f t="shared" si="1"/>
        <v>March</v>
      </c>
      <c r="J111" s="24">
        <v>0.32500000000000001</v>
      </c>
      <c r="K111" s="19">
        <v>24</v>
      </c>
      <c r="L111" s="12">
        <v>46090</v>
      </c>
      <c r="M111" s="24">
        <v>0.28333333333333333</v>
      </c>
      <c r="N111" s="11">
        <v>23</v>
      </c>
      <c r="O111" s="11" t="s">
        <v>68</v>
      </c>
      <c r="P111" s="11" t="s">
        <v>35</v>
      </c>
      <c r="Q111" s="11"/>
      <c r="R111" s="11" t="s">
        <v>36</v>
      </c>
      <c r="S111" s="19">
        <v>50</v>
      </c>
      <c r="T111" s="11" t="s">
        <v>37</v>
      </c>
      <c r="U111" s="11" t="s">
        <v>38</v>
      </c>
      <c r="V111" s="11">
        <v>4</v>
      </c>
      <c r="W111" s="11" t="s">
        <v>70</v>
      </c>
      <c r="X111" s="11" t="s">
        <v>3334</v>
      </c>
      <c r="Y111" s="11" t="s">
        <v>52</v>
      </c>
      <c r="Z111" s="11" t="s">
        <v>42</v>
      </c>
      <c r="AA111" s="11" t="s">
        <v>3233</v>
      </c>
    </row>
    <row r="112" spans="1:27">
      <c r="A112" s="11" t="s">
        <v>604</v>
      </c>
      <c r="B112" s="11" t="s">
        <v>605</v>
      </c>
      <c r="C112" s="11" t="s">
        <v>27</v>
      </c>
      <c r="D112" s="19">
        <v>81</v>
      </c>
      <c r="E112" s="11" t="s">
        <v>28</v>
      </c>
      <c r="F112" s="11" t="s">
        <v>29</v>
      </c>
      <c r="G112" s="11" t="s">
        <v>30</v>
      </c>
      <c r="H112" s="12">
        <v>46101</v>
      </c>
      <c r="I112" s="12" t="str">
        <f t="shared" si="1"/>
        <v>March</v>
      </c>
      <c r="J112" s="24">
        <v>0.4375</v>
      </c>
      <c r="K112" s="19">
        <v>5</v>
      </c>
      <c r="L112" s="12">
        <v>46101</v>
      </c>
      <c r="M112" s="24">
        <v>0.89583333333333337</v>
      </c>
      <c r="N112" s="11">
        <v>11</v>
      </c>
      <c r="O112" s="11" t="s">
        <v>34</v>
      </c>
      <c r="P112" s="11" t="s">
        <v>35</v>
      </c>
      <c r="Q112" s="11"/>
      <c r="R112" s="11" t="s">
        <v>36</v>
      </c>
      <c r="S112" s="19">
        <v>35</v>
      </c>
      <c r="T112" s="11" t="s">
        <v>49</v>
      </c>
      <c r="U112" s="11" t="s">
        <v>38</v>
      </c>
      <c r="V112" s="11">
        <v>3</v>
      </c>
      <c r="W112" s="11" t="s">
        <v>70</v>
      </c>
      <c r="X112" s="11" t="s">
        <v>3334</v>
      </c>
      <c r="Y112" s="11" t="s">
        <v>41</v>
      </c>
      <c r="Z112" s="11" t="s">
        <v>71</v>
      </c>
      <c r="AA112" s="11" t="str">
        <f>IF(A112=" ", "Missing Value", " ")</f>
        <v xml:space="preserve"> </v>
      </c>
    </row>
    <row r="113" spans="1:27">
      <c r="A113" s="11" t="s">
        <v>608</v>
      </c>
      <c r="B113" s="11" t="s">
        <v>609</v>
      </c>
      <c r="C113" s="11" t="s">
        <v>27</v>
      </c>
      <c r="D113" s="19">
        <v>38</v>
      </c>
      <c r="E113" s="11" t="s">
        <v>173</v>
      </c>
      <c r="F113" s="11" t="s">
        <v>29</v>
      </c>
      <c r="G113" s="11" t="s">
        <v>168</v>
      </c>
      <c r="H113" s="12">
        <v>46175</v>
      </c>
      <c r="I113" s="12" t="str">
        <f t="shared" si="1"/>
        <v>June</v>
      </c>
      <c r="J113" s="24">
        <v>0.62569444444444444</v>
      </c>
      <c r="K113" s="19">
        <v>4</v>
      </c>
      <c r="L113" s="12">
        <v>46175</v>
      </c>
      <c r="M113" s="24">
        <v>0.91736111111111107</v>
      </c>
      <c r="N113" s="11">
        <v>7</v>
      </c>
      <c r="O113" s="11" t="s">
        <v>34</v>
      </c>
      <c r="P113" s="11" t="s">
        <v>35</v>
      </c>
      <c r="Q113" s="11"/>
      <c r="R113" s="11" t="s">
        <v>36</v>
      </c>
      <c r="S113" s="19">
        <v>25</v>
      </c>
      <c r="T113" s="11" t="s">
        <v>49</v>
      </c>
      <c r="U113" s="11" t="s">
        <v>164</v>
      </c>
      <c r="V113" s="11">
        <v>3</v>
      </c>
      <c r="W113" s="11" t="s">
        <v>62</v>
      </c>
      <c r="X113" s="11" t="s">
        <v>3325</v>
      </c>
      <c r="Y113" s="11" t="s">
        <v>52</v>
      </c>
      <c r="Z113" s="11" t="s">
        <v>42</v>
      </c>
      <c r="AA113" s="11" t="s">
        <v>3234</v>
      </c>
    </row>
    <row r="114" spans="1:27">
      <c r="A114" s="11" t="s">
        <v>612</v>
      </c>
      <c r="B114" s="11" t="s">
        <v>613</v>
      </c>
      <c r="C114" s="11" t="s">
        <v>27</v>
      </c>
      <c r="D114" s="19">
        <v>1</v>
      </c>
      <c r="E114" s="11" t="s">
        <v>92</v>
      </c>
      <c r="F114" s="11" t="s">
        <v>29</v>
      </c>
      <c r="G114" s="11" t="s">
        <v>83</v>
      </c>
      <c r="H114" s="12">
        <v>46159</v>
      </c>
      <c r="I114" s="12" t="str">
        <f t="shared" si="1"/>
        <v>May</v>
      </c>
      <c r="J114" s="24">
        <v>0.5708333333333333</v>
      </c>
      <c r="K114" s="19">
        <v>24</v>
      </c>
      <c r="L114" s="12">
        <v>46160</v>
      </c>
      <c r="M114" s="24">
        <v>0.86250000000000004</v>
      </c>
      <c r="N114" s="11">
        <v>31</v>
      </c>
      <c r="O114" s="11" t="s">
        <v>34</v>
      </c>
      <c r="P114" s="11" t="s">
        <v>35</v>
      </c>
      <c r="Q114" s="11"/>
      <c r="R114" s="11" t="s">
        <v>36</v>
      </c>
      <c r="S114" s="19">
        <v>50</v>
      </c>
      <c r="T114" s="11" t="s">
        <v>37</v>
      </c>
      <c r="U114" s="11" t="s">
        <v>96</v>
      </c>
      <c r="V114" s="11">
        <v>4</v>
      </c>
      <c r="W114" s="11" t="s">
        <v>39</v>
      </c>
      <c r="X114" s="11" t="s">
        <v>3334</v>
      </c>
      <c r="Y114" s="11" t="s">
        <v>41</v>
      </c>
      <c r="Z114" s="11" t="s">
        <v>53</v>
      </c>
      <c r="AA114" s="11" t="s">
        <v>3238</v>
      </c>
    </row>
    <row r="115" spans="1:27">
      <c r="A115" s="11" t="s">
        <v>617</v>
      </c>
      <c r="B115" s="11" t="s">
        <v>618</v>
      </c>
      <c r="C115" s="11" t="s">
        <v>27</v>
      </c>
      <c r="D115" s="19">
        <v>65</v>
      </c>
      <c r="E115" s="11" t="s">
        <v>92</v>
      </c>
      <c r="F115" s="11" t="s">
        <v>29</v>
      </c>
      <c r="G115" s="11" t="s">
        <v>93</v>
      </c>
      <c r="H115" s="12">
        <v>46160</v>
      </c>
      <c r="I115" s="12" t="str">
        <f t="shared" si="1"/>
        <v>May</v>
      </c>
      <c r="J115" s="24">
        <v>0.57013888888888886</v>
      </c>
      <c r="K115" s="19">
        <v>24</v>
      </c>
      <c r="L115" s="12">
        <v>46161</v>
      </c>
      <c r="M115" s="24">
        <v>0.90347222222222223</v>
      </c>
      <c r="N115" s="11">
        <v>32</v>
      </c>
      <c r="O115" s="11" t="s">
        <v>34</v>
      </c>
      <c r="P115" s="11" t="s">
        <v>270</v>
      </c>
      <c r="Q115" s="11" t="s">
        <v>620</v>
      </c>
      <c r="R115" s="11" t="s">
        <v>36</v>
      </c>
      <c r="S115" s="19">
        <v>50</v>
      </c>
      <c r="T115" s="11" t="s">
        <v>49</v>
      </c>
      <c r="U115" s="11" t="s">
        <v>38</v>
      </c>
      <c r="V115" s="11">
        <v>2</v>
      </c>
      <c r="W115" s="11" t="s">
        <v>70</v>
      </c>
      <c r="X115" s="11" t="s">
        <v>51</v>
      </c>
      <c r="Y115" s="11" t="s">
        <v>41</v>
      </c>
      <c r="Z115" s="11" t="s">
        <v>71</v>
      </c>
      <c r="AA115" s="11" t="s">
        <v>3251</v>
      </c>
    </row>
    <row r="116" spans="1:27">
      <c r="A116" s="11" t="s">
        <v>621</v>
      </c>
      <c r="B116" s="11" t="s">
        <v>622</v>
      </c>
      <c r="C116" s="11" t="s">
        <v>56</v>
      </c>
      <c r="D116" s="19">
        <v>13</v>
      </c>
      <c r="E116" s="11" t="s">
        <v>57</v>
      </c>
      <c r="F116" s="11" t="s">
        <v>29</v>
      </c>
      <c r="G116" s="11" t="s">
        <v>58</v>
      </c>
      <c r="H116" s="12">
        <v>46104</v>
      </c>
      <c r="I116" s="12" t="str">
        <f t="shared" si="1"/>
        <v>March</v>
      </c>
      <c r="J116" s="24">
        <v>0.55069444444444449</v>
      </c>
      <c r="K116" s="19">
        <v>3</v>
      </c>
      <c r="L116" s="12">
        <v>46104</v>
      </c>
      <c r="M116" s="24">
        <v>0.67569444444444449</v>
      </c>
      <c r="N116" s="11">
        <v>3</v>
      </c>
      <c r="O116" s="11" t="s">
        <v>68</v>
      </c>
      <c r="P116" s="11" t="s">
        <v>35</v>
      </c>
      <c r="Q116" s="11"/>
      <c r="R116" s="11" t="s">
        <v>36</v>
      </c>
      <c r="S116" s="19">
        <v>15</v>
      </c>
      <c r="T116" s="11" t="s">
        <v>49</v>
      </c>
      <c r="U116" s="11" t="s">
        <v>164</v>
      </c>
      <c r="V116" s="11">
        <v>3</v>
      </c>
      <c r="W116" s="11" t="s">
        <v>62</v>
      </c>
      <c r="X116" s="11" t="s">
        <v>3334</v>
      </c>
      <c r="Y116" s="11" t="s">
        <v>52</v>
      </c>
      <c r="Z116" s="11" t="s">
        <v>42</v>
      </c>
      <c r="AA116" s="11"/>
    </row>
    <row r="117" spans="1:27">
      <c r="A117" s="11" t="s">
        <v>624</v>
      </c>
      <c r="B117" s="11" t="s">
        <v>625</v>
      </c>
      <c r="C117" s="11" t="s">
        <v>27</v>
      </c>
      <c r="D117" s="19">
        <v>34</v>
      </c>
      <c r="E117" s="11" t="s">
        <v>28</v>
      </c>
      <c r="F117" s="11" t="s">
        <v>29</v>
      </c>
      <c r="G117" s="11" t="s">
        <v>83</v>
      </c>
      <c r="H117" s="12">
        <v>46052</v>
      </c>
      <c r="I117" s="12" t="str">
        <f t="shared" si="1"/>
        <v>January</v>
      </c>
      <c r="J117" s="24">
        <v>0.49375000000000002</v>
      </c>
      <c r="K117" s="19">
        <v>5</v>
      </c>
      <c r="L117" s="12">
        <v>46052</v>
      </c>
      <c r="M117" s="24">
        <v>0.95208333333333328</v>
      </c>
      <c r="N117" s="11">
        <v>11</v>
      </c>
      <c r="O117" s="11" t="s">
        <v>34</v>
      </c>
      <c r="P117" s="11" t="s">
        <v>35</v>
      </c>
      <c r="Q117" s="11"/>
      <c r="R117" s="11" t="s">
        <v>36</v>
      </c>
      <c r="S117" s="19">
        <v>35</v>
      </c>
      <c r="T117" s="11" t="s">
        <v>49</v>
      </c>
      <c r="U117" s="11" t="s">
        <v>38</v>
      </c>
      <c r="V117" s="11">
        <v>3</v>
      </c>
      <c r="W117" s="11" t="s">
        <v>70</v>
      </c>
      <c r="X117" s="11" t="s">
        <v>3334</v>
      </c>
      <c r="Y117" s="11" t="s">
        <v>41</v>
      </c>
      <c r="Z117" s="11" t="s">
        <v>71</v>
      </c>
      <c r="AA117" s="11" t="s">
        <v>3234</v>
      </c>
    </row>
    <row r="118" spans="1:27">
      <c r="A118" s="11" t="s">
        <v>628</v>
      </c>
      <c r="B118" s="11" t="s">
        <v>629</v>
      </c>
      <c r="C118" s="11" t="s">
        <v>27</v>
      </c>
      <c r="D118" s="19">
        <v>87</v>
      </c>
      <c r="E118" s="11" t="s">
        <v>149</v>
      </c>
      <c r="F118" s="11" t="s">
        <v>29</v>
      </c>
      <c r="G118" s="11" t="s">
        <v>30</v>
      </c>
      <c r="H118" s="12">
        <v>46203</v>
      </c>
      <c r="I118" s="12" t="str">
        <f t="shared" si="1"/>
        <v>June</v>
      </c>
      <c r="J118" s="24">
        <v>0.30138888888888887</v>
      </c>
      <c r="K118" s="19">
        <v>6</v>
      </c>
      <c r="L118" s="12">
        <v>46203</v>
      </c>
      <c r="M118" s="24">
        <v>0.80138888888888893</v>
      </c>
      <c r="N118" s="11">
        <v>12</v>
      </c>
      <c r="O118" s="11" t="s">
        <v>34</v>
      </c>
      <c r="P118" s="11" t="s">
        <v>35</v>
      </c>
      <c r="Q118" s="11"/>
      <c r="R118" s="11" t="s">
        <v>36</v>
      </c>
      <c r="S118" s="19">
        <v>40</v>
      </c>
      <c r="T118" s="11" t="s">
        <v>37</v>
      </c>
      <c r="U118" s="11" t="s">
        <v>164</v>
      </c>
      <c r="V118" s="11">
        <v>3</v>
      </c>
      <c r="W118" s="11" t="s">
        <v>62</v>
      </c>
      <c r="X118" s="11" t="s">
        <v>3334</v>
      </c>
      <c r="Y118" s="11" t="s">
        <v>41</v>
      </c>
      <c r="Z118" s="11" t="s">
        <v>42</v>
      </c>
      <c r="AA118" s="11" t="str">
        <f>IF(A118=" ", "Missing Value", " ")</f>
        <v xml:space="preserve"> </v>
      </c>
    </row>
    <row r="119" spans="1:27">
      <c r="A119" s="11" t="s">
        <v>631</v>
      </c>
      <c r="B119" s="11" t="s">
        <v>632</v>
      </c>
      <c r="C119" s="11" t="s">
        <v>56</v>
      </c>
      <c r="D119" s="19">
        <v>15</v>
      </c>
      <c r="E119" s="11" t="s">
        <v>149</v>
      </c>
      <c r="F119" s="11" t="s">
        <v>29</v>
      </c>
      <c r="G119" s="11" t="s">
        <v>30</v>
      </c>
      <c r="H119" s="12">
        <v>46158</v>
      </c>
      <c r="I119" s="12" t="str">
        <f t="shared" si="1"/>
        <v>May</v>
      </c>
      <c r="J119" s="24">
        <v>0.66111111111111109</v>
      </c>
      <c r="K119" s="19">
        <v>6</v>
      </c>
      <c r="L119" s="12">
        <v>46159</v>
      </c>
      <c r="M119" s="24">
        <v>0.20277777777777778</v>
      </c>
      <c r="N119" s="11">
        <v>13</v>
      </c>
      <c r="O119" s="11" t="s">
        <v>34</v>
      </c>
      <c r="P119" s="11" t="s">
        <v>35</v>
      </c>
      <c r="Q119" s="11"/>
      <c r="R119" s="11" t="s">
        <v>36</v>
      </c>
      <c r="S119" s="19">
        <v>40</v>
      </c>
      <c r="T119" s="11" t="s">
        <v>49</v>
      </c>
      <c r="U119" s="11" t="s">
        <v>96</v>
      </c>
      <c r="V119" s="11">
        <v>5</v>
      </c>
      <c r="W119" s="11" t="s">
        <v>70</v>
      </c>
      <c r="X119" s="11" t="s">
        <v>3333</v>
      </c>
      <c r="Y119" s="11" t="s">
        <v>109</v>
      </c>
      <c r="Z119" s="11" t="s">
        <v>71</v>
      </c>
      <c r="AA119" s="11" t="str">
        <f>IF(A119=" ", "Missing Value", " ")</f>
        <v xml:space="preserve"> </v>
      </c>
    </row>
    <row r="120" spans="1:27">
      <c r="A120" s="11" t="s">
        <v>635</v>
      </c>
      <c r="B120" s="11" t="s">
        <v>636</v>
      </c>
      <c r="C120" s="11" t="s">
        <v>27</v>
      </c>
      <c r="D120" s="19">
        <v>6</v>
      </c>
      <c r="E120" s="11" t="s">
        <v>92</v>
      </c>
      <c r="F120" s="11" t="s">
        <v>29</v>
      </c>
      <c r="G120" s="11" t="s">
        <v>168</v>
      </c>
      <c r="H120" s="12">
        <v>46110</v>
      </c>
      <c r="I120" s="12" t="str">
        <f t="shared" si="1"/>
        <v>March</v>
      </c>
      <c r="J120" s="24">
        <v>0.66874999999999996</v>
      </c>
      <c r="K120" s="19">
        <v>24</v>
      </c>
      <c r="L120" s="12">
        <v>46111</v>
      </c>
      <c r="M120" s="24">
        <v>0.7104166666666667</v>
      </c>
      <c r="N120" s="11">
        <v>25</v>
      </c>
      <c r="O120" s="11" t="s">
        <v>34</v>
      </c>
      <c r="P120" s="11" t="s">
        <v>35</v>
      </c>
      <c r="Q120" s="11"/>
      <c r="R120" s="11" t="s">
        <v>36</v>
      </c>
      <c r="S120" s="19">
        <v>50</v>
      </c>
      <c r="T120" s="11" t="s">
        <v>49</v>
      </c>
      <c r="U120" s="11" t="s">
        <v>164</v>
      </c>
      <c r="V120" s="11">
        <v>5</v>
      </c>
      <c r="W120" s="11" t="s">
        <v>39</v>
      </c>
      <c r="X120" s="11" t="s">
        <v>3325</v>
      </c>
      <c r="Y120" s="11" t="s">
        <v>109</v>
      </c>
      <c r="Z120" s="11" t="s">
        <v>53</v>
      </c>
      <c r="AA120" s="11" t="s">
        <v>3238</v>
      </c>
    </row>
    <row r="121" spans="1:27">
      <c r="A121" s="11" t="s">
        <v>639</v>
      </c>
      <c r="B121" s="11" t="s">
        <v>640</v>
      </c>
      <c r="C121" s="11" t="s">
        <v>56</v>
      </c>
      <c r="D121" s="19">
        <v>54</v>
      </c>
      <c r="E121" s="11" t="s">
        <v>57</v>
      </c>
      <c r="F121" s="11" t="s">
        <v>29</v>
      </c>
      <c r="G121" s="11" t="s">
        <v>58</v>
      </c>
      <c r="H121" s="12">
        <v>46069</v>
      </c>
      <c r="I121" s="12" t="str">
        <f t="shared" si="1"/>
        <v>February</v>
      </c>
      <c r="J121" s="24">
        <v>0.50208333333333333</v>
      </c>
      <c r="K121" s="19">
        <v>3</v>
      </c>
      <c r="L121" s="12">
        <v>46069</v>
      </c>
      <c r="M121" s="24">
        <v>0.62708333333333333</v>
      </c>
      <c r="N121" s="11">
        <v>3</v>
      </c>
      <c r="O121" s="11" t="s">
        <v>68</v>
      </c>
      <c r="P121" s="11" t="s">
        <v>35</v>
      </c>
      <c r="Q121" s="11"/>
      <c r="R121" s="11" t="s">
        <v>36</v>
      </c>
      <c r="S121" s="19">
        <v>15</v>
      </c>
      <c r="T121" s="11" t="s">
        <v>49</v>
      </c>
      <c r="U121" s="11" t="s">
        <v>96</v>
      </c>
      <c r="V121" s="11">
        <v>4</v>
      </c>
      <c r="W121" s="11" t="s">
        <v>62</v>
      </c>
      <c r="X121" s="11" t="s">
        <v>3334</v>
      </c>
      <c r="Y121" s="11" t="s">
        <v>41</v>
      </c>
      <c r="Z121" s="11" t="s">
        <v>42</v>
      </c>
      <c r="AA121" s="11"/>
    </row>
    <row r="122" spans="1:27">
      <c r="A122" s="11" t="s">
        <v>643</v>
      </c>
      <c r="B122" s="11" t="s">
        <v>644</v>
      </c>
      <c r="C122" s="11" t="s">
        <v>56</v>
      </c>
      <c r="D122" s="19">
        <v>52</v>
      </c>
      <c r="E122" s="11" t="s">
        <v>81</v>
      </c>
      <c r="F122" s="11" t="s">
        <v>82</v>
      </c>
      <c r="G122" s="11" t="s">
        <v>83</v>
      </c>
      <c r="H122" s="12">
        <v>46122</v>
      </c>
      <c r="I122" s="12" t="str">
        <f t="shared" si="1"/>
        <v>April</v>
      </c>
      <c r="J122" s="24">
        <v>0.31805555555555554</v>
      </c>
      <c r="K122" s="19">
        <v>8</v>
      </c>
      <c r="L122" s="12">
        <v>46122</v>
      </c>
      <c r="M122" s="24">
        <v>0.65138888888888891</v>
      </c>
      <c r="N122" s="11">
        <v>8</v>
      </c>
      <c r="O122" s="11" t="s">
        <v>68</v>
      </c>
      <c r="P122" s="11" t="s">
        <v>35</v>
      </c>
      <c r="Q122" s="11"/>
      <c r="R122" s="11" t="s">
        <v>36</v>
      </c>
      <c r="S122" s="19">
        <v>20</v>
      </c>
      <c r="T122" s="11" t="s">
        <v>49</v>
      </c>
      <c r="U122" s="11" t="s">
        <v>38</v>
      </c>
      <c r="V122" s="11">
        <v>3</v>
      </c>
      <c r="W122" s="11" t="s">
        <v>89</v>
      </c>
      <c r="X122" s="11" t="s">
        <v>3333</v>
      </c>
      <c r="Y122" s="11" t="s">
        <v>109</v>
      </c>
      <c r="Z122" s="11" t="s">
        <v>53</v>
      </c>
      <c r="AA122" s="11" t="str">
        <f>IF(A122=" ", "Missing Value", " ")</f>
        <v xml:space="preserve"> </v>
      </c>
    </row>
    <row r="123" spans="1:27">
      <c r="A123" s="11" t="s">
        <v>646</v>
      </c>
      <c r="B123" s="11" t="s">
        <v>647</v>
      </c>
      <c r="C123" s="11" t="s">
        <v>27</v>
      </c>
      <c r="D123" s="19">
        <v>68</v>
      </c>
      <c r="E123" s="11" t="s">
        <v>173</v>
      </c>
      <c r="F123" s="11" t="s">
        <v>29</v>
      </c>
      <c r="G123" s="11" t="s">
        <v>83</v>
      </c>
      <c r="H123" s="12">
        <v>46158</v>
      </c>
      <c r="I123" s="12" t="str">
        <f t="shared" si="1"/>
        <v>May</v>
      </c>
      <c r="J123" s="24">
        <v>0.5541666666666667</v>
      </c>
      <c r="K123" s="19">
        <v>4</v>
      </c>
      <c r="L123" s="12">
        <v>46158</v>
      </c>
      <c r="M123" s="24">
        <v>0.6791666666666667</v>
      </c>
      <c r="N123" s="11">
        <v>3</v>
      </c>
      <c r="O123" s="11" t="s">
        <v>68</v>
      </c>
      <c r="P123" s="11" t="s">
        <v>35</v>
      </c>
      <c r="Q123" s="11"/>
      <c r="R123" s="11" t="s">
        <v>36</v>
      </c>
      <c r="S123" s="19">
        <v>25</v>
      </c>
      <c r="T123" s="11" t="s">
        <v>49</v>
      </c>
      <c r="U123" s="11" t="s">
        <v>164</v>
      </c>
      <c r="V123" s="11">
        <v>1</v>
      </c>
      <c r="W123" s="11" t="s">
        <v>70</v>
      </c>
      <c r="X123" s="11" t="s">
        <v>51</v>
      </c>
      <c r="Y123" s="11" t="s">
        <v>109</v>
      </c>
      <c r="Z123" s="11" t="s">
        <v>53</v>
      </c>
      <c r="AA123" s="11" t="s">
        <v>3234</v>
      </c>
    </row>
    <row r="124" spans="1:27">
      <c r="A124" s="11" t="s">
        <v>649</v>
      </c>
      <c r="B124" s="11" t="s">
        <v>650</v>
      </c>
      <c r="C124" s="11" t="s">
        <v>56</v>
      </c>
      <c r="D124" s="19">
        <v>51</v>
      </c>
      <c r="E124" s="11" t="s">
        <v>28</v>
      </c>
      <c r="F124" s="11" t="s">
        <v>29</v>
      </c>
      <c r="G124" s="11" t="s">
        <v>30</v>
      </c>
      <c r="H124" s="12">
        <v>46182</v>
      </c>
      <c r="I124" s="12" t="str">
        <f t="shared" si="1"/>
        <v>June</v>
      </c>
      <c r="J124" s="24">
        <v>0.67361111111111116</v>
      </c>
      <c r="K124" s="19">
        <v>5</v>
      </c>
      <c r="L124" s="12">
        <v>46183</v>
      </c>
      <c r="M124" s="24">
        <v>9.0277777777777776E-2</v>
      </c>
      <c r="N124" s="11">
        <v>10</v>
      </c>
      <c r="O124" s="11" t="s">
        <v>34</v>
      </c>
      <c r="P124" s="11" t="s">
        <v>35</v>
      </c>
      <c r="Q124" s="11"/>
      <c r="R124" s="11" t="s">
        <v>36</v>
      </c>
      <c r="S124" s="19">
        <v>35</v>
      </c>
      <c r="T124" s="11" t="s">
        <v>49</v>
      </c>
      <c r="U124" s="11" t="s">
        <v>38</v>
      </c>
      <c r="V124" s="11">
        <v>5</v>
      </c>
      <c r="W124" s="11" t="s">
        <v>62</v>
      </c>
      <c r="X124" s="11" t="s">
        <v>51</v>
      </c>
      <c r="Y124" s="11" t="s">
        <v>109</v>
      </c>
      <c r="Z124" s="11" t="s">
        <v>42</v>
      </c>
      <c r="AA124" s="11" t="str">
        <f>IF(A124=" ", "Missing Value", " ")</f>
        <v xml:space="preserve"> </v>
      </c>
    </row>
    <row r="125" spans="1:27">
      <c r="A125" s="11" t="s">
        <v>654</v>
      </c>
      <c r="B125" s="11" t="s">
        <v>655</v>
      </c>
      <c r="C125" s="11" t="s">
        <v>27</v>
      </c>
      <c r="D125" s="19">
        <v>19</v>
      </c>
      <c r="E125" s="11" t="s">
        <v>57</v>
      </c>
      <c r="F125" s="11" t="s">
        <v>29</v>
      </c>
      <c r="G125" s="11" t="s">
        <v>58</v>
      </c>
      <c r="H125" s="12">
        <v>46127</v>
      </c>
      <c r="I125" s="12" t="str">
        <f t="shared" si="1"/>
        <v>April</v>
      </c>
      <c r="J125" s="24">
        <v>0.58472222222222225</v>
      </c>
      <c r="K125" s="19">
        <v>3</v>
      </c>
      <c r="L125" s="12">
        <v>46127</v>
      </c>
      <c r="M125" s="24">
        <v>0.87638888888888888</v>
      </c>
      <c r="N125" s="11">
        <v>7</v>
      </c>
      <c r="O125" s="11" t="s">
        <v>34</v>
      </c>
      <c r="P125" s="11" t="s">
        <v>35</v>
      </c>
      <c r="Q125" s="11"/>
      <c r="R125" s="11" t="s">
        <v>36</v>
      </c>
      <c r="S125" s="19">
        <v>15</v>
      </c>
      <c r="T125" s="11" t="s">
        <v>49</v>
      </c>
      <c r="U125" s="11" t="s">
        <v>164</v>
      </c>
      <c r="V125" s="11">
        <v>1</v>
      </c>
      <c r="W125" s="11" t="s">
        <v>70</v>
      </c>
      <c r="X125" s="11" t="s">
        <v>3325</v>
      </c>
      <c r="Y125" s="11" t="s">
        <v>109</v>
      </c>
      <c r="Z125" s="11" t="s">
        <v>42</v>
      </c>
      <c r="AA125" s="11"/>
    </row>
    <row r="126" spans="1:27">
      <c r="A126" s="11" t="s">
        <v>658</v>
      </c>
      <c r="B126" s="11" t="s">
        <v>659</v>
      </c>
      <c r="C126" s="11" t="s">
        <v>56</v>
      </c>
      <c r="D126" s="19">
        <v>85</v>
      </c>
      <c r="E126" s="11" t="s">
        <v>57</v>
      </c>
      <c r="F126" s="11" t="s">
        <v>29</v>
      </c>
      <c r="G126" s="11" t="s">
        <v>58</v>
      </c>
      <c r="H126" s="12">
        <v>46074</v>
      </c>
      <c r="I126" s="12" t="str">
        <f t="shared" si="1"/>
        <v>February</v>
      </c>
      <c r="J126" s="24">
        <v>0.42638888888888887</v>
      </c>
      <c r="K126" s="19">
        <v>3</v>
      </c>
      <c r="L126" s="12">
        <v>46074</v>
      </c>
      <c r="M126" s="24">
        <v>0.75972222222222219</v>
      </c>
      <c r="N126" s="11">
        <v>8</v>
      </c>
      <c r="O126" s="11" t="s">
        <v>34</v>
      </c>
      <c r="P126" s="11" t="s">
        <v>35</v>
      </c>
      <c r="Q126" s="11"/>
      <c r="R126" s="11" t="s">
        <v>36</v>
      </c>
      <c r="S126" s="19">
        <v>15</v>
      </c>
      <c r="T126" s="11" t="s">
        <v>49</v>
      </c>
      <c r="U126" s="11" t="s">
        <v>96</v>
      </c>
      <c r="V126" s="11">
        <v>2</v>
      </c>
      <c r="W126" s="11" t="s">
        <v>89</v>
      </c>
      <c r="X126" s="11" t="s">
        <v>3333</v>
      </c>
      <c r="Y126" s="11" t="s">
        <v>52</v>
      </c>
      <c r="Z126" s="11" t="s">
        <v>71</v>
      </c>
      <c r="AA126" s="11"/>
    </row>
    <row r="127" spans="1:27">
      <c r="A127" s="11" t="s">
        <v>662</v>
      </c>
      <c r="B127" s="11" t="s">
        <v>663</v>
      </c>
      <c r="C127" s="11" t="s">
        <v>56</v>
      </c>
      <c r="D127" s="19">
        <v>2</v>
      </c>
      <c r="E127" s="11" t="s">
        <v>149</v>
      </c>
      <c r="F127" s="11" t="s">
        <v>29</v>
      </c>
      <c r="G127" s="11" t="s">
        <v>30</v>
      </c>
      <c r="H127" s="12">
        <v>46092</v>
      </c>
      <c r="I127" s="12" t="str">
        <f t="shared" si="1"/>
        <v>March</v>
      </c>
      <c r="J127" s="24">
        <v>0.43402777777777779</v>
      </c>
      <c r="K127" s="19">
        <v>6</v>
      </c>
      <c r="L127" s="12">
        <v>46092</v>
      </c>
      <c r="M127" s="24">
        <v>0.97569444444444442</v>
      </c>
      <c r="N127" s="11">
        <v>13</v>
      </c>
      <c r="O127" s="11" t="s">
        <v>34</v>
      </c>
      <c r="P127" s="11" t="s">
        <v>35</v>
      </c>
      <c r="Q127" s="11"/>
      <c r="R127" s="11" t="s">
        <v>36</v>
      </c>
      <c r="S127" s="19">
        <v>40</v>
      </c>
      <c r="T127" s="11" t="s">
        <v>49</v>
      </c>
      <c r="U127" s="11" t="s">
        <v>164</v>
      </c>
      <c r="V127" s="11">
        <v>5</v>
      </c>
      <c r="W127" s="11" t="s">
        <v>70</v>
      </c>
      <c r="X127" s="11" t="s">
        <v>3333</v>
      </c>
      <c r="Y127" s="11" t="s">
        <v>109</v>
      </c>
      <c r="Z127" s="11" t="s">
        <v>42</v>
      </c>
      <c r="AA127" s="11" t="str">
        <f>IF(A127=" ", "Missing Value", " ")</f>
        <v xml:space="preserve"> </v>
      </c>
    </row>
    <row r="128" spans="1:27">
      <c r="A128" s="11" t="s">
        <v>666</v>
      </c>
      <c r="B128" s="11" t="s">
        <v>667</v>
      </c>
      <c r="C128" s="11" t="s">
        <v>56</v>
      </c>
      <c r="D128" s="19">
        <v>26</v>
      </c>
      <c r="E128" s="11" t="s">
        <v>28</v>
      </c>
      <c r="F128" s="11" t="s">
        <v>29</v>
      </c>
      <c r="G128" s="11" t="s">
        <v>30</v>
      </c>
      <c r="H128" s="12">
        <v>46045</v>
      </c>
      <c r="I128" s="12" t="str">
        <f t="shared" si="1"/>
        <v>January</v>
      </c>
      <c r="J128" s="24">
        <v>0.3840277777777778</v>
      </c>
      <c r="K128" s="19">
        <v>5</v>
      </c>
      <c r="L128" s="12">
        <v>46045</v>
      </c>
      <c r="M128" s="24">
        <v>0.80069444444444449</v>
      </c>
      <c r="N128" s="11">
        <v>10</v>
      </c>
      <c r="O128" s="11" t="s">
        <v>34</v>
      </c>
      <c r="P128" s="11" t="s">
        <v>35</v>
      </c>
      <c r="Q128" s="11"/>
      <c r="R128" s="11" t="s">
        <v>36</v>
      </c>
      <c r="S128" s="19">
        <v>35</v>
      </c>
      <c r="T128" s="11" t="s">
        <v>49</v>
      </c>
      <c r="U128" s="11" t="s">
        <v>164</v>
      </c>
      <c r="V128" s="11">
        <v>3</v>
      </c>
      <c r="W128" s="11" t="s">
        <v>89</v>
      </c>
      <c r="X128" s="11" t="s">
        <v>3333</v>
      </c>
      <c r="Y128" s="11" t="s">
        <v>41</v>
      </c>
      <c r="Z128" s="11" t="s">
        <v>71</v>
      </c>
      <c r="AA128" s="11" t="str">
        <f>IF(A128=" ", "Missing Value", " ")</f>
        <v xml:space="preserve"> </v>
      </c>
    </row>
    <row r="129" spans="1:27">
      <c r="A129" s="11" t="s">
        <v>670</v>
      </c>
      <c r="B129" s="11" t="s">
        <v>671</v>
      </c>
      <c r="C129" s="11" t="s">
        <v>56</v>
      </c>
      <c r="D129" s="19">
        <v>51</v>
      </c>
      <c r="E129" s="11" t="s">
        <v>149</v>
      </c>
      <c r="F129" s="11" t="s">
        <v>29</v>
      </c>
      <c r="G129" s="11" t="s">
        <v>30</v>
      </c>
      <c r="H129" s="12">
        <v>46073</v>
      </c>
      <c r="I129" s="12" t="str">
        <f t="shared" si="1"/>
        <v>February</v>
      </c>
      <c r="J129" s="24">
        <v>0.68541666666666667</v>
      </c>
      <c r="K129" s="19">
        <v>6</v>
      </c>
      <c r="L129" s="12">
        <v>46074</v>
      </c>
      <c r="M129" s="24">
        <v>0.10208333333333333</v>
      </c>
      <c r="N129" s="11">
        <v>10</v>
      </c>
      <c r="O129" s="11" t="s">
        <v>34</v>
      </c>
      <c r="P129" s="11" t="s">
        <v>35</v>
      </c>
      <c r="Q129" s="11"/>
      <c r="R129" s="11" t="s">
        <v>132</v>
      </c>
      <c r="S129" s="19">
        <v>40</v>
      </c>
      <c r="T129" s="11" t="s">
        <v>37</v>
      </c>
      <c r="U129" s="11" t="s">
        <v>38</v>
      </c>
      <c r="V129" s="11">
        <v>1</v>
      </c>
      <c r="W129" s="11" t="s">
        <v>89</v>
      </c>
      <c r="X129" s="11" t="s">
        <v>3334</v>
      </c>
      <c r="Y129" s="11" t="s">
        <v>109</v>
      </c>
      <c r="Z129" s="11" t="s">
        <v>53</v>
      </c>
      <c r="AA129" s="11" t="s">
        <v>3262</v>
      </c>
    </row>
    <row r="130" spans="1:27">
      <c r="A130" s="11" t="s">
        <v>673</v>
      </c>
      <c r="B130" s="11" t="s">
        <v>674</v>
      </c>
      <c r="C130" s="11" t="s">
        <v>56</v>
      </c>
      <c r="D130" s="19">
        <v>56</v>
      </c>
      <c r="E130" s="11" t="s">
        <v>92</v>
      </c>
      <c r="F130" s="11" t="s">
        <v>29</v>
      </c>
      <c r="G130" s="11" t="s">
        <v>83</v>
      </c>
      <c r="H130" s="12">
        <v>46026</v>
      </c>
      <c r="I130" s="12" t="str">
        <f t="shared" ref="I130:I193" si="2">TEXT(H130, "mmmm")</f>
        <v>January</v>
      </c>
      <c r="J130" s="24">
        <v>0.60277777777777775</v>
      </c>
      <c r="K130" s="19">
        <v>24</v>
      </c>
      <c r="L130" s="12">
        <v>46027</v>
      </c>
      <c r="M130" s="24">
        <v>0.56111111111111112</v>
      </c>
      <c r="N130" s="11">
        <v>23</v>
      </c>
      <c r="O130" s="11" t="s">
        <v>68</v>
      </c>
      <c r="P130" s="11" t="s">
        <v>270</v>
      </c>
      <c r="Q130" s="11" t="s">
        <v>677</v>
      </c>
      <c r="R130" s="11" t="s">
        <v>36</v>
      </c>
      <c r="S130" s="19">
        <v>50</v>
      </c>
      <c r="T130" s="11" t="s">
        <v>49</v>
      </c>
      <c r="U130" s="11" t="s">
        <v>164</v>
      </c>
      <c r="V130" s="11">
        <v>4</v>
      </c>
      <c r="W130" s="11" t="s">
        <v>89</v>
      </c>
      <c r="X130" s="11" t="s">
        <v>51</v>
      </c>
      <c r="Y130" s="11" t="s">
        <v>52</v>
      </c>
      <c r="Z130" s="11" t="s">
        <v>42</v>
      </c>
      <c r="AA130" s="11" t="s">
        <v>3253</v>
      </c>
    </row>
    <row r="131" spans="1:27">
      <c r="A131" s="11" t="s">
        <v>678</v>
      </c>
      <c r="B131" s="11" t="s">
        <v>679</v>
      </c>
      <c r="C131" s="11" t="s">
        <v>56</v>
      </c>
      <c r="D131" s="19">
        <v>67</v>
      </c>
      <c r="E131" s="11" t="s">
        <v>57</v>
      </c>
      <c r="F131" s="11" t="s">
        <v>29</v>
      </c>
      <c r="G131" s="11" t="s">
        <v>58</v>
      </c>
      <c r="H131" s="12">
        <v>46195</v>
      </c>
      <c r="I131" s="12" t="str">
        <f t="shared" si="2"/>
        <v>June</v>
      </c>
      <c r="J131" s="24">
        <v>0.37916666666666665</v>
      </c>
      <c r="K131" s="19">
        <v>3</v>
      </c>
      <c r="L131" s="12">
        <v>46195</v>
      </c>
      <c r="M131" s="24">
        <v>0.54583333333333328</v>
      </c>
      <c r="N131" s="11">
        <v>4</v>
      </c>
      <c r="O131" s="11" t="s">
        <v>34</v>
      </c>
      <c r="P131" s="11" t="s">
        <v>35</v>
      </c>
      <c r="Q131" s="11"/>
      <c r="R131" s="11" t="s">
        <v>36</v>
      </c>
      <c r="S131" s="19">
        <v>15</v>
      </c>
      <c r="T131" s="11" t="s">
        <v>37</v>
      </c>
      <c r="U131" s="11" t="s">
        <v>164</v>
      </c>
      <c r="V131" s="11">
        <v>4</v>
      </c>
      <c r="W131" s="11" t="s">
        <v>62</v>
      </c>
      <c r="X131" s="11" t="s">
        <v>3325</v>
      </c>
      <c r="Y131" s="11" t="s">
        <v>109</v>
      </c>
      <c r="Z131" s="11" t="s">
        <v>42</v>
      </c>
      <c r="AA131" s="11" t="s">
        <v>3228</v>
      </c>
    </row>
    <row r="132" spans="1:27">
      <c r="A132" s="11" t="s">
        <v>683</v>
      </c>
      <c r="B132" s="11" t="s">
        <v>684</v>
      </c>
      <c r="C132" s="11" t="s">
        <v>27</v>
      </c>
      <c r="D132" s="19">
        <v>89</v>
      </c>
      <c r="E132" s="11" t="s">
        <v>28</v>
      </c>
      <c r="F132" s="11" t="s">
        <v>29</v>
      </c>
      <c r="G132" s="11" t="s">
        <v>30</v>
      </c>
      <c r="H132" s="12">
        <v>46168</v>
      </c>
      <c r="I132" s="12" t="str">
        <f t="shared" si="2"/>
        <v>May</v>
      </c>
      <c r="J132" s="24">
        <v>0.39652777777777776</v>
      </c>
      <c r="K132" s="19">
        <v>5</v>
      </c>
      <c r="L132" s="12">
        <v>46168</v>
      </c>
      <c r="M132" s="24">
        <v>0.81319444444444444</v>
      </c>
      <c r="N132" s="11">
        <v>10</v>
      </c>
      <c r="O132" s="11" t="s">
        <v>34</v>
      </c>
      <c r="P132" s="11" t="s">
        <v>35</v>
      </c>
      <c r="Q132" s="11"/>
      <c r="R132" s="11" t="s">
        <v>36</v>
      </c>
      <c r="S132" s="19">
        <v>35</v>
      </c>
      <c r="T132" s="11" t="s">
        <v>49</v>
      </c>
      <c r="U132" s="11" t="s">
        <v>96</v>
      </c>
      <c r="V132" s="11">
        <v>4</v>
      </c>
      <c r="W132" s="11" t="s">
        <v>39</v>
      </c>
      <c r="X132" s="11" t="s">
        <v>3333</v>
      </c>
      <c r="Y132" s="11" t="s">
        <v>109</v>
      </c>
      <c r="Z132" s="11" t="s">
        <v>71</v>
      </c>
      <c r="AA132" s="11" t="str">
        <f>IF(A132=" ", "Missing Value", " ")</f>
        <v xml:space="preserve"> </v>
      </c>
    </row>
    <row r="133" spans="1:27">
      <c r="A133" s="11" t="s">
        <v>687</v>
      </c>
      <c r="B133" s="11" t="s">
        <v>688</v>
      </c>
      <c r="C133" s="11" t="s">
        <v>56</v>
      </c>
      <c r="D133" s="19">
        <v>53</v>
      </c>
      <c r="E133" s="11" t="s">
        <v>149</v>
      </c>
      <c r="F133" s="11" t="s">
        <v>29</v>
      </c>
      <c r="G133" s="11" t="s">
        <v>30</v>
      </c>
      <c r="H133" s="12">
        <v>46045</v>
      </c>
      <c r="I133" s="12" t="str">
        <f t="shared" si="2"/>
        <v>January</v>
      </c>
      <c r="J133" s="24">
        <v>0.30972222222222223</v>
      </c>
      <c r="K133" s="19">
        <v>6</v>
      </c>
      <c r="L133" s="12">
        <v>46045</v>
      </c>
      <c r="M133" s="24">
        <v>0.5180555555555556</v>
      </c>
      <c r="N133" s="11">
        <v>5</v>
      </c>
      <c r="O133" s="11" t="s">
        <v>68</v>
      </c>
      <c r="P133" s="11" t="s">
        <v>35</v>
      </c>
      <c r="Q133" s="11"/>
      <c r="R133" s="11" t="s">
        <v>36</v>
      </c>
      <c r="S133" s="19"/>
      <c r="T133" s="11" t="s">
        <v>49</v>
      </c>
      <c r="U133" s="11" t="s">
        <v>38</v>
      </c>
      <c r="V133" s="11">
        <v>3</v>
      </c>
      <c r="W133" s="11" t="s">
        <v>70</v>
      </c>
      <c r="X133" s="11" t="s">
        <v>3333</v>
      </c>
      <c r="Y133" s="11" t="s">
        <v>41</v>
      </c>
      <c r="Z133" s="11" t="s">
        <v>71</v>
      </c>
      <c r="AA133" s="11" t="str">
        <f>IF(A133=" ", "Missing Value", " ")</f>
        <v xml:space="preserve"> </v>
      </c>
    </row>
    <row r="134" spans="1:27">
      <c r="A134" s="11" t="s">
        <v>691</v>
      </c>
      <c r="B134" s="11" t="s">
        <v>692</v>
      </c>
      <c r="C134" s="11" t="s">
        <v>56</v>
      </c>
      <c r="D134" s="19">
        <v>76</v>
      </c>
      <c r="E134" s="11" t="s">
        <v>92</v>
      </c>
      <c r="F134" s="11" t="s">
        <v>29</v>
      </c>
      <c r="G134" s="11" t="s">
        <v>168</v>
      </c>
      <c r="H134" s="12">
        <v>46110</v>
      </c>
      <c r="I134" s="12" t="str">
        <f t="shared" si="2"/>
        <v>March</v>
      </c>
      <c r="J134" s="24">
        <v>0.67361111111111116</v>
      </c>
      <c r="K134" s="19">
        <v>24</v>
      </c>
      <c r="L134" s="12">
        <v>46111</v>
      </c>
      <c r="M134" s="24">
        <v>0.96527777777777779</v>
      </c>
      <c r="N134" s="11">
        <v>31</v>
      </c>
      <c r="O134" s="11" t="s">
        <v>34</v>
      </c>
      <c r="P134" s="11" t="s">
        <v>35</v>
      </c>
      <c r="Q134" s="11"/>
      <c r="R134" s="11" t="s">
        <v>36</v>
      </c>
      <c r="S134" s="19">
        <v>50</v>
      </c>
      <c r="T134" s="11" t="s">
        <v>37</v>
      </c>
      <c r="U134" s="11" t="s">
        <v>38</v>
      </c>
      <c r="V134" s="11">
        <v>4</v>
      </c>
      <c r="W134" s="11" t="s">
        <v>62</v>
      </c>
      <c r="X134" s="11" t="s">
        <v>51</v>
      </c>
      <c r="Y134" s="11" t="s">
        <v>41</v>
      </c>
      <c r="Z134" s="11" t="s">
        <v>42</v>
      </c>
      <c r="AA134" s="11" t="s">
        <v>3235</v>
      </c>
    </row>
    <row r="135" spans="1:27">
      <c r="A135" s="11" t="s">
        <v>694</v>
      </c>
      <c r="B135" s="11" t="s">
        <v>695</v>
      </c>
      <c r="C135" s="11" t="s">
        <v>56</v>
      </c>
      <c r="D135" s="19">
        <v>1</v>
      </c>
      <c r="E135" s="11" t="s">
        <v>81</v>
      </c>
      <c r="F135" s="11" t="s">
        <v>82</v>
      </c>
      <c r="G135" s="11" t="s">
        <v>83</v>
      </c>
      <c r="H135" s="12">
        <v>46120</v>
      </c>
      <c r="I135" s="12" t="str">
        <f t="shared" si="2"/>
        <v>April</v>
      </c>
      <c r="J135" s="24">
        <v>0.39305555555555555</v>
      </c>
      <c r="K135" s="19">
        <v>8</v>
      </c>
      <c r="L135" s="12">
        <v>46121</v>
      </c>
      <c r="M135" s="24">
        <v>5.9722222222222225E-2</v>
      </c>
      <c r="N135" s="11">
        <v>16</v>
      </c>
      <c r="O135" s="11" t="s">
        <v>34</v>
      </c>
      <c r="P135" s="11" t="s">
        <v>35</v>
      </c>
      <c r="Q135" s="11"/>
      <c r="R135" s="11" t="s">
        <v>36</v>
      </c>
      <c r="S135" s="19">
        <v>20</v>
      </c>
      <c r="T135" s="11" t="s">
        <v>37</v>
      </c>
      <c r="U135" s="11" t="s">
        <v>164</v>
      </c>
      <c r="V135" s="11">
        <v>5</v>
      </c>
      <c r="W135" s="11" t="s">
        <v>39</v>
      </c>
      <c r="X135" s="11" t="s">
        <v>3333</v>
      </c>
      <c r="Y135" s="11" t="s">
        <v>52</v>
      </c>
      <c r="Z135" s="11" t="s">
        <v>53</v>
      </c>
      <c r="AA135" s="11" t="str">
        <f>IF(A135=" ", "Missing Value", " ")</f>
        <v xml:space="preserve"> </v>
      </c>
    </row>
    <row r="136" spans="1:27">
      <c r="A136" s="11" t="s">
        <v>698</v>
      </c>
      <c r="B136" s="11" t="s">
        <v>699</v>
      </c>
      <c r="C136" s="11" t="s">
        <v>27</v>
      </c>
      <c r="D136" s="19">
        <v>3</v>
      </c>
      <c r="E136" s="11" t="s">
        <v>81</v>
      </c>
      <c r="F136" s="11" t="s">
        <v>82</v>
      </c>
      <c r="G136" s="11" t="s">
        <v>58</v>
      </c>
      <c r="H136" s="12">
        <v>46087</v>
      </c>
      <c r="I136" s="12" t="str">
        <f t="shared" si="2"/>
        <v>March</v>
      </c>
      <c r="J136" s="24">
        <v>0.4284722222222222</v>
      </c>
      <c r="K136" s="19">
        <v>8</v>
      </c>
      <c r="L136" s="12">
        <v>46087</v>
      </c>
      <c r="M136" s="24">
        <v>0.84513888888888888</v>
      </c>
      <c r="N136" s="11">
        <v>10</v>
      </c>
      <c r="O136" s="11" t="s">
        <v>34</v>
      </c>
      <c r="P136" s="11" t="s">
        <v>35</v>
      </c>
      <c r="Q136" s="11"/>
      <c r="R136" s="11" t="s">
        <v>36</v>
      </c>
      <c r="S136" s="19">
        <v>20</v>
      </c>
      <c r="T136" s="11" t="s">
        <v>49</v>
      </c>
      <c r="U136" s="11" t="s">
        <v>96</v>
      </c>
      <c r="V136" s="11">
        <v>1</v>
      </c>
      <c r="W136" s="11" t="s">
        <v>70</v>
      </c>
      <c r="X136" s="11" t="s">
        <v>3325</v>
      </c>
      <c r="Y136" s="11" t="s">
        <v>109</v>
      </c>
      <c r="Z136" s="11" t="s">
        <v>71</v>
      </c>
      <c r="AA136" s="11" t="s">
        <v>3234</v>
      </c>
    </row>
    <row r="137" spans="1:27">
      <c r="A137" s="11" t="s">
        <v>701</v>
      </c>
      <c r="B137" s="11" t="s">
        <v>702</v>
      </c>
      <c r="C137" s="11" t="s">
        <v>56</v>
      </c>
      <c r="D137" s="19">
        <v>46</v>
      </c>
      <c r="E137" s="11" t="s">
        <v>57</v>
      </c>
      <c r="F137" s="11" t="s">
        <v>29</v>
      </c>
      <c r="G137" s="11" t="s">
        <v>93</v>
      </c>
      <c r="H137" s="12">
        <v>46048</v>
      </c>
      <c r="I137" s="12" t="str">
        <f t="shared" si="2"/>
        <v>January</v>
      </c>
      <c r="J137" s="24">
        <v>0.48194444444444445</v>
      </c>
      <c r="K137" s="19">
        <v>3</v>
      </c>
      <c r="L137" s="12">
        <v>46048</v>
      </c>
      <c r="M137" s="24">
        <v>0.6069444444444444</v>
      </c>
      <c r="N137" s="11">
        <v>3</v>
      </c>
      <c r="O137" s="11" t="s">
        <v>68</v>
      </c>
      <c r="P137" s="11" t="s">
        <v>35</v>
      </c>
      <c r="Q137" s="11"/>
      <c r="R137" s="11" t="s">
        <v>36</v>
      </c>
      <c r="S137" s="19">
        <v>15</v>
      </c>
      <c r="T137" s="11" t="s">
        <v>49</v>
      </c>
      <c r="U137" s="11" t="s">
        <v>38</v>
      </c>
      <c r="V137" s="11">
        <v>5</v>
      </c>
      <c r="W137" s="11" t="s">
        <v>39</v>
      </c>
      <c r="X137" s="11" t="s">
        <v>3333</v>
      </c>
      <c r="Y137" s="11" t="s">
        <v>52</v>
      </c>
      <c r="Z137" s="11" t="s">
        <v>71</v>
      </c>
      <c r="AA137" s="11" t="s">
        <v>3234</v>
      </c>
    </row>
    <row r="138" spans="1:27">
      <c r="A138" s="11" t="s">
        <v>705</v>
      </c>
      <c r="B138" s="11" t="s">
        <v>706</v>
      </c>
      <c r="C138" s="11" t="s">
        <v>27</v>
      </c>
      <c r="D138" s="19">
        <v>45</v>
      </c>
      <c r="E138" s="11" t="s">
        <v>149</v>
      </c>
      <c r="F138" s="11" t="s">
        <v>29</v>
      </c>
      <c r="G138" s="11" t="s">
        <v>30</v>
      </c>
      <c r="H138" s="12">
        <v>46067</v>
      </c>
      <c r="I138" s="12" t="str">
        <f t="shared" si="2"/>
        <v>February</v>
      </c>
      <c r="J138" s="24">
        <v>0.54791666666666672</v>
      </c>
      <c r="K138" s="19">
        <v>6</v>
      </c>
      <c r="L138" s="12">
        <v>46067</v>
      </c>
      <c r="M138" s="24">
        <v>0.75624999999999998</v>
      </c>
      <c r="N138" s="11">
        <v>5</v>
      </c>
      <c r="O138" s="11" t="s">
        <v>68</v>
      </c>
      <c r="P138" s="11" t="s">
        <v>35</v>
      </c>
      <c r="Q138" s="11"/>
      <c r="R138" s="11" t="s">
        <v>36</v>
      </c>
      <c r="S138" s="19">
        <v>40</v>
      </c>
      <c r="T138" s="11" t="s">
        <v>49</v>
      </c>
      <c r="U138" s="11" t="s">
        <v>38</v>
      </c>
      <c r="V138" s="11">
        <v>3</v>
      </c>
      <c r="W138" s="11" t="s">
        <v>39</v>
      </c>
      <c r="X138" s="11" t="s">
        <v>3333</v>
      </c>
      <c r="Y138" s="11" t="s">
        <v>109</v>
      </c>
      <c r="Z138" s="11" t="s">
        <v>71</v>
      </c>
      <c r="AA138" s="11" t="str">
        <f>IF(A138=" ", "Missing Value", " ")</f>
        <v xml:space="preserve"> </v>
      </c>
    </row>
    <row r="139" spans="1:27">
      <c r="A139" s="11" t="s">
        <v>710</v>
      </c>
      <c r="B139" s="11" t="s">
        <v>711</v>
      </c>
      <c r="C139" s="11" t="s">
        <v>56</v>
      </c>
      <c r="D139" s="19">
        <v>30</v>
      </c>
      <c r="E139" s="11" t="s">
        <v>149</v>
      </c>
      <c r="F139" s="11" t="s">
        <v>29</v>
      </c>
      <c r="G139" s="11" t="s">
        <v>83</v>
      </c>
      <c r="H139" s="12">
        <v>46088</v>
      </c>
      <c r="I139" s="12" t="str">
        <f t="shared" si="2"/>
        <v>March</v>
      </c>
      <c r="J139" s="24">
        <v>0.38263888888888886</v>
      </c>
      <c r="K139" s="19">
        <v>6</v>
      </c>
      <c r="L139" s="12">
        <v>46088</v>
      </c>
      <c r="M139" s="24">
        <v>0.96597222222222223</v>
      </c>
      <c r="N139" s="11">
        <v>14</v>
      </c>
      <c r="O139" s="11" t="s">
        <v>34</v>
      </c>
      <c r="P139" s="11" t="s">
        <v>35</v>
      </c>
      <c r="Q139" s="11"/>
      <c r="R139" s="11" t="s">
        <v>36</v>
      </c>
      <c r="S139" s="19">
        <v>40</v>
      </c>
      <c r="T139" s="11" t="s">
        <v>49</v>
      </c>
      <c r="U139" s="11" t="s">
        <v>164</v>
      </c>
      <c r="V139" s="11">
        <v>5</v>
      </c>
      <c r="W139" s="11" t="s">
        <v>89</v>
      </c>
      <c r="X139" s="11" t="s">
        <v>3325</v>
      </c>
      <c r="Y139" s="11" t="s">
        <v>109</v>
      </c>
      <c r="Z139" s="11" t="s">
        <v>71</v>
      </c>
      <c r="AA139" s="11" t="s">
        <v>3234</v>
      </c>
    </row>
    <row r="140" spans="1:27">
      <c r="A140" s="11" t="s">
        <v>714</v>
      </c>
      <c r="B140" s="11" t="s">
        <v>715</v>
      </c>
      <c r="C140" s="11" t="s">
        <v>27</v>
      </c>
      <c r="D140" s="19">
        <v>62</v>
      </c>
      <c r="E140" s="11" t="s">
        <v>173</v>
      </c>
      <c r="F140" s="11" t="s">
        <v>29</v>
      </c>
      <c r="G140" s="11" t="s">
        <v>168</v>
      </c>
      <c r="H140" s="12">
        <v>46189</v>
      </c>
      <c r="I140" s="12" t="str">
        <f t="shared" si="2"/>
        <v>June</v>
      </c>
      <c r="J140" s="24">
        <v>0.64930555555555558</v>
      </c>
      <c r="K140" s="19">
        <v>4</v>
      </c>
      <c r="L140" s="12">
        <v>46189</v>
      </c>
      <c r="M140" s="24">
        <v>0.81597222222222221</v>
      </c>
      <c r="N140" s="11">
        <v>4</v>
      </c>
      <c r="O140" s="11" t="s">
        <v>68</v>
      </c>
      <c r="P140" s="11" t="s">
        <v>35</v>
      </c>
      <c r="Q140" s="11"/>
      <c r="R140" s="11" t="s">
        <v>36</v>
      </c>
      <c r="S140" s="19">
        <v>25</v>
      </c>
      <c r="T140" s="11" t="s">
        <v>49</v>
      </c>
      <c r="U140" s="11" t="s">
        <v>164</v>
      </c>
      <c r="V140" s="11">
        <v>3</v>
      </c>
      <c r="W140" s="11" t="s">
        <v>62</v>
      </c>
      <c r="X140" s="11" t="s">
        <v>51</v>
      </c>
      <c r="Y140" s="11" t="s">
        <v>109</v>
      </c>
      <c r="Z140" s="11" t="s">
        <v>42</v>
      </c>
      <c r="AA140" s="11" t="s">
        <v>3234</v>
      </c>
    </row>
    <row r="141" spans="1:27">
      <c r="A141" s="11" t="s">
        <v>717</v>
      </c>
      <c r="B141" s="11" t="s">
        <v>718</v>
      </c>
      <c r="C141" s="11" t="s">
        <v>27</v>
      </c>
      <c r="D141" s="19">
        <v>12</v>
      </c>
      <c r="E141" s="11" t="s">
        <v>28</v>
      </c>
      <c r="F141" s="11" t="s">
        <v>29</v>
      </c>
      <c r="G141" s="11" t="s">
        <v>30</v>
      </c>
      <c r="H141" s="12">
        <v>46105</v>
      </c>
      <c r="I141" s="12" t="str">
        <f t="shared" si="2"/>
        <v>March</v>
      </c>
      <c r="J141" s="24">
        <v>0.44513888888888886</v>
      </c>
      <c r="K141" s="19">
        <v>5</v>
      </c>
      <c r="L141" s="12">
        <v>46105</v>
      </c>
      <c r="M141" s="24">
        <v>0.7368055555555556</v>
      </c>
      <c r="N141" s="11">
        <v>7</v>
      </c>
      <c r="O141" s="11" t="s">
        <v>34</v>
      </c>
      <c r="P141" s="11" t="s">
        <v>35</v>
      </c>
      <c r="Q141" s="11"/>
      <c r="R141" s="11" t="s">
        <v>36</v>
      </c>
      <c r="S141" s="19">
        <v>35</v>
      </c>
      <c r="T141" s="11" t="s">
        <v>49</v>
      </c>
      <c r="U141" s="11" t="s">
        <v>38</v>
      </c>
      <c r="V141" s="11">
        <v>4</v>
      </c>
      <c r="W141" s="11" t="s">
        <v>89</v>
      </c>
      <c r="X141" s="11" t="s">
        <v>3325</v>
      </c>
      <c r="Y141" s="11" t="s">
        <v>52</v>
      </c>
      <c r="Z141" s="11" t="s">
        <v>42</v>
      </c>
      <c r="AA141" s="11" t="str">
        <f>IF(A141=" ", "Missing Value", " ")</f>
        <v xml:space="preserve"> </v>
      </c>
    </row>
    <row r="142" spans="1:27">
      <c r="A142" s="11" t="s">
        <v>721</v>
      </c>
      <c r="B142" s="11" t="s">
        <v>722</v>
      </c>
      <c r="C142" s="11" t="s">
        <v>56</v>
      </c>
      <c r="D142" s="19">
        <v>45</v>
      </c>
      <c r="E142" s="11" t="s">
        <v>57</v>
      </c>
      <c r="F142" s="11" t="s">
        <v>29</v>
      </c>
      <c r="G142" s="11" t="s">
        <v>168</v>
      </c>
      <c r="H142" s="12">
        <v>46035</v>
      </c>
      <c r="I142" s="12" t="str">
        <f t="shared" si="2"/>
        <v>January</v>
      </c>
      <c r="J142" s="24">
        <v>0.33611111111111114</v>
      </c>
      <c r="K142" s="19">
        <v>3</v>
      </c>
      <c r="L142" s="12">
        <v>46035</v>
      </c>
      <c r="M142" s="24">
        <v>0.6694444444444444</v>
      </c>
      <c r="N142" s="11">
        <v>8</v>
      </c>
      <c r="O142" s="11" t="s">
        <v>34</v>
      </c>
      <c r="P142" s="11" t="s">
        <v>270</v>
      </c>
      <c r="Q142" s="11" t="s">
        <v>620</v>
      </c>
      <c r="R142" s="11" t="s">
        <v>36</v>
      </c>
      <c r="S142" s="19">
        <v>15</v>
      </c>
      <c r="T142" s="11" t="s">
        <v>49</v>
      </c>
      <c r="U142" s="11" t="s">
        <v>38</v>
      </c>
      <c r="V142" s="11">
        <v>2</v>
      </c>
      <c r="W142" s="11" t="s">
        <v>62</v>
      </c>
      <c r="X142" s="11" t="s">
        <v>3334</v>
      </c>
      <c r="Y142" s="11" t="s">
        <v>41</v>
      </c>
      <c r="Z142" s="11" t="s">
        <v>53</v>
      </c>
      <c r="AA142" s="11" t="s">
        <v>3254</v>
      </c>
    </row>
    <row r="143" spans="1:27">
      <c r="A143" s="11" t="s">
        <v>726</v>
      </c>
      <c r="B143" s="11" t="s">
        <v>727</v>
      </c>
      <c r="C143" s="11" t="s">
        <v>27</v>
      </c>
      <c r="D143" s="19">
        <v>56</v>
      </c>
      <c r="E143" s="11" t="s">
        <v>81</v>
      </c>
      <c r="F143" s="11" t="s">
        <v>82</v>
      </c>
      <c r="G143" s="11" t="s">
        <v>83</v>
      </c>
      <c r="H143" s="12">
        <v>46039</v>
      </c>
      <c r="I143" s="12" t="str">
        <f t="shared" si="2"/>
        <v>January</v>
      </c>
      <c r="J143" s="24">
        <v>0.45347222222222222</v>
      </c>
      <c r="K143" s="19">
        <v>8</v>
      </c>
      <c r="L143" s="12">
        <v>46040</v>
      </c>
      <c r="M143" s="24">
        <v>0.12013888888888889</v>
      </c>
      <c r="N143" s="11">
        <v>16</v>
      </c>
      <c r="O143" s="11" t="s">
        <v>34</v>
      </c>
      <c r="P143" s="11" t="s">
        <v>35</v>
      </c>
      <c r="Q143" s="11"/>
      <c r="R143" s="11" t="s">
        <v>36</v>
      </c>
      <c r="S143" s="19">
        <v>20</v>
      </c>
      <c r="T143" s="11" t="s">
        <v>49</v>
      </c>
      <c r="U143" s="11" t="s">
        <v>38</v>
      </c>
      <c r="V143" s="11">
        <v>4</v>
      </c>
      <c r="W143" s="11" t="s">
        <v>70</v>
      </c>
      <c r="X143" s="11" t="s">
        <v>3325</v>
      </c>
      <c r="Y143" s="11" t="s">
        <v>52</v>
      </c>
      <c r="Z143" s="11" t="s">
        <v>71</v>
      </c>
      <c r="AA143" s="11" t="str">
        <f>IF(A143=" ", "Missing Value", " ")</f>
        <v xml:space="preserve"> </v>
      </c>
    </row>
    <row r="144" spans="1:27">
      <c r="A144" s="11" t="s">
        <v>732</v>
      </c>
      <c r="B144" s="11" t="s">
        <v>733</v>
      </c>
      <c r="C144" s="11" t="s">
        <v>56</v>
      </c>
      <c r="D144" s="19">
        <v>33</v>
      </c>
      <c r="E144" s="11" t="s">
        <v>92</v>
      </c>
      <c r="F144" s="11" t="s">
        <v>29</v>
      </c>
      <c r="G144" s="11" t="s">
        <v>83</v>
      </c>
      <c r="H144" s="12">
        <v>46121</v>
      </c>
      <c r="I144" s="12" t="str">
        <f t="shared" si="2"/>
        <v>April</v>
      </c>
      <c r="J144" s="24">
        <v>0.35972222222222222</v>
      </c>
      <c r="K144" s="19">
        <v>24</v>
      </c>
      <c r="L144" s="12">
        <v>46122</v>
      </c>
      <c r="M144" s="24">
        <v>0.40138888888888891</v>
      </c>
      <c r="N144" s="11">
        <v>25</v>
      </c>
      <c r="O144" s="11" t="s">
        <v>34</v>
      </c>
      <c r="P144" s="11" t="s">
        <v>35</v>
      </c>
      <c r="Q144" s="11"/>
      <c r="R144" s="11" t="s">
        <v>36</v>
      </c>
      <c r="S144" s="19">
        <v>50</v>
      </c>
      <c r="T144" s="11" t="s">
        <v>37</v>
      </c>
      <c r="U144" s="11" t="s">
        <v>38</v>
      </c>
      <c r="V144" s="11">
        <v>1</v>
      </c>
      <c r="W144" s="11" t="s">
        <v>89</v>
      </c>
      <c r="X144" s="11" t="s">
        <v>3334</v>
      </c>
      <c r="Y144" s="11" t="s">
        <v>41</v>
      </c>
      <c r="Z144" s="11" t="s">
        <v>71</v>
      </c>
      <c r="AA144" s="11" t="s">
        <v>3235</v>
      </c>
    </row>
    <row r="145" spans="1:27">
      <c r="A145" s="11" t="s">
        <v>735</v>
      </c>
      <c r="B145" s="11" t="s">
        <v>736</v>
      </c>
      <c r="C145" s="11" t="s">
        <v>27</v>
      </c>
      <c r="D145" s="19">
        <v>17</v>
      </c>
      <c r="E145" s="11" t="s">
        <v>28</v>
      </c>
      <c r="F145" s="11" t="s">
        <v>29</v>
      </c>
      <c r="G145" s="11" t="s">
        <v>58</v>
      </c>
      <c r="H145" s="12">
        <v>46058</v>
      </c>
      <c r="I145" s="12" t="str">
        <f t="shared" si="2"/>
        <v>February</v>
      </c>
      <c r="J145" s="24">
        <v>0.62986111111111109</v>
      </c>
      <c r="K145" s="19">
        <v>5</v>
      </c>
      <c r="L145" s="12">
        <v>46058</v>
      </c>
      <c r="M145" s="24">
        <v>0.96319444444444446</v>
      </c>
      <c r="N145" s="11">
        <v>8</v>
      </c>
      <c r="O145" s="11" t="s">
        <v>34</v>
      </c>
      <c r="P145" s="11" t="s">
        <v>35</v>
      </c>
      <c r="Q145" s="11"/>
      <c r="R145" s="11" t="s">
        <v>36</v>
      </c>
      <c r="S145" s="19">
        <v>35</v>
      </c>
      <c r="T145" s="11" t="s">
        <v>49</v>
      </c>
      <c r="U145" s="11" t="s">
        <v>164</v>
      </c>
      <c r="V145" s="11">
        <v>4</v>
      </c>
      <c r="W145" s="11" t="s">
        <v>89</v>
      </c>
      <c r="X145" s="11" t="s">
        <v>51</v>
      </c>
      <c r="Y145" s="11" t="s">
        <v>109</v>
      </c>
      <c r="Z145" s="11" t="s">
        <v>53</v>
      </c>
      <c r="AA145" s="11" t="s">
        <v>3234</v>
      </c>
    </row>
    <row r="146" spans="1:27">
      <c r="A146" s="11" t="s">
        <v>738</v>
      </c>
      <c r="B146" s="11" t="s">
        <v>739</v>
      </c>
      <c r="C146" s="11" t="s">
        <v>27</v>
      </c>
      <c r="D146" s="19">
        <v>2</v>
      </c>
      <c r="E146" s="11" t="s">
        <v>173</v>
      </c>
      <c r="F146" s="11" t="s">
        <v>29</v>
      </c>
      <c r="G146" s="11" t="s">
        <v>83</v>
      </c>
      <c r="H146" s="12">
        <v>46198</v>
      </c>
      <c r="I146" s="12" t="str">
        <f t="shared" si="2"/>
        <v>June</v>
      </c>
      <c r="J146" s="24">
        <v>0.49027777777777776</v>
      </c>
      <c r="K146" s="19">
        <v>4</v>
      </c>
      <c r="L146" s="12">
        <v>46198</v>
      </c>
      <c r="M146" s="24">
        <v>0.78194444444444444</v>
      </c>
      <c r="N146" s="11">
        <v>7</v>
      </c>
      <c r="O146" s="11" t="s">
        <v>34</v>
      </c>
      <c r="P146" s="11" t="s">
        <v>35</v>
      </c>
      <c r="Q146" s="11"/>
      <c r="R146" s="11" t="s">
        <v>36</v>
      </c>
      <c r="S146" s="19">
        <v>25</v>
      </c>
      <c r="T146" s="11" t="s">
        <v>49</v>
      </c>
      <c r="U146" s="11" t="s">
        <v>38</v>
      </c>
      <c r="V146" s="11">
        <v>2</v>
      </c>
      <c r="W146" s="11" t="s">
        <v>62</v>
      </c>
      <c r="X146" s="11" t="s">
        <v>3333</v>
      </c>
      <c r="Y146" s="11" t="s">
        <v>109</v>
      </c>
      <c r="Z146" s="11" t="s">
        <v>71</v>
      </c>
      <c r="AA146" s="11" t="s">
        <v>3234</v>
      </c>
    </row>
    <row r="147" spans="1:27">
      <c r="A147" s="11" t="s">
        <v>741</v>
      </c>
      <c r="B147" s="11" t="s">
        <v>742</v>
      </c>
      <c r="C147" s="11" t="s">
        <v>27</v>
      </c>
      <c r="D147" s="19">
        <v>21</v>
      </c>
      <c r="E147" s="11" t="s">
        <v>81</v>
      </c>
      <c r="F147" s="11" t="s">
        <v>82</v>
      </c>
      <c r="G147" s="11" t="s">
        <v>83</v>
      </c>
      <c r="H147" s="12">
        <v>46131</v>
      </c>
      <c r="I147" s="12" t="str">
        <f t="shared" si="2"/>
        <v>April</v>
      </c>
      <c r="J147" s="24">
        <v>0.53263888888888888</v>
      </c>
      <c r="K147" s="19">
        <v>8</v>
      </c>
      <c r="L147" s="12">
        <v>46132</v>
      </c>
      <c r="M147" s="24">
        <v>0.15763888888888888</v>
      </c>
      <c r="N147" s="11">
        <v>15</v>
      </c>
      <c r="O147" s="11" t="s">
        <v>34</v>
      </c>
      <c r="P147" s="11" t="s">
        <v>35</v>
      </c>
      <c r="Q147" s="11"/>
      <c r="R147" s="11" t="s">
        <v>132</v>
      </c>
      <c r="S147" s="19">
        <v>20</v>
      </c>
      <c r="T147" s="11" t="s">
        <v>37</v>
      </c>
      <c r="U147" s="11" t="s">
        <v>164</v>
      </c>
      <c r="V147" s="11">
        <v>2</v>
      </c>
      <c r="W147" s="11" t="s">
        <v>70</v>
      </c>
      <c r="X147" s="11" t="s">
        <v>3334</v>
      </c>
      <c r="Y147" s="11" t="s">
        <v>109</v>
      </c>
      <c r="Z147" s="11" t="s">
        <v>42</v>
      </c>
      <c r="AA147" s="11" t="s">
        <v>3262</v>
      </c>
    </row>
    <row r="148" spans="1:27">
      <c r="A148" s="11" t="s">
        <v>745</v>
      </c>
      <c r="B148" s="11" t="s">
        <v>746</v>
      </c>
      <c r="C148" s="11" t="s">
        <v>27</v>
      </c>
      <c r="D148" s="19">
        <v>73</v>
      </c>
      <c r="E148" s="11" t="s">
        <v>81</v>
      </c>
      <c r="F148" s="11" t="s">
        <v>82</v>
      </c>
      <c r="G148" s="11" t="s">
        <v>58</v>
      </c>
      <c r="H148" s="12">
        <v>46120</v>
      </c>
      <c r="I148" s="12" t="str">
        <f t="shared" si="2"/>
        <v>April</v>
      </c>
      <c r="J148" s="24">
        <v>0.62847222222222221</v>
      </c>
      <c r="K148" s="19">
        <v>8</v>
      </c>
      <c r="L148" s="12">
        <v>46121</v>
      </c>
      <c r="M148" s="24">
        <v>0.2951388888888889</v>
      </c>
      <c r="N148" s="11">
        <v>16</v>
      </c>
      <c r="O148" s="11" t="s">
        <v>34</v>
      </c>
      <c r="P148" s="11" t="s">
        <v>35</v>
      </c>
      <c r="Q148" s="11"/>
      <c r="R148" s="11" t="s">
        <v>36</v>
      </c>
      <c r="S148" s="19">
        <v>20</v>
      </c>
      <c r="T148" s="11" t="s">
        <v>49</v>
      </c>
      <c r="U148" s="11" t="s">
        <v>96</v>
      </c>
      <c r="V148" s="11">
        <v>5</v>
      </c>
      <c r="W148" s="11" t="s">
        <v>89</v>
      </c>
      <c r="X148" s="11" t="s">
        <v>51</v>
      </c>
      <c r="Y148" s="11" t="s">
        <v>52</v>
      </c>
      <c r="Z148" s="11" t="s">
        <v>71</v>
      </c>
      <c r="AA148" s="11" t="s">
        <v>3234</v>
      </c>
    </row>
    <row r="149" spans="1:27">
      <c r="A149" s="11" t="s">
        <v>748</v>
      </c>
      <c r="B149" s="11" t="s">
        <v>749</v>
      </c>
      <c r="C149" s="11" t="s">
        <v>56</v>
      </c>
      <c r="D149" s="19">
        <v>65</v>
      </c>
      <c r="E149" s="11" t="s">
        <v>92</v>
      </c>
      <c r="F149" s="11" t="s">
        <v>29</v>
      </c>
      <c r="G149" s="11" t="s">
        <v>93</v>
      </c>
      <c r="H149" s="12">
        <v>46195</v>
      </c>
      <c r="I149" s="12" t="str">
        <f t="shared" si="2"/>
        <v>June</v>
      </c>
      <c r="J149" s="24">
        <v>0.58263888888888893</v>
      </c>
      <c r="K149" s="19">
        <v>24</v>
      </c>
      <c r="L149" s="12">
        <v>46196</v>
      </c>
      <c r="M149" s="24">
        <v>0.74930555555555556</v>
      </c>
      <c r="N149" s="11">
        <v>28</v>
      </c>
      <c r="O149" s="11" t="s">
        <v>34</v>
      </c>
      <c r="P149" s="11" t="s">
        <v>35</v>
      </c>
      <c r="Q149" s="11"/>
      <c r="R149" s="11" t="s">
        <v>36</v>
      </c>
      <c r="S149" s="19">
        <v>50</v>
      </c>
      <c r="T149" s="11" t="s">
        <v>49</v>
      </c>
      <c r="U149" s="11" t="s">
        <v>96</v>
      </c>
      <c r="V149" s="11">
        <v>2</v>
      </c>
      <c r="W149" s="11" t="s">
        <v>62</v>
      </c>
      <c r="X149" s="11" t="s">
        <v>3333</v>
      </c>
      <c r="Y149" s="11" t="s">
        <v>109</v>
      </c>
      <c r="Z149" s="11" t="s">
        <v>42</v>
      </c>
      <c r="AA149" s="11" t="s">
        <v>3229</v>
      </c>
    </row>
    <row r="150" spans="1:27">
      <c r="A150" s="11" t="s">
        <v>751</v>
      </c>
      <c r="B150" s="11" t="s">
        <v>752</v>
      </c>
      <c r="C150" s="11" t="s">
        <v>56</v>
      </c>
      <c r="D150" s="19">
        <v>150</v>
      </c>
      <c r="E150" s="11" t="s">
        <v>81</v>
      </c>
      <c r="F150" s="11" t="s">
        <v>82</v>
      </c>
      <c r="G150" s="11" t="s">
        <v>168</v>
      </c>
      <c r="H150" s="12">
        <v>46131</v>
      </c>
      <c r="I150" s="12" t="str">
        <f t="shared" si="2"/>
        <v>April</v>
      </c>
      <c r="J150" s="24">
        <v>0.67013888888888884</v>
      </c>
      <c r="K150" s="19">
        <v>8</v>
      </c>
      <c r="L150" s="12">
        <v>46132</v>
      </c>
      <c r="M150" s="24">
        <v>3.472222222222222E-3</v>
      </c>
      <c r="N150" s="11">
        <v>8</v>
      </c>
      <c r="O150" s="11" t="s">
        <v>68</v>
      </c>
      <c r="P150" s="11" t="s">
        <v>35</v>
      </c>
      <c r="Q150" s="11"/>
      <c r="R150" s="11" t="s">
        <v>36</v>
      </c>
      <c r="S150" s="19">
        <v>20</v>
      </c>
      <c r="T150" s="11" t="s">
        <v>37</v>
      </c>
      <c r="U150" s="11" t="s">
        <v>164</v>
      </c>
      <c r="V150" s="11">
        <v>4</v>
      </c>
      <c r="W150" s="11" t="s">
        <v>39</v>
      </c>
      <c r="X150" s="11" t="s">
        <v>3325</v>
      </c>
      <c r="Y150" s="11" t="s">
        <v>52</v>
      </c>
      <c r="Z150" s="11" t="s">
        <v>53</v>
      </c>
      <c r="AA150" s="11" t="s">
        <v>3239</v>
      </c>
    </row>
    <row r="151" spans="1:27">
      <c r="A151" s="11" t="s">
        <v>755</v>
      </c>
      <c r="B151" s="11" t="s">
        <v>756</v>
      </c>
      <c r="C151" s="11" t="s">
        <v>27</v>
      </c>
      <c r="D151" s="19">
        <v>41</v>
      </c>
      <c r="E151" s="11" t="s">
        <v>92</v>
      </c>
      <c r="F151" s="11" t="s">
        <v>29</v>
      </c>
      <c r="G151" s="11" t="s">
        <v>168</v>
      </c>
      <c r="H151" s="12">
        <v>46104</v>
      </c>
      <c r="I151" s="12" t="str">
        <f t="shared" si="2"/>
        <v>March</v>
      </c>
      <c r="J151" s="24">
        <v>0.33680555555555558</v>
      </c>
      <c r="K151" s="19">
        <v>24</v>
      </c>
      <c r="L151" s="12">
        <v>46105</v>
      </c>
      <c r="M151" s="24">
        <v>0.50347222222222221</v>
      </c>
      <c r="N151" s="11">
        <v>28</v>
      </c>
      <c r="O151" s="11" t="s">
        <v>34</v>
      </c>
      <c r="P151" s="11" t="s">
        <v>35</v>
      </c>
      <c r="Q151" s="11"/>
      <c r="R151" s="11" t="s">
        <v>36</v>
      </c>
      <c r="S151" s="19">
        <v>50</v>
      </c>
      <c r="T151" s="11" t="s">
        <v>49</v>
      </c>
      <c r="U151" s="11" t="s">
        <v>38</v>
      </c>
      <c r="V151" s="11">
        <v>1</v>
      </c>
      <c r="W151" s="11" t="s">
        <v>62</v>
      </c>
      <c r="X151" s="11" t="s">
        <v>3333</v>
      </c>
      <c r="Y151" s="11" t="s">
        <v>109</v>
      </c>
      <c r="Z151" s="11" t="s">
        <v>71</v>
      </c>
      <c r="AA151" s="11" t="s">
        <v>3234</v>
      </c>
    </row>
    <row r="152" spans="1:27">
      <c r="A152" s="11" t="s">
        <v>757</v>
      </c>
      <c r="B152" s="11" t="s">
        <v>758</v>
      </c>
      <c r="C152" s="11" t="s">
        <v>56</v>
      </c>
      <c r="D152" s="19">
        <v>3</v>
      </c>
      <c r="E152" s="11" t="s">
        <v>149</v>
      </c>
      <c r="F152" s="11" t="s">
        <v>29</v>
      </c>
      <c r="G152" s="11" t="s">
        <v>168</v>
      </c>
      <c r="H152" s="12">
        <v>46118</v>
      </c>
      <c r="I152" s="12" t="str">
        <f t="shared" si="2"/>
        <v>April</v>
      </c>
      <c r="J152" s="24">
        <v>0.34861111111111109</v>
      </c>
      <c r="K152" s="19">
        <v>6</v>
      </c>
      <c r="L152" s="12">
        <v>46118</v>
      </c>
      <c r="M152" s="24">
        <v>0.93194444444444446</v>
      </c>
      <c r="N152" s="11">
        <v>14</v>
      </c>
      <c r="O152" s="11" t="s">
        <v>34</v>
      </c>
      <c r="P152" s="11" t="s">
        <v>35</v>
      </c>
      <c r="Q152" s="11"/>
      <c r="R152" s="11" t="s">
        <v>36</v>
      </c>
      <c r="S152" s="19">
        <v>40</v>
      </c>
      <c r="T152" s="11" t="s">
        <v>49</v>
      </c>
      <c r="U152" s="11" t="s">
        <v>164</v>
      </c>
      <c r="V152" s="11">
        <v>5</v>
      </c>
      <c r="W152" s="11" t="s">
        <v>89</v>
      </c>
      <c r="X152" s="11" t="s">
        <v>3333</v>
      </c>
      <c r="Y152" s="11" t="s">
        <v>109</v>
      </c>
      <c r="Z152" s="11" t="s">
        <v>53</v>
      </c>
      <c r="AA152" s="11" t="s">
        <v>3234</v>
      </c>
    </row>
    <row r="153" spans="1:27">
      <c r="A153" s="11" t="s">
        <v>760</v>
      </c>
      <c r="B153" s="11" t="s">
        <v>761</v>
      </c>
      <c r="C153" s="11" t="s">
        <v>56</v>
      </c>
      <c r="D153" s="19">
        <v>75</v>
      </c>
      <c r="E153" s="11" t="s">
        <v>57</v>
      </c>
      <c r="F153" s="11" t="s">
        <v>29</v>
      </c>
      <c r="G153" s="11" t="s">
        <v>58</v>
      </c>
      <c r="H153" s="12">
        <v>46030</v>
      </c>
      <c r="I153" s="12" t="str">
        <f t="shared" si="2"/>
        <v>January</v>
      </c>
      <c r="J153" s="24">
        <v>0.51458333333333328</v>
      </c>
      <c r="K153" s="19">
        <v>3</v>
      </c>
      <c r="L153" s="12">
        <v>46030</v>
      </c>
      <c r="M153" s="24">
        <v>0.72291666666666665</v>
      </c>
      <c r="N153" s="11">
        <v>5</v>
      </c>
      <c r="O153" s="11" t="s">
        <v>34</v>
      </c>
      <c r="P153" s="11" t="s">
        <v>35</v>
      </c>
      <c r="Q153" s="11"/>
      <c r="R153" s="11" t="s">
        <v>36</v>
      </c>
      <c r="S153" s="19">
        <v>15</v>
      </c>
      <c r="T153" s="11" t="s">
        <v>49</v>
      </c>
      <c r="U153" s="11" t="s">
        <v>164</v>
      </c>
      <c r="V153" s="11">
        <v>1</v>
      </c>
      <c r="W153" s="11" t="s">
        <v>62</v>
      </c>
      <c r="X153" s="11" t="s">
        <v>3334</v>
      </c>
      <c r="Y153" s="11" t="s">
        <v>109</v>
      </c>
      <c r="Z153" s="11" t="s">
        <v>71</v>
      </c>
      <c r="AA153" s="11"/>
    </row>
    <row r="154" spans="1:27">
      <c r="A154" s="11" t="s">
        <v>765</v>
      </c>
      <c r="B154" s="11" t="s">
        <v>766</v>
      </c>
      <c r="C154" s="11" t="s">
        <v>27</v>
      </c>
      <c r="D154" s="19">
        <v>66</v>
      </c>
      <c r="E154" s="11" t="s">
        <v>57</v>
      </c>
      <c r="F154" s="11" t="s">
        <v>29</v>
      </c>
      <c r="G154" s="11" t="s">
        <v>83</v>
      </c>
      <c r="H154" s="12">
        <v>46036</v>
      </c>
      <c r="I154" s="12" t="str">
        <f t="shared" si="2"/>
        <v>January</v>
      </c>
      <c r="J154" s="24">
        <v>0.58125000000000004</v>
      </c>
      <c r="K154" s="19">
        <v>3</v>
      </c>
      <c r="L154" s="12">
        <v>46036</v>
      </c>
      <c r="M154" s="24">
        <v>0.70625000000000004</v>
      </c>
      <c r="N154" s="11">
        <v>3</v>
      </c>
      <c r="O154" s="11" t="s">
        <v>68</v>
      </c>
      <c r="P154" s="11" t="s">
        <v>35</v>
      </c>
      <c r="Q154" s="11"/>
      <c r="R154" s="11" t="s">
        <v>36</v>
      </c>
      <c r="S154" s="19">
        <v>15</v>
      </c>
      <c r="T154" s="11" t="s">
        <v>37</v>
      </c>
      <c r="U154" s="11" t="s">
        <v>164</v>
      </c>
      <c r="V154" s="11">
        <v>2</v>
      </c>
      <c r="W154" s="11" t="s">
        <v>70</v>
      </c>
      <c r="X154" s="11" t="s">
        <v>3333</v>
      </c>
      <c r="Y154" s="11" t="s">
        <v>41</v>
      </c>
      <c r="Z154" s="11" t="s">
        <v>71</v>
      </c>
      <c r="AA154" s="11" t="s">
        <v>3234</v>
      </c>
    </row>
    <row r="155" spans="1:27">
      <c r="A155" s="11" t="s">
        <v>769</v>
      </c>
      <c r="B155" s="11" t="s">
        <v>770</v>
      </c>
      <c r="C155" s="11" t="s">
        <v>56</v>
      </c>
      <c r="D155" s="19">
        <v>81</v>
      </c>
      <c r="E155" s="11" t="s">
        <v>92</v>
      </c>
      <c r="F155" s="11" t="s">
        <v>29</v>
      </c>
      <c r="G155" s="11" t="s">
        <v>93</v>
      </c>
      <c r="H155" s="12">
        <v>46198</v>
      </c>
      <c r="I155" s="12" t="str">
        <f t="shared" si="2"/>
        <v>June</v>
      </c>
      <c r="J155" s="24">
        <v>0.56527777777777777</v>
      </c>
      <c r="K155" s="19">
        <v>24</v>
      </c>
      <c r="L155" s="12">
        <v>46199</v>
      </c>
      <c r="M155" s="24">
        <v>0.8569444444444444</v>
      </c>
      <c r="N155" s="11">
        <v>31</v>
      </c>
      <c r="O155" s="11" t="s">
        <v>34</v>
      </c>
      <c r="P155" s="11" t="s">
        <v>35</v>
      </c>
      <c r="Q155" s="11"/>
      <c r="R155" s="11" t="s">
        <v>36</v>
      </c>
      <c r="S155" s="19">
        <v>50</v>
      </c>
      <c r="T155" s="11" t="s">
        <v>49</v>
      </c>
      <c r="U155" s="11" t="s">
        <v>96</v>
      </c>
      <c r="V155" s="11">
        <v>4</v>
      </c>
      <c r="W155" s="11" t="s">
        <v>70</v>
      </c>
      <c r="X155" s="11" t="s">
        <v>3333</v>
      </c>
      <c r="Y155" s="11" t="s">
        <v>41</v>
      </c>
      <c r="Z155" s="11" t="s">
        <v>42</v>
      </c>
      <c r="AA155" s="11" t="s">
        <v>3229</v>
      </c>
    </row>
    <row r="156" spans="1:27">
      <c r="A156" s="11" t="s">
        <v>773</v>
      </c>
      <c r="B156" s="11" t="s">
        <v>774</v>
      </c>
      <c r="C156" s="11" t="s">
        <v>56</v>
      </c>
      <c r="D156" s="19">
        <v>41</v>
      </c>
      <c r="E156" s="11" t="s">
        <v>149</v>
      </c>
      <c r="F156" s="11" t="s">
        <v>29</v>
      </c>
      <c r="G156" s="11" t="s">
        <v>168</v>
      </c>
      <c r="H156" s="12">
        <v>46194</v>
      </c>
      <c r="I156" s="12" t="str">
        <f t="shared" si="2"/>
        <v>June</v>
      </c>
      <c r="J156" s="24">
        <v>0.51458333333333328</v>
      </c>
      <c r="K156" s="19">
        <v>6</v>
      </c>
      <c r="L156" s="12">
        <v>46195</v>
      </c>
      <c r="M156" s="24">
        <v>9.7916666666666666E-2</v>
      </c>
      <c r="N156" s="11">
        <v>14</v>
      </c>
      <c r="O156" s="11" t="s">
        <v>34</v>
      </c>
      <c r="P156" s="11" t="s">
        <v>35</v>
      </c>
      <c r="Q156" s="11"/>
      <c r="R156" s="11" t="s">
        <v>36</v>
      </c>
      <c r="S156" s="19">
        <v>40</v>
      </c>
      <c r="T156" s="11" t="s">
        <v>49</v>
      </c>
      <c r="U156" s="11" t="s">
        <v>38</v>
      </c>
      <c r="V156" s="11">
        <v>3</v>
      </c>
      <c r="W156" s="11" t="s">
        <v>39</v>
      </c>
      <c r="X156" s="11" t="s">
        <v>3325</v>
      </c>
      <c r="Y156" s="11" t="s">
        <v>52</v>
      </c>
      <c r="Z156" s="11" t="s">
        <v>53</v>
      </c>
      <c r="AA156" s="11" t="s">
        <v>3234</v>
      </c>
    </row>
    <row r="157" spans="1:27">
      <c r="A157" s="11" t="s">
        <v>776</v>
      </c>
      <c r="B157" s="11" t="s">
        <v>777</v>
      </c>
      <c r="C157" s="11" t="s">
        <v>56</v>
      </c>
      <c r="D157" s="19">
        <v>51</v>
      </c>
      <c r="E157" s="11" t="s">
        <v>28</v>
      </c>
      <c r="F157" s="11" t="s">
        <v>29</v>
      </c>
      <c r="G157" s="11" t="s">
        <v>168</v>
      </c>
      <c r="H157" s="12">
        <v>46169</v>
      </c>
      <c r="I157" s="12" t="str">
        <f t="shared" si="2"/>
        <v>May</v>
      </c>
      <c r="J157" s="24">
        <v>0.57847222222222228</v>
      </c>
      <c r="K157" s="19">
        <v>5</v>
      </c>
      <c r="L157" s="12">
        <v>46170</v>
      </c>
      <c r="M157" s="24">
        <v>3.6805555555555557E-2</v>
      </c>
      <c r="N157" s="11">
        <v>11</v>
      </c>
      <c r="O157" s="11" t="s">
        <v>34</v>
      </c>
      <c r="P157" s="11" t="s">
        <v>35</v>
      </c>
      <c r="Q157" s="11"/>
      <c r="R157" s="11" t="s">
        <v>36</v>
      </c>
      <c r="S157" s="19">
        <v>35</v>
      </c>
      <c r="T157" s="11" t="s">
        <v>49</v>
      </c>
      <c r="U157" s="11" t="s">
        <v>38</v>
      </c>
      <c r="V157" s="11">
        <v>5</v>
      </c>
      <c r="W157" s="11" t="s">
        <v>70</v>
      </c>
      <c r="X157" s="11" t="s">
        <v>3333</v>
      </c>
      <c r="Y157" s="11" t="s">
        <v>52</v>
      </c>
      <c r="Z157" s="11" t="s">
        <v>42</v>
      </c>
      <c r="AA157" s="11" t="s">
        <v>3234</v>
      </c>
    </row>
    <row r="158" spans="1:27">
      <c r="A158" s="11" t="s">
        <v>782</v>
      </c>
      <c r="B158" s="11" t="s">
        <v>783</v>
      </c>
      <c r="C158" s="11" t="s">
        <v>56</v>
      </c>
      <c r="D158" s="19">
        <v>9</v>
      </c>
      <c r="E158" s="11" t="s">
        <v>92</v>
      </c>
      <c r="F158" s="11" t="s">
        <v>29</v>
      </c>
      <c r="G158" s="11" t="s">
        <v>168</v>
      </c>
      <c r="H158" s="12">
        <v>46109</v>
      </c>
      <c r="I158" s="12" t="str">
        <f t="shared" si="2"/>
        <v>March</v>
      </c>
      <c r="J158" s="24">
        <v>0.62638888888888888</v>
      </c>
      <c r="K158" s="19">
        <v>24</v>
      </c>
      <c r="L158" s="12">
        <v>46110</v>
      </c>
      <c r="M158" s="24">
        <v>0.79305555555555551</v>
      </c>
      <c r="N158" s="11">
        <v>28</v>
      </c>
      <c r="O158" s="11" t="s">
        <v>34</v>
      </c>
      <c r="P158" s="11" t="s">
        <v>35</v>
      </c>
      <c r="Q158" s="11"/>
      <c r="R158" s="11" t="s">
        <v>36</v>
      </c>
      <c r="S158" s="19">
        <v>50</v>
      </c>
      <c r="T158" s="11" t="s">
        <v>37</v>
      </c>
      <c r="U158" s="11" t="s">
        <v>164</v>
      </c>
      <c r="V158" s="11">
        <v>3</v>
      </c>
      <c r="W158" s="11" t="s">
        <v>62</v>
      </c>
      <c r="X158" s="11" t="s">
        <v>51</v>
      </c>
      <c r="Y158" s="11" t="s">
        <v>41</v>
      </c>
      <c r="Z158" s="11" t="s">
        <v>71</v>
      </c>
      <c r="AA158" s="11" t="s">
        <v>3237</v>
      </c>
    </row>
    <row r="159" spans="1:27">
      <c r="A159" s="11" t="s">
        <v>787</v>
      </c>
      <c r="B159" s="11" t="s">
        <v>788</v>
      </c>
      <c r="C159" s="11" t="s">
        <v>27</v>
      </c>
      <c r="D159" s="19">
        <v>74</v>
      </c>
      <c r="E159" s="11" t="s">
        <v>92</v>
      </c>
      <c r="F159" s="11" t="s">
        <v>29</v>
      </c>
      <c r="G159" s="11" t="s">
        <v>93</v>
      </c>
      <c r="H159" s="12">
        <v>46026</v>
      </c>
      <c r="I159" s="12" t="str">
        <f t="shared" si="2"/>
        <v>January</v>
      </c>
      <c r="J159" s="24">
        <v>0.30416666666666664</v>
      </c>
      <c r="K159" s="19">
        <v>24</v>
      </c>
      <c r="L159" s="12">
        <v>46027</v>
      </c>
      <c r="M159" s="24">
        <v>0.5541666666666667</v>
      </c>
      <c r="N159" s="11">
        <v>30</v>
      </c>
      <c r="O159" s="11" t="s">
        <v>34</v>
      </c>
      <c r="P159" s="11" t="s">
        <v>35</v>
      </c>
      <c r="Q159" s="11"/>
      <c r="R159" s="11" t="s">
        <v>36</v>
      </c>
      <c r="S159" s="19">
        <v>50</v>
      </c>
      <c r="T159" s="11" t="s">
        <v>49</v>
      </c>
      <c r="U159" s="11" t="s">
        <v>96</v>
      </c>
      <c r="V159" s="11">
        <v>1</v>
      </c>
      <c r="W159" s="11" t="s">
        <v>70</v>
      </c>
      <c r="X159" s="11" t="s">
        <v>3334</v>
      </c>
      <c r="Y159" s="11" t="s">
        <v>41</v>
      </c>
      <c r="Z159" s="11" t="s">
        <v>42</v>
      </c>
      <c r="AA159" s="11" t="str">
        <f>IF(A159=" ", "Missing Value", " ")</f>
        <v xml:space="preserve"> </v>
      </c>
    </row>
    <row r="160" spans="1:27">
      <c r="A160" s="11" t="s">
        <v>790</v>
      </c>
      <c r="B160" s="11" t="s">
        <v>791</v>
      </c>
      <c r="C160" s="11" t="s">
        <v>27</v>
      </c>
      <c r="D160" s="19">
        <v>59</v>
      </c>
      <c r="E160" s="11" t="s">
        <v>92</v>
      </c>
      <c r="F160" s="11" t="s">
        <v>29</v>
      </c>
      <c r="G160" s="11" t="s">
        <v>58</v>
      </c>
      <c r="H160" s="12">
        <v>46120</v>
      </c>
      <c r="I160" s="12" t="str">
        <f t="shared" si="2"/>
        <v>April</v>
      </c>
      <c r="J160" s="24">
        <v>0.52569444444444446</v>
      </c>
      <c r="K160" s="19">
        <v>24</v>
      </c>
      <c r="L160" s="12">
        <v>46121</v>
      </c>
      <c r="M160" s="24">
        <v>0.85902777777777772</v>
      </c>
      <c r="N160" s="11">
        <v>32</v>
      </c>
      <c r="O160" s="11" t="s">
        <v>34</v>
      </c>
      <c r="P160" s="11" t="s">
        <v>35</v>
      </c>
      <c r="Q160" s="11"/>
      <c r="R160" s="11" t="s">
        <v>36</v>
      </c>
      <c r="S160" s="19">
        <v>50</v>
      </c>
      <c r="T160" s="11" t="s">
        <v>37</v>
      </c>
      <c r="U160" s="11" t="s">
        <v>96</v>
      </c>
      <c r="V160" s="11">
        <v>3</v>
      </c>
      <c r="W160" s="11" t="s">
        <v>70</v>
      </c>
      <c r="X160" s="11" t="s">
        <v>3333</v>
      </c>
      <c r="Y160" s="11" t="s">
        <v>109</v>
      </c>
      <c r="Z160" s="11" t="s">
        <v>42</v>
      </c>
      <c r="AA160" s="11" t="s">
        <v>3234</v>
      </c>
    </row>
    <row r="161" spans="1:27">
      <c r="A161" s="11" t="s">
        <v>794</v>
      </c>
      <c r="B161" s="11" t="s">
        <v>795</v>
      </c>
      <c r="C161" s="11" t="s">
        <v>27</v>
      </c>
      <c r="D161" s="19">
        <v>38</v>
      </c>
      <c r="E161" s="11" t="s">
        <v>92</v>
      </c>
      <c r="F161" s="11" t="s">
        <v>29</v>
      </c>
      <c r="G161" s="11" t="s">
        <v>93</v>
      </c>
      <c r="H161" s="12">
        <v>46074</v>
      </c>
      <c r="I161" s="12" t="str">
        <f t="shared" si="2"/>
        <v>February</v>
      </c>
      <c r="J161" s="24">
        <v>0.31944444444444442</v>
      </c>
      <c r="K161" s="19">
        <v>24</v>
      </c>
      <c r="L161" s="12">
        <v>46075</v>
      </c>
      <c r="M161" s="24">
        <v>0.31944444444444442</v>
      </c>
      <c r="N161" s="11">
        <v>24</v>
      </c>
      <c r="O161" s="11" t="s">
        <v>68</v>
      </c>
      <c r="P161" s="11" t="s">
        <v>35</v>
      </c>
      <c r="Q161" s="11"/>
      <c r="R161" s="11" t="s">
        <v>36</v>
      </c>
      <c r="S161" s="19">
        <v>50</v>
      </c>
      <c r="T161" s="11" t="s">
        <v>37</v>
      </c>
      <c r="U161" s="11" t="s">
        <v>164</v>
      </c>
      <c r="V161" s="11">
        <v>5</v>
      </c>
      <c r="W161" s="11" t="s">
        <v>39</v>
      </c>
      <c r="X161" s="11" t="s">
        <v>3333</v>
      </c>
      <c r="Y161" s="11" t="s">
        <v>41</v>
      </c>
      <c r="Z161" s="11" t="s">
        <v>71</v>
      </c>
      <c r="AA161" s="11" t="str">
        <f>IF(A161=" ", "Missing Value", " ")</f>
        <v xml:space="preserve"> </v>
      </c>
    </row>
    <row r="162" spans="1:27">
      <c r="A162" s="11" t="s">
        <v>797</v>
      </c>
      <c r="B162" s="11" t="s">
        <v>798</v>
      </c>
      <c r="C162" s="11" t="s">
        <v>27</v>
      </c>
      <c r="D162" s="19">
        <v>21</v>
      </c>
      <c r="E162" s="11" t="s">
        <v>149</v>
      </c>
      <c r="F162" s="11" t="s">
        <v>29</v>
      </c>
      <c r="G162" s="11" t="s">
        <v>93</v>
      </c>
      <c r="H162" s="12">
        <v>46143</v>
      </c>
      <c r="I162" s="12" t="str">
        <f t="shared" si="2"/>
        <v>May</v>
      </c>
      <c r="J162" s="24">
        <v>0.46666666666666667</v>
      </c>
      <c r="K162" s="19">
        <v>6</v>
      </c>
      <c r="L162" s="12">
        <v>46143</v>
      </c>
      <c r="M162" s="24">
        <v>0.8</v>
      </c>
      <c r="N162" s="11">
        <v>8</v>
      </c>
      <c r="O162" s="11" t="s">
        <v>34</v>
      </c>
      <c r="P162" s="11" t="s">
        <v>35</v>
      </c>
      <c r="Q162" s="11"/>
      <c r="R162" s="11" t="s">
        <v>36</v>
      </c>
      <c r="S162" s="19">
        <v>40</v>
      </c>
      <c r="T162" s="11" t="s">
        <v>37</v>
      </c>
      <c r="U162" s="11" t="s">
        <v>96</v>
      </c>
      <c r="V162" s="11">
        <v>1</v>
      </c>
      <c r="W162" s="11" t="s">
        <v>89</v>
      </c>
      <c r="X162" s="11" t="s">
        <v>3325</v>
      </c>
      <c r="Y162" s="11" t="s">
        <v>52</v>
      </c>
      <c r="Z162" s="11" t="s">
        <v>71</v>
      </c>
      <c r="AA162" s="11" t="s">
        <v>3234</v>
      </c>
    </row>
    <row r="163" spans="1:27">
      <c r="A163" s="11" t="s">
        <v>801</v>
      </c>
      <c r="B163" s="11" t="s">
        <v>802</v>
      </c>
      <c r="C163" s="11" t="s">
        <v>27</v>
      </c>
      <c r="D163" s="19">
        <v>53</v>
      </c>
      <c r="E163" s="11" t="s">
        <v>173</v>
      </c>
      <c r="F163" s="11" t="s">
        <v>29</v>
      </c>
      <c r="G163" s="11" t="s">
        <v>168</v>
      </c>
      <c r="H163" s="12">
        <v>46137</v>
      </c>
      <c r="I163" s="12" t="str">
        <f t="shared" si="2"/>
        <v>April</v>
      </c>
      <c r="J163" s="24">
        <v>0.51597222222222228</v>
      </c>
      <c r="K163" s="19">
        <v>4</v>
      </c>
      <c r="L163" s="12">
        <v>46138</v>
      </c>
      <c r="M163" s="24">
        <v>1.5972222222222221E-2</v>
      </c>
      <c r="N163" s="11">
        <v>12</v>
      </c>
      <c r="O163" s="11" t="s">
        <v>34</v>
      </c>
      <c r="P163" s="11" t="s">
        <v>35</v>
      </c>
      <c r="Q163" s="11"/>
      <c r="R163" s="11" t="s">
        <v>36</v>
      </c>
      <c r="S163" s="19">
        <v>25</v>
      </c>
      <c r="T163" s="11" t="s">
        <v>37</v>
      </c>
      <c r="U163" s="11" t="s">
        <v>38</v>
      </c>
      <c r="V163" s="11">
        <v>4</v>
      </c>
      <c r="W163" s="11" t="s">
        <v>89</v>
      </c>
      <c r="X163" s="11" t="s">
        <v>51</v>
      </c>
      <c r="Y163" s="11" t="s">
        <v>109</v>
      </c>
      <c r="Z163" s="11" t="s">
        <v>53</v>
      </c>
      <c r="AA163" s="11" t="s">
        <v>3234</v>
      </c>
    </row>
    <row r="164" spans="1:27">
      <c r="A164" s="11" t="s">
        <v>805</v>
      </c>
      <c r="B164" s="11" t="s">
        <v>806</v>
      </c>
      <c r="C164" s="11" t="s">
        <v>56</v>
      </c>
      <c r="D164" s="19">
        <v>28</v>
      </c>
      <c r="E164" s="11" t="s">
        <v>57</v>
      </c>
      <c r="F164" s="11" t="s">
        <v>29</v>
      </c>
      <c r="G164" s="11" t="s">
        <v>58</v>
      </c>
      <c r="H164" s="12">
        <v>46023</v>
      </c>
      <c r="I164" s="12" t="str">
        <f t="shared" si="2"/>
        <v>January</v>
      </c>
      <c r="J164" s="24">
        <v>0.53194444444444444</v>
      </c>
      <c r="K164" s="19">
        <v>3</v>
      </c>
      <c r="L164" s="12">
        <v>46023</v>
      </c>
      <c r="M164" s="24">
        <v>0.65694444444444444</v>
      </c>
      <c r="N164" s="11">
        <v>3</v>
      </c>
      <c r="O164" s="11" t="s">
        <v>68</v>
      </c>
      <c r="P164" s="11" t="s">
        <v>35</v>
      </c>
      <c r="Q164" s="11"/>
      <c r="R164" s="11" t="s">
        <v>36</v>
      </c>
      <c r="S164" s="19">
        <v>15</v>
      </c>
      <c r="T164" s="11" t="s">
        <v>37</v>
      </c>
      <c r="U164" s="11" t="s">
        <v>96</v>
      </c>
      <c r="V164" s="11">
        <v>2</v>
      </c>
      <c r="W164" s="11" t="s">
        <v>89</v>
      </c>
      <c r="X164" s="11" t="s">
        <v>3334</v>
      </c>
      <c r="Y164" s="11" t="s">
        <v>109</v>
      </c>
      <c r="Z164" s="11" t="s">
        <v>53</v>
      </c>
      <c r="AA164" s="11"/>
    </row>
    <row r="165" spans="1:27">
      <c r="A165" s="11" t="s">
        <v>810</v>
      </c>
      <c r="B165" s="11" t="s">
        <v>811</v>
      </c>
      <c r="C165" s="11" t="s">
        <v>27</v>
      </c>
      <c r="D165" s="19">
        <v>6</v>
      </c>
      <c r="E165" s="11" t="s">
        <v>149</v>
      </c>
      <c r="F165" s="11" t="s">
        <v>29</v>
      </c>
      <c r="G165" s="11" t="s">
        <v>30</v>
      </c>
      <c r="H165" s="12">
        <v>46158</v>
      </c>
      <c r="I165" s="12" t="str">
        <f t="shared" si="2"/>
        <v>May</v>
      </c>
      <c r="J165" s="24">
        <v>0.58958333333333335</v>
      </c>
      <c r="K165" s="19">
        <v>6</v>
      </c>
      <c r="L165" s="12">
        <v>46158</v>
      </c>
      <c r="M165" s="24">
        <v>0.88124999999999998</v>
      </c>
      <c r="N165" s="11">
        <v>7</v>
      </c>
      <c r="O165" s="11" t="s">
        <v>34</v>
      </c>
      <c r="P165" s="11" t="s">
        <v>35</v>
      </c>
      <c r="Q165" s="11"/>
      <c r="R165" s="11" t="s">
        <v>36</v>
      </c>
      <c r="S165" s="19">
        <v>40</v>
      </c>
      <c r="T165" s="11" t="s">
        <v>37</v>
      </c>
      <c r="U165" s="11" t="s">
        <v>38</v>
      </c>
      <c r="V165" s="11">
        <v>4</v>
      </c>
      <c r="W165" s="11" t="s">
        <v>70</v>
      </c>
      <c r="X165" s="11" t="s">
        <v>3333</v>
      </c>
      <c r="Y165" s="11" t="s">
        <v>109</v>
      </c>
      <c r="Z165" s="11" t="s">
        <v>53</v>
      </c>
      <c r="AA165" s="11" t="str">
        <f>IF(A165=" ", "Missing Value", " ")</f>
        <v xml:space="preserve"> </v>
      </c>
    </row>
    <row r="166" spans="1:27">
      <c r="A166" s="11" t="s">
        <v>814</v>
      </c>
      <c r="B166" s="11" t="s">
        <v>815</v>
      </c>
      <c r="C166" s="11" t="s">
        <v>27</v>
      </c>
      <c r="D166" s="19">
        <v>35</v>
      </c>
      <c r="E166" s="11" t="s">
        <v>28</v>
      </c>
      <c r="F166" s="11" t="s">
        <v>29</v>
      </c>
      <c r="G166" s="11" t="s">
        <v>58</v>
      </c>
      <c r="H166" s="12">
        <v>46062</v>
      </c>
      <c r="I166" s="12" t="str">
        <f t="shared" si="2"/>
        <v>February</v>
      </c>
      <c r="J166" s="24">
        <v>0.49166666666666664</v>
      </c>
      <c r="K166" s="19">
        <v>5</v>
      </c>
      <c r="L166" s="12">
        <v>46062</v>
      </c>
      <c r="M166" s="24">
        <v>0.95</v>
      </c>
      <c r="N166" s="11">
        <v>11</v>
      </c>
      <c r="O166" s="11" t="s">
        <v>34</v>
      </c>
      <c r="P166" s="11" t="s">
        <v>35</v>
      </c>
      <c r="Q166" s="11"/>
      <c r="R166" s="11" t="s">
        <v>36</v>
      </c>
      <c r="S166" s="19">
        <v>35</v>
      </c>
      <c r="T166" s="11" t="s">
        <v>49</v>
      </c>
      <c r="U166" s="11" t="s">
        <v>96</v>
      </c>
      <c r="V166" s="11">
        <v>4</v>
      </c>
      <c r="W166" s="11" t="s">
        <v>39</v>
      </c>
      <c r="X166" s="11" t="s">
        <v>51</v>
      </c>
      <c r="Y166" s="11" t="s">
        <v>109</v>
      </c>
      <c r="Z166" s="11" t="s">
        <v>71</v>
      </c>
      <c r="AA166" s="11" t="s">
        <v>3234</v>
      </c>
    </row>
    <row r="167" spans="1:27">
      <c r="A167" s="11" t="s">
        <v>818</v>
      </c>
      <c r="B167" s="11" t="s">
        <v>819</v>
      </c>
      <c r="C167" s="11" t="s">
        <v>27</v>
      </c>
      <c r="D167" s="19">
        <v>31</v>
      </c>
      <c r="E167" s="11" t="s">
        <v>173</v>
      </c>
      <c r="F167" s="11" t="s">
        <v>29</v>
      </c>
      <c r="G167" s="11" t="s">
        <v>83</v>
      </c>
      <c r="H167" s="12">
        <v>46183</v>
      </c>
      <c r="I167" s="12" t="str">
        <f t="shared" si="2"/>
        <v>June</v>
      </c>
      <c r="J167" s="24">
        <v>0.34652777777777777</v>
      </c>
      <c r="K167" s="19">
        <v>4</v>
      </c>
      <c r="L167" s="12">
        <v>46183</v>
      </c>
      <c r="M167" s="24">
        <v>0.80486111111111114</v>
      </c>
      <c r="N167" s="11">
        <v>11</v>
      </c>
      <c r="O167" s="11" t="s">
        <v>34</v>
      </c>
      <c r="P167" s="11" t="s">
        <v>35</v>
      </c>
      <c r="Q167" s="11"/>
      <c r="R167" s="11" t="s">
        <v>36</v>
      </c>
      <c r="S167" s="19">
        <v>25</v>
      </c>
      <c r="T167" s="11" t="s">
        <v>37</v>
      </c>
      <c r="U167" s="11" t="s">
        <v>38</v>
      </c>
      <c r="V167" s="11">
        <v>1</v>
      </c>
      <c r="W167" s="11" t="s">
        <v>39</v>
      </c>
      <c r="X167" s="11" t="s">
        <v>3325</v>
      </c>
      <c r="Y167" s="11" t="s">
        <v>52</v>
      </c>
      <c r="Z167" s="11" t="s">
        <v>53</v>
      </c>
      <c r="AA167" s="11" t="s">
        <v>3234</v>
      </c>
    </row>
    <row r="168" spans="1:27">
      <c r="A168" s="11" t="s">
        <v>821</v>
      </c>
      <c r="B168" s="11" t="s">
        <v>822</v>
      </c>
      <c r="C168" s="11" t="s">
        <v>27</v>
      </c>
      <c r="D168" s="19">
        <v>22</v>
      </c>
      <c r="E168" s="11" t="s">
        <v>81</v>
      </c>
      <c r="F168" s="11" t="s">
        <v>82</v>
      </c>
      <c r="G168" s="11" t="s">
        <v>58</v>
      </c>
      <c r="H168" s="12">
        <v>46078</v>
      </c>
      <c r="I168" s="12" t="str">
        <f t="shared" si="2"/>
        <v>February</v>
      </c>
      <c r="J168" s="24">
        <v>0.40208333333333335</v>
      </c>
      <c r="K168" s="19">
        <v>8</v>
      </c>
      <c r="L168" s="12">
        <v>46078</v>
      </c>
      <c r="M168" s="24">
        <v>0.86041666666666672</v>
      </c>
      <c r="N168" s="11">
        <v>11</v>
      </c>
      <c r="O168" s="11" t="s">
        <v>34</v>
      </c>
      <c r="P168" s="11" t="s">
        <v>35</v>
      </c>
      <c r="Q168" s="11"/>
      <c r="R168" s="11" t="s">
        <v>36</v>
      </c>
      <c r="S168" s="19">
        <v>20</v>
      </c>
      <c r="T168" s="11" t="s">
        <v>49</v>
      </c>
      <c r="U168" s="11" t="s">
        <v>164</v>
      </c>
      <c r="V168" s="11">
        <v>5</v>
      </c>
      <c r="W168" s="11" t="s">
        <v>89</v>
      </c>
      <c r="X168" s="11" t="s">
        <v>3333</v>
      </c>
      <c r="Y168" s="11" t="s">
        <v>52</v>
      </c>
      <c r="Z168" s="11" t="s">
        <v>53</v>
      </c>
      <c r="AA168" s="11" t="s">
        <v>3234</v>
      </c>
    </row>
    <row r="169" spans="1:27">
      <c r="A169" s="11" t="s">
        <v>826</v>
      </c>
      <c r="B169" s="11" t="s">
        <v>827</v>
      </c>
      <c r="C169" s="11" t="s">
        <v>27</v>
      </c>
      <c r="D169" s="19">
        <v>76</v>
      </c>
      <c r="E169" s="11" t="s">
        <v>173</v>
      </c>
      <c r="F169" s="11" t="s">
        <v>29</v>
      </c>
      <c r="G169" s="11" t="s">
        <v>168</v>
      </c>
      <c r="H169" s="12">
        <v>46080</v>
      </c>
      <c r="I169" s="12" t="str">
        <f t="shared" si="2"/>
        <v>February</v>
      </c>
      <c r="J169" s="24">
        <v>0.63124999999999998</v>
      </c>
      <c r="K169" s="19">
        <v>4</v>
      </c>
      <c r="L169" s="12">
        <v>46081</v>
      </c>
      <c r="M169" s="24">
        <v>0.13125000000000001</v>
      </c>
      <c r="N169" s="11">
        <v>12</v>
      </c>
      <c r="O169" s="11" t="s">
        <v>34</v>
      </c>
      <c r="P169" s="11" t="s">
        <v>35</v>
      </c>
      <c r="Q169" s="11"/>
      <c r="R169" s="11" t="s">
        <v>36</v>
      </c>
      <c r="S169" s="19">
        <v>25</v>
      </c>
      <c r="T169" s="11" t="s">
        <v>37</v>
      </c>
      <c r="U169" s="11" t="s">
        <v>38</v>
      </c>
      <c r="V169" s="11">
        <v>1</v>
      </c>
      <c r="W169" s="11" t="s">
        <v>62</v>
      </c>
      <c r="X169" s="11" t="s">
        <v>3325</v>
      </c>
      <c r="Y169" s="11" t="s">
        <v>52</v>
      </c>
      <c r="Z169" s="11" t="s">
        <v>42</v>
      </c>
      <c r="AA169" s="11" t="s">
        <v>3234</v>
      </c>
    </row>
    <row r="170" spans="1:27">
      <c r="A170" s="11" t="s">
        <v>831</v>
      </c>
      <c r="B170" s="11" t="s">
        <v>832</v>
      </c>
      <c r="C170" s="11" t="s">
        <v>56</v>
      </c>
      <c r="D170" s="19">
        <v>12</v>
      </c>
      <c r="E170" s="11" t="s">
        <v>28</v>
      </c>
      <c r="F170" s="11" t="s">
        <v>29</v>
      </c>
      <c r="G170" s="11" t="s">
        <v>58</v>
      </c>
      <c r="H170" s="12">
        <v>46175</v>
      </c>
      <c r="I170" s="12" t="str">
        <f t="shared" si="2"/>
        <v>June</v>
      </c>
      <c r="J170" s="24">
        <v>0.55694444444444446</v>
      </c>
      <c r="K170" s="19">
        <v>5</v>
      </c>
      <c r="L170" s="12">
        <v>46175</v>
      </c>
      <c r="M170" s="24">
        <v>0.76527777777777772</v>
      </c>
      <c r="N170" s="11">
        <v>5</v>
      </c>
      <c r="O170" s="11" t="s">
        <v>68</v>
      </c>
      <c r="P170" s="11" t="s">
        <v>35</v>
      </c>
      <c r="Q170" s="11"/>
      <c r="R170" s="11" t="s">
        <v>36</v>
      </c>
      <c r="S170" s="19">
        <v>35</v>
      </c>
      <c r="T170" s="11" t="s">
        <v>49</v>
      </c>
      <c r="U170" s="11" t="s">
        <v>164</v>
      </c>
      <c r="V170" s="11">
        <v>5</v>
      </c>
      <c r="W170" s="11" t="s">
        <v>39</v>
      </c>
      <c r="X170" s="11" t="s">
        <v>3334</v>
      </c>
      <c r="Y170" s="11" t="s">
        <v>41</v>
      </c>
      <c r="Z170" s="11" t="s">
        <v>71</v>
      </c>
      <c r="AA170" s="11" t="s">
        <v>3234</v>
      </c>
    </row>
    <row r="171" spans="1:27">
      <c r="A171" s="11" t="s">
        <v>835</v>
      </c>
      <c r="B171" s="11" t="s">
        <v>836</v>
      </c>
      <c r="C171" s="11" t="s">
        <v>27</v>
      </c>
      <c r="D171" s="19">
        <v>64</v>
      </c>
      <c r="E171" s="11" t="s">
        <v>173</v>
      </c>
      <c r="F171" s="11" t="s">
        <v>29</v>
      </c>
      <c r="G171" s="11" t="s">
        <v>168</v>
      </c>
      <c r="H171" s="12">
        <v>46134</v>
      </c>
      <c r="I171" s="12" t="str">
        <f t="shared" si="2"/>
        <v>April</v>
      </c>
      <c r="J171" s="24">
        <v>0.39305555555555555</v>
      </c>
      <c r="K171" s="19">
        <v>4</v>
      </c>
      <c r="L171" s="12">
        <v>46134</v>
      </c>
      <c r="M171" s="24">
        <v>0.55972222222222223</v>
      </c>
      <c r="N171" s="11">
        <v>4</v>
      </c>
      <c r="O171" s="11" t="s">
        <v>68</v>
      </c>
      <c r="P171" s="11" t="s">
        <v>35</v>
      </c>
      <c r="Q171" s="11"/>
      <c r="R171" s="11" t="s">
        <v>36</v>
      </c>
      <c r="S171" s="19">
        <v>25</v>
      </c>
      <c r="T171" s="11" t="s">
        <v>49</v>
      </c>
      <c r="U171" s="11" t="s">
        <v>96</v>
      </c>
      <c r="V171" s="11">
        <v>5</v>
      </c>
      <c r="W171" s="11" t="s">
        <v>62</v>
      </c>
      <c r="X171" s="11" t="s">
        <v>3325</v>
      </c>
      <c r="Y171" s="11" t="s">
        <v>109</v>
      </c>
      <c r="Z171" s="11" t="s">
        <v>53</v>
      </c>
      <c r="AA171" s="11" t="s">
        <v>3234</v>
      </c>
    </row>
    <row r="172" spans="1:27">
      <c r="A172" s="11" t="s">
        <v>838</v>
      </c>
      <c r="B172" s="11" t="s">
        <v>839</v>
      </c>
      <c r="C172" s="11" t="s">
        <v>56</v>
      </c>
      <c r="D172" s="19">
        <v>34</v>
      </c>
      <c r="E172" s="11" t="s">
        <v>57</v>
      </c>
      <c r="F172" s="11" t="s">
        <v>29</v>
      </c>
      <c r="G172" s="11" t="s">
        <v>58</v>
      </c>
      <c r="H172" s="12">
        <v>46151</v>
      </c>
      <c r="I172" s="12" t="str">
        <f t="shared" si="2"/>
        <v>May</v>
      </c>
      <c r="J172" s="24">
        <v>0.53680555555555554</v>
      </c>
      <c r="K172" s="19">
        <v>3</v>
      </c>
      <c r="L172" s="12">
        <v>46151</v>
      </c>
      <c r="M172" s="24">
        <v>0.78680555555555554</v>
      </c>
      <c r="N172" s="11">
        <v>6</v>
      </c>
      <c r="O172" s="11" t="s">
        <v>34</v>
      </c>
      <c r="P172" s="11" t="s">
        <v>35</v>
      </c>
      <c r="Q172" s="11"/>
      <c r="R172" s="11" t="s">
        <v>36</v>
      </c>
      <c r="S172" s="19">
        <v>15</v>
      </c>
      <c r="T172" s="11" t="s">
        <v>49</v>
      </c>
      <c r="U172" s="11" t="s">
        <v>38</v>
      </c>
      <c r="V172" s="11">
        <v>1</v>
      </c>
      <c r="W172" s="11" t="s">
        <v>70</v>
      </c>
      <c r="X172" s="11" t="s">
        <v>51</v>
      </c>
      <c r="Y172" s="11" t="s">
        <v>109</v>
      </c>
      <c r="Z172" s="11" t="s">
        <v>42</v>
      </c>
      <c r="AA172" s="11"/>
    </row>
    <row r="173" spans="1:27">
      <c r="A173" s="11" t="s">
        <v>842</v>
      </c>
      <c r="B173" s="11" t="s">
        <v>843</v>
      </c>
      <c r="C173" s="11" t="s">
        <v>56</v>
      </c>
      <c r="D173" s="19">
        <v>16</v>
      </c>
      <c r="E173" s="11" t="s">
        <v>81</v>
      </c>
      <c r="F173" s="11" t="s">
        <v>82</v>
      </c>
      <c r="G173" s="11" t="s">
        <v>83</v>
      </c>
      <c r="H173" s="12">
        <v>46054</v>
      </c>
      <c r="I173" s="12" t="str">
        <f t="shared" si="2"/>
        <v>February</v>
      </c>
      <c r="J173" s="24">
        <v>0.38124999999999998</v>
      </c>
      <c r="K173" s="19">
        <v>8</v>
      </c>
      <c r="L173" s="12">
        <v>46055</v>
      </c>
      <c r="M173" s="24">
        <v>6.2500000000000003E-3</v>
      </c>
      <c r="N173" s="11">
        <v>15</v>
      </c>
      <c r="O173" s="11" t="s">
        <v>34</v>
      </c>
      <c r="P173" s="11" t="s">
        <v>35</v>
      </c>
      <c r="Q173" s="11"/>
      <c r="R173" s="11" t="s">
        <v>36</v>
      </c>
      <c r="S173" s="19">
        <v>20</v>
      </c>
      <c r="T173" s="11" t="s">
        <v>49</v>
      </c>
      <c r="U173" s="11" t="s">
        <v>96</v>
      </c>
      <c r="V173" s="11">
        <v>1</v>
      </c>
      <c r="W173" s="11" t="s">
        <v>62</v>
      </c>
      <c r="X173" s="11" t="s">
        <v>3325</v>
      </c>
      <c r="Y173" s="11" t="s">
        <v>41</v>
      </c>
      <c r="Z173" s="11" t="s">
        <v>71</v>
      </c>
      <c r="AA173" s="11" t="str">
        <f>IF(A173=" ", "Missing Value", " ")</f>
        <v xml:space="preserve"> </v>
      </c>
    </row>
    <row r="174" spans="1:27">
      <c r="A174" s="11" t="s">
        <v>847</v>
      </c>
      <c r="B174" s="11" t="s">
        <v>848</v>
      </c>
      <c r="C174" s="11" t="s">
        <v>56</v>
      </c>
      <c r="D174" s="19">
        <v>4</v>
      </c>
      <c r="E174" s="11" t="s">
        <v>92</v>
      </c>
      <c r="F174" s="11" t="s">
        <v>29</v>
      </c>
      <c r="G174" s="11" t="s">
        <v>30</v>
      </c>
      <c r="H174" s="12">
        <v>46060</v>
      </c>
      <c r="I174" s="12" t="str">
        <f t="shared" si="2"/>
        <v>February</v>
      </c>
      <c r="J174" s="24">
        <v>0.36388888888888887</v>
      </c>
      <c r="K174" s="19">
        <v>24</v>
      </c>
      <c r="L174" s="12">
        <v>46061</v>
      </c>
      <c r="M174" s="24">
        <v>0.40555555555555556</v>
      </c>
      <c r="N174" s="11">
        <v>25</v>
      </c>
      <c r="O174" s="11" t="s">
        <v>34</v>
      </c>
      <c r="P174" s="11" t="s">
        <v>35</v>
      </c>
      <c r="Q174" s="11"/>
      <c r="R174" s="11" t="s">
        <v>36</v>
      </c>
      <c r="S174" s="19">
        <v>50</v>
      </c>
      <c r="T174" s="11" t="s">
        <v>37</v>
      </c>
      <c r="U174" s="11" t="s">
        <v>96</v>
      </c>
      <c r="V174" s="11">
        <v>1</v>
      </c>
      <c r="W174" s="11" t="s">
        <v>62</v>
      </c>
      <c r="X174" s="11" t="s">
        <v>3333</v>
      </c>
      <c r="Y174" s="11" t="s">
        <v>52</v>
      </c>
      <c r="Z174" s="11" t="s">
        <v>42</v>
      </c>
      <c r="AA174" s="11" t="s">
        <v>3237</v>
      </c>
    </row>
    <row r="175" spans="1:27">
      <c r="A175" s="11" t="s">
        <v>850</v>
      </c>
      <c r="B175" s="11" t="s">
        <v>851</v>
      </c>
      <c r="C175" s="11" t="s">
        <v>27</v>
      </c>
      <c r="D175" s="19">
        <v>57</v>
      </c>
      <c r="E175" s="11" t="s">
        <v>149</v>
      </c>
      <c r="F175" s="11" t="s">
        <v>29</v>
      </c>
      <c r="G175" s="11" t="s">
        <v>58</v>
      </c>
      <c r="H175" s="12">
        <v>46045</v>
      </c>
      <c r="I175" s="12" t="str">
        <f t="shared" si="2"/>
        <v>January</v>
      </c>
      <c r="J175" s="24">
        <v>0.46388888888888891</v>
      </c>
      <c r="K175" s="19">
        <v>6</v>
      </c>
      <c r="L175" s="12">
        <v>46045</v>
      </c>
      <c r="M175" s="24">
        <v>0.96388888888888891</v>
      </c>
      <c r="N175" s="11">
        <v>12</v>
      </c>
      <c r="O175" s="11" t="s">
        <v>34</v>
      </c>
      <c r="P175" s="11" t="s">
        <v>35</v>
      </c>
      <c r="Q175" s="11"/>
      <c r="R175" s="11" t="s">
        <v>36</v>
      </c>
      <c r="S175" s="19">
        <v>-20</v>
      </c>
      <c r="T175" s="11" t="s">
        <v>49</v>
      </c>
      <c r="U175" s="11" t="s">
        <v>38</v>
      </c>
      <c r="V175" s="11">
        <v>1</v>
      </c>
      <c r="W175" s="11" t="s">
        <v>39</v>
      </c>
      <c r="X175" s="11" t="s">
        <v>3325</v>
      </c>
      <c r="Y175" s="11" t="s">
        <v>109</v>
      </c>
      <c r="Z175" s="11" t="s">
        <v>42</v>
      </c>
      <c r="AA175" s="11" t="s">
        <v>3234</v>
      </c>
    </row>
    <row r="176" spans="1:27">
      <c r="A176" s="11" t="s">
        <v>853</v>
      </c>
      <c r="B176" s="11" t="s">
        <v>854</v>
      </c>
      <c r="C176" s="11" t="s">
        <v>27</v>
      </c>
      <c r="D176" s="19">
        <v>70</v>
      </c>
      <c r="E176" s="11" t="s">
        <v>28</v>
      </c>
      <c r="F176" s="11" t="s">
        <v>29</v>
      </c>
      <c r="G176" s="11" t="s">
        <v>30</v>
      </c>
      <c r="H176" s="12">
        <v>46094</v>
      </c>
      <c r="I176" s="12" t="str">
        <f t="shared" si="2"/>
        <v>March</v>
      </c>
      <c r="J176" s="24">
        <v>0.60138888888888886</v>
      </c>
      <c r="K176" s="19">
        <v>5</v>
      </c>
      <c r="L176" s="12">
        <v>46095</v>
      </c>
      <c r="M176" s="24">
        <v>0.14305555555555555</v>
      </c>
      <c r="N176" s="11">
        <v>13</v>
      </c>
      <c r="O176" s="11" t="s">
        <v>34</v>
      </c>
      <c r="P176" s="11" t="s">
        <v>35</v>
      </c>
      <c r="Q176" s="11"/>
      <c r="R176" s="11" t="s">
        <v>36</v>
      </c>
      <c r="S176" s="19">
        <v>35</v>
      </c>
      <c r="T176" s="11" t="s">
        <v>49</v>
      </c>
      <c r="U176" s="11" t="s">
        <v>164</v>
      </c>
      <c r="V176" s="11">
        <v>1</v>
      </c>
      <c r="W176" s="11" t="s">
        <v>39</v>
      </c>
      <c r="X176" s="11" t="s">
        <v>51</v>
      </c>
      <c r="Y176" s="11" t="s">
        <v>41</v>
      </c>
      <c r="Z176" s="11" t="s">
        <v>71</v>
      </c>
      <c r="AA176" s="11" t="str">
        <f>IF(A176=" ", "Missing Value", " ")</f>
        <v xml:space="preserve"> </v>
      </c>
    </row>
    <row r="177" spans="1:27">
      <c r="A177" s="11" t="s">
        <v>857</v>
      </c>
      <c r="B177" s="11" t="s">
        <v>858</v>
      </c>
      <c r="C177" s="11" t="s">
        <v>56</v>
      </c>
      <c r="D177" s="19">
        <v>45</v>
      </c>
      <c r="E177" s="11" t="s">
        <v>173</v>
      </c>
      <c r="F177" s="11" t="s">
        <v>29</v>
      </c>
      <c r="G177" s="11" t="s">
        <v>83</v>
      </c>
      <c r="H177" s="12">
        <v>46179</v>
      </c>
      <c r="I177" s="12" t="str">
        <f t="shared" si="2"/>
        <v>June</v>
      </c>
      <c r="J177" s="24">
        <v>0.44791666666666669</v>
      </c>
      <c r="K177" s="19">
        <v>4</v>
      </c>
      <c r="L177" s="12">
        <v>46179</v>
      </c>
      <c r="M177" s="24">
        <v>0.65625</v>
      </c>
      <c r="N177" s="11">
        <v>5</v>
      </c>
      <c r="O177" s="11" t="s">
        <v>34</v>
      </c>
      <c r="P177" s="11" t="s">
        <v>35</v>
      </c>
      <c r="Q177" s="11"/>
      <c r="R177" s="11" t="s">
        <v>36</v>
      </c>
      <c r="S177" s="19">
        <v>25</v>
      </c>
      <c r="T177" s="11" t="s">
        <v>49</v>
      </c>
      <c r="U177" s="11" t="s">
        <v>96</v>
      </c>
      <c r="V177" s="11">
        <v>1</v>
      </c>
      <c r="W177" s="11" t="s">
        <v>62</v>
      </c>
      <c r="X177" s="11" t="s">
        <v>3334</v>
      </c>
      <c r="Y177" s="11" t="s">
        <v>109</v>
      </c>
      <c r="Z177" s="11" t="s">
        <v>71</v>
      </c>
      <c r="AA177" s="11" t="s">
        <v>3234</v>
      </c>
    </row>
    <row r="178" spans="1:27">
      <c r="A178" s="11" t="s">
        <v>861</v>
      </c>
      <c r="B178" s="11" t="s">
        <v>862</v>
      </c>
      <c r="C178" s="11" t="s">
        <v>27</v>
      </c>
      <c r="D178" s="19">
        <v>29</v>
      </c>
      <c r="E178" s="11" t="s">
        <v>92</v>
      </c>
      <c r="F178" s="11" t="s">
        <v>29</v>
      </c>
      <c r="G178" s="11" t="s">
        <v>93</v>
      </c>
      <c r="H178" s="12">
        <v>46175</v>
      </c>
      <c r="I178" s="12" t="str">
        <f t="shared" si="2"/>
        <v>June</v>
      </c>
      <c r="J178" s="24">
        <v>0.3576388888888889</v>
      </c>
      <c r="K178" s="19">
        <v>24</v>
      </c>
      <c r="L178" s="12">
        <v>46176</v>
      </c>
      <c r="M178" s="24">
        <v>0.4826388888888889</v>
      </c>
      <c r="N178" s="11">
        <v>27</v>
      </c>
      <c r="O178" s="11" t="s">
        <v>34</v>
      </c>
      <c r="P178" s="11" t="s">
        <v>35</v>
      </c>
      <c r="Q178" s="11"/>
      <c r="R178" s="11" t="s">
        <v>36</v>
      </c>
      <c r="S178" s="19">
        <v>50</v>
      </c>
      <c r="T178" s="11" t="s">
        <v>37</v>
      </c>
      <c r="U178" s="11" t="s">
        <v>164</v>
      </c>
      <c r="V178" s="11">
        <v>1</v>
      </c>
      <c r="W178" s="11" t="s">
        <v>70</v>
      </c>
      <c r="X178" s="11" t="s">
        <v>3325</v>
      </c>
      <c r="Y178" s="11" t="s">
        <v>52</v>
      </c>
      <c r="Z178" s="11" t="s">
        <v>71</v>
      </c>
      <c r="AA178" s="11" t="str">
        <f>IF(A178=" ", "Missing Value", " ")</f>
        <v xml:space="preserve"> </v>
      </c>
    </row>
    <row r="179" spans="1:27">
      <c r="A179" s="11" t="s">
        <v>865</v>
      </c>
      <c r="B179" s="11" t="s">
        <v>866</v>
      </c>
      <c r="C179" s="11" t="s">
        <v>56</v>
      </c>
      <c r="D179" s="19">
        <v>22</v>
      </c>
      <c r="E179" s="11" t="s">
        <v>81</v>
      </c>
      <c r="F179" s="11" t="s">
        <v>82</v>
      </c>
      <c r="G179" s="11" t="s">
        <v>83</v>
      </c>
      <c r="H179" s="12">
        <v>46109</v>
      </c>
      <c r="I179" s="12" t="str">
        <f t="shared" si="2"/>
        <v>March</v>
      </c>
      <c r="J179" s="24">
        <v>0.55069444444444449</v>
      </c>
      <c r="K179" s="19">
        <v>8</v>
      </c>
      <c r="L179" s="12">
        <v>46109</v>
      </c>
      <c r="M179" s="24">
        <v>0.88402777777777775</v>
      </c>
      <c r="N179" s="11">
        <v>8</v>
      </c>
      <c r="O179" s="11" t="s">
        <v>68</v>
      </c>
      <c r="P179" s="11" t="s">
        <v>35</v>
      </c>
      <c r="Q179" s="11"/>
      <c r="R179" s="11" t="s">
        <v>36</v>
      </c>
      <c r="S179" s="19">
        <v>20</v>
      </c>
      <c r="T179" s="11" t="s">
        <v>49</v>
      </c>
      <c r="U179" s="11" t="s">
        <v>96</v>
      </c>
      <c r="V179" s="11">
        <v>1</v>
      </c>
      <c r="W179" s="11" t="s">
        <v>62</v>
      </c>
      <c r="X179" s="11" t="s">
        <v>3325</v>
      </c>
      <c r="Y179" s="11" t="s">
        <v>109</v>
      </c>
      <c r="Z179" s="11" t="s">
        <v>71</v>
      </c>
      <c r="AA179" s="11" t="str">
        <f>IF(A179=" ", "Missing Value", " ")</f>
        <v xml:space="preserve"> </v>
      </c>
    </row>
    <row r="180" spans="1:27">
      <c r="A180" s="11" t="s">
        <v>868</v>
      </c>
      <c r="B180" s="11" t="s">
        <v>869</v>
      </c>
      <c r="C180" s="11" t="s">
        <v>27</v>
      </c>
      <c r="D180" s="19">
        <v>23</v>
      </c>
      <c r="E180" s="11" t="s">
        <v>57</v>
      </c>
      <c r="F180" s="11" t="s">
        <v>29</v>
      </c>
      <c r="G180" s="11" t="s">
        <v>83</v>
      </c>
      <c r="H180" s="12">
        <v>46167</v>
      </c>
      <c r="I180" s="12" t="str">
        <f t="shared" si="2"/>
        <v>May</v>
      </c>
      <c r="J180" s="24">
        <v>0.62847222222222221</v>
      </c>
      <c r="K180" s="19">
        <v>3</v>
      </c>
      <c r="L180" s="12">
        <v>46167</v>
      </c>
      <c r="M180" s="24">
        <v>0.92013888888888884</v>
      </c>
      <c r="N180" s="11">
        <v>7</v>
      </c>
      <c r="O180" s="11" t="s">
        <v>34</v>
      </c>
      <c r="P180" s="11" t="s">
        <v>35</v>
      </c>
      <c r="Q180" s="11"/>
      <c r="R180" s="11" t="s">
        <v>36</v>
      </c>
      <c r="S180" s="19">
        <v>15</v>
      </c>
      <c r="T180" s="11" t="s">
        <v>49</v>
      </c>
      <c r="U180" s="11" t="s">
        <v>38</v>
      </c>
      <c r="V180" s="11">
        <v>3</v>
      </c>
      <c r="W180" s="11" t="s">
        <v>70</v>
      </c>
      <c r="X180" s="11" t="s">
        <v>51</v>
      </c>
      <c r="Y180" s="11" t="s">
        <v>52</v>
      </c>
      <c r="Z180" s="11" t="s">
        <v>71</v>
      </c>
      <c r="AA180" s="11" t="s">
        <v>3234</v>
      </c>
    </row>
    <row r="181" spans="1:27">
      <c r="A181" s="11" t="s">
        <v>872</v>
      </c>
      <c r="B181" s="11" t="s">
        <v>873</v>
      </c>
      <c r="C181" s="11" t="s">
        <v>27</v>
      </c>
      <c r="D181" s="19">
        <v>8</v>
      </c>
      <c r="E181" s="11" t="s">
        <v>57</v>
      </c>
      <c r="F181" s="11" t="s">
        <v>29</v>
      </c>
      <c r="G181" s="11" t="s">
        <v>168</v>
      </c>
      <c r="H181" s="12">
        <v>46104</v>
      </c>
      <c r="I181" s="12" t="str">
        <f t="shared" si="2"/>
        <v>March</v>
      </c>
      <c r="J181" s="24">
        <v>0.41249999999999998</v>
      </c>
      <c r="K181" s="19">
        <v>3</v>
      </c>
      <c r="L181" s="12">
        <v>46104</v>
      </c>
      <c r="M181" s="24">
        <v>0.62083333333333335</v>
      </c>
      <c r="N181" s="11">
        <v>5</v>
      </c>
      <c r="O181" s="11" t="s">
        <v>34</v>
      </c>
      <c r="P181" s="11" t="s">
        <v>35</v>
      </c>
      <c r="Q181" s="11"/>
      <c r="R181" s="11" t="s">
        <v>36</v>
      </c>
      <c r="S181" s="19">
        <v>15</v>
      </c>
      <c r="T181" s="11" t="s">
        <v>37</v>
      </c>
      <c r="U181" s="11" t="s">
        <v>164</v>
      </c>
      <c r="V181" s="11">
        <v>2</v>
      </c>
      <c r="W181" s="11" t="s">
        <v>39</v>
      </c>
      <c r="X181" s="11" t="s">
        <v>51</v>
      </c>
      <c r="Y181" s="11" t="s">
        <v>41</v>
      </c>
      <c r="Z181" s="11" t="s">
        <v>53</v>
      </c>
      <c r="AA181" s="11" t="s">
        <v>3234</v>
      </c>
    </row>
    <row r="182" spans="1:27">
      <c r="A182" s="11" t="s">
        <v>875</v>
      </c>
      <c r="B182" s="11" t="s">
        <v>876</v>
      </c>
      <c r="C182" s="11" t="s">
        <v>56</v>
      </c>
      <c r="D182" s="19">
        <v>72</v>
      </c>
      <c r="E182" s="11" t="s">
        <v>92</v>
      </c>
      <c r="F182" s="11" t="s">
        <v>29</v>
      </c>
      <c r="G182" s="11" t="s">
        <v>93</v>
      </c>
      <c r="H182" s="12">
        <v>46056</v>
      </c>
      <c r="I182" s="12" t="str">
        <f t="shared" si="2"/>
        <v>February</v>
      </c>
      <c r="J182" s="24">
        <v>0.56180555555555556</v>
      </c>
      <c r="K182" s="19">
        <v>24</v>
      </c>
      <c r="L182" s="12">
        <v>46057</v>
      </c>
      <c r="M182" s="24">
        <v>0.68680555555555556</v>
      </c>
      <c r="N182" s="11">
        <v>27</v>
      </c>
      <c r="O182" s="11" t="s">
        <v>34</v>
      </c>
      <c r="P182" s="11" t="s">
        <v>35</v>
      </c>
      <c r="Q182" s="11"/>
      <c r="R182" s="11" t="s">
        <v>36</v>
      </c>
      <c r="S182" s="19">
        <v>50</v>
      </c>
      <c r="T182" s="11" t="s">
        <v>49</v>
      </c>
      <c r="U182" s="11" t="s">
        <v>96</v>
      </c>
      <c r="V182" s="11">
        <v>3</v>
      </c>
      <c r="W182" s="11" t="s">
        <v>62</v>
      </c>
      <c r="X182" s="11" t="s">
        <v>3334</v>
      </c>
      <c r="Y182" s="11" t="s">
        <v>41</v>
      </c>
      <c r="Z182" s="11" t="s">
        <v>42</v>
      </c>
      <c r="AA182" s="11" t="s">
        <v>3229</v>
      </c>
    </row>
    <row r="183" spans="1:27">
      <c r="A183" s="11" t="s">
        <v>881</v>
      </c>
      <c r="B183" s="11" t="s">
        <v>882</v>
      </c>
      <c r="C183" s="11" t="s">
        <v>27</v>
      </c>
      <c r="D183" s="19">
        <v>9</v>
      </c>
      <c r="E183" s="11" t="s">
        <v>173</v>
      </c>
      <c r="F183" s="11" t="s">
        <v>29</v>
      </c>
      <c r="G183" s="11" t="s">
        <v>168</v>
      </c>
      <c r="H183" s="12">
        <v>46133</v>
      </c>
      <c r="I183" s="12" t="str">
        <f t="shared" si="2"/>
        <v>April</v>
      </c>
      <c r="J183" s="24">
        <v>0.49930555555555556</v>
      </c>
      <c r="K183" s="19">
        <v>4</v>
      </c>
      <c r="L183" s="12">
        <v>46133</v>
      </c>
      <c r="M183" s="24">
        <v>0.79097222222222219</v>
      </c>
      <c r="N183" s="11">
        <v>7</v>
      </c>
      <c r="O183" s="11" t="s">
        <v>34</v>
      </c>
      <c r="P183" s="11" t="s">
        <v>35</v>
      </c>
      <c r="Q183" s="11"/>
      <c r="R183" s="11" t="s">
        <v>36</v>
      </c>
      <c r="S183" s="19">
        <v>25</v>
      </c>
      <c r="T183" s="11" t="s">
        <v>49</v>
      </c>
      <c r="U183" s="11" t="s">
        <v>96</v>
      </c>
      <c r="V183" s="11">
        <v>2</v>
      </c>
      <c r="W183" s="11" t="s">
        <v>89</v>
      </c>
      <c r="X183" s="11" t="s">
        <v>3325</v>
      </c>
      <c r="Y183" s="11" t="s">
        <v>109</v>
      </c>
      <c r="Z183" s="11" t="s">
        <v>71</v>
      </c>
      <c r="AA183" s="11" t="s">
        <v>3234</v>
      </c>
    </row>
    <row r="184" spans="1:27">
      <c r="A184" s="11" t="s">
        <v>885</v>
      </c>
      <c r="B184" s="11" t="s">
        <v>886</v>
      </c>
      <c r="C184" s="11" t="s">
        <v>56</v>
      </c>
      <c r="D184" s="19">
        <v>35</v>
      </c>
      <c r="E184" s="11" t="s">
        <v>92</v>
      </c>
      <c r="F184" s="11" t="s">
        <v>29</v>
      </c>
      <c r="G184" s="11" t="s">
        <v>93</v>
      </c>
      <c r="H184" s="12">
        <v>46150</v>
      </c>
      <c r="I184" s="12" t="str">
        <f t="shared" si="2"/>
        <v>May</v>
      </c>
      <c r="J184" s="24">
        <v>0.48819444444444443</v>
      </c>
      <c r="K184" s="19">
        <v>24</v>
      </c>
      <c r="L184" s="12">
        <v>46151</v>
      </c>
      <c r="M184" s="24">
        <v>0.52986111111111112</v>
      </c>
      <c r="N184" s="11">
        <v>25</v>
      </c>
      <c r="O184" s="11" t="s">
        <v>34</v>
      </c>
      <c r="P184" s="11" t="s">
        <v>35</v>
      </c>
      <c r="Q184" s="11"/>
      <c r="R184" s="11" t="s">
        <v>36</v>
      </c>
      <c r="S184" s="19">
        <v>50</v>
      </c>
      <c r="T184" s="11" t="s">
        <v>37</v>
      </c>
      <c r="U184" s="11" t="s">
        <v>38</v>
      </c>
      <c r="V184" s="11">
        <v>1</v>
      </c>
      <c r="W184" s="11" t="s">
        <v>62</v>
      </c>
      <c r="X184" s="11" t="s">
        <v>3333</v>
      </c>
      <c r="Y184" s="11" t="s">
        <v>52</v>
      </c>
      <c r="Z184" s="11" t="s">
        <v>42</v>
      </c>
      <c r="AA184" s="11" t="s">
        <v>3229</v>
      </c>
    </row>
    <row r="185" spans="1:27">
      <c r="A185" s="11" t="s">
        <v>889</v>
      </c>
      <c r="B185" s="11" t="s">
        <v>890</v>
      </c>
      <c r="C185" s="11" t="s">
        <v>27</v>
      </c>
      <c r="D185" s="19">
        <v>2</v>
      </c>
      <c r="E185" s="11" t="s">
        <v>92</v>
      </c>
      <c r="F185" s="11" t="s">
        <v>29</v>
      </c>
      <c r="G185" s="11" t="s">
        <v>93</v>
      </c>
      <c r="H185" s="12">
        <v>46099</v>
      </c>
      <c r="I185" s="12" t="str">
        <f t="shared" si="2"/>
        <v>March</v>
      </c>
      <c r="J185" s="24">
        <v>0.63541666666666663</v>
      </c>
      <c r="K185" s="19">
        <v>24</v>
      </c>
      <c r="L185" s="12">
        <v>46100</v>
      </c>
      <c r="M185" s="24">
        <v>0.92708333333333337</v>
      </c>
      <c r="N185" s="11">
        <v>31</v>
      </c>
      <c r="O185" s="11" t="s">
        <v>34</v>
      </c>
      <c r="P185" s="11" t="s">
        <v>35</v>
      </c>
      <c r="Q185" s="11"/>
      <c r="R185" s="11" t="s">
        <v>36</v>
      </c>
      <c r="S185" s="19">
        <v>50</v>
      </c>
      <c r="T185" s="11" t="s">
        <v>37</v>
      </c>
      <c r="U185" s="11" t="s">
        <v>164</v>
      </c>
      <c r="V185" s="11">
        <v>4</v>
      </c>
      <c r="W185" s="11" t="s">
        <v>89</v>
      </c>
      <c r="X185" s="11" t="s">
        <v>51</v>
      </c>
      <c r="Y185" s="11" t="s">
        <v>52</v>
      </c>
      <c r="Z185" s="11" t="s">
        <v>71</v>
      </c>
      <c r="AA185" s="11" t="s">
        <v>3233</v>
      </c>
    </row>
    <row r="186" spans="1:27">
      <c r="A186" s="11" t="s">
        <v>895</v>
      </c>
      <c r="B186" s="11" t="s">
        <v>896</v>
      </c>
      <c r="C186" s="11" t="s">
        <v>56</v>
      </c>
      <c r="D186" s="19">
        <v>3</v>
      </c>
      <c r="E186" s="11" t="s">
        <v>173</v>
      </c>
      <c r="F186" s="11" t="s">
        <v>29</v>
      </c>
      <c r="G186" s="11" t="s">
        <v>168</v>
      </c>
      <c r="H186" s="12">
        <v>46195</v>
      </c>
      <c r="I186" s="12" t="str">
        <f t="shared" si="2"/>
        <v>June</v>
      </c>
      <c r="J186" s="24">
        <v>0.42083333333333334</v>
      </c>
      <c r="K186" s="19">
        <v>4</v>
      </c>
      <c r="L186" s="12">
        <v>46195</v>
      </c>
      <c r="M186" s="24">
        <v>0.71250000000000002</v>
      </c>
      <c r="N186" s="11">
        <v>7</v>
      </c>
      <c r="O186" s="11" t="s">
        <v>34</v>
      </c>
      <c r="P186" s="11" t="s">
        <v>35</v>
      </c>
      <c r="Q186" s="11"/>
      <c r="R186" s="11" t="s">
        <v>36</v>
      </c>
      <c r="S186" s="19">
        <v>25</v>
      </c>
      <c r="T186" s="11" t="s">
        <v>49</v>
      </c>
      <c r="U186" s="11" t="s">
        <v>164</v>
      </c>
      <c r="V186" s="11">
        <v>5</v>
      </c>
      <c r="W186" s="11" t="s">
        <v>70</v>
      </c>
      <c r="X186" s="11" t="s">
        <v>3333</v>
      </c>
      <c r="Y186" s="11" t="s">
        <v>52</v>
      </c>
      <c r="Z186" s="11" t="s">
        <v>71</v>
      </c>
      <c r="AA186" s="11" t="s">
        <v>3234</v>
      </c>
    </row>
    <row r="187" spans="1:27">
      <c r="A187" s="11" t="s">
        <v>898</v>
      </c>
      <c r="B187" s="11" t="s">
        <v>899</v>
      </c>
      <c r="C187" s="11" t="s">
        <v>27</v>
      </c>
      <c r="D187" s="19">
        <v>88</v>
      </c>
      <c r="E187" s="11" t="s">
        <v>173</v>
      </c>
      <c r="F187" s="11" t="s">
        <v>29</v>
      </c>
      <c r="G187" s="11" t="s">
        <v>168</v>
      </c>
      <c r="H187" s="12">
        <v>46201</v>
      </c>
      <c r="I187" s="12" t="str">
        <f t="shared" si="2"/>
        <v>June</v>
      </c>
      <c r="J187" s="24">
        <v>0.63958333333333328</v>
      </c>
      <c r="K187" s="19">
        <v>4</v>
      </c>
      <c r="L187" s="12">
        <v>46202</v>
      </c>
      <c r="M187" s="24">
        <v>1.4583333333333334E-2</v>
      </c>
      <c r="N187" s="11">
        <v>9</v>
      </c>
      <c r="O187" s="11" t="s">
        <v>34</v>
      </c>
      <c r="P187" s="11" t="s">
        <v>35</v>
      </c>
      <c r="Q187" s="11"/>
      <c r="R187" s="11" t="s">
        <v>36</v>
      </c>
      <c r="S187" s="19">
        <v>25</v>
      </c>
      <c r="T187" s="11" t="s">
        <v>37</v>
      </c>
      <c r="U187" s="11" t="s">
        <v>164</v>
      </c>
      <c r="V187" s="11">
        <v>4</v>
      </c>
      <c r="W187" s="11" t="s">
        <v>62</v>
      </c>
      <c r="X187" s="11" t="s">
        <v>3325</v>
      </c>
      <c r="Y187" s="11" t="s">
        <v>52</v>
      </c>
      <c r="Z187" s="11" t="s">
        <v>71</v>
      </c>
      <c r="AA187" s="11" t="s">
        <v>3234</v>
      </c>
    </row>
    <row r="188" spans="1:27">
      <c r="A188" s="11" t="s">
        <v>904</v>
      </c>
      <c r="B188" s="11" t="s">
        <v>905</v>
      </c>
      <c r="C188" s="11" t="s">
        <v>27</v>
      </c>
      <c r="D188" s="19">
        <v>19</v>
      </c>
      <c r="E188" s="11" t="s">
        <v>92</v>
      </c>
      <c r="F188" s="11" t="s">
        <v>29</v>
      </c>
      <c r="G188" s="11" t="s">
        <v>58</v>
      </c>
      <c r="H188" s="12">
        <v>46082</v>
      </c>
      <c r="I188" s="12" t="str">
        <f t="shared" si="2"/>
        <v>March</v>
      </c>
      <c r="J188" s="24">
        <v>0.34444444444444444</v>
      </c>
      <c r="K188" s="19">
        <v>24</v>
      </c>
      <c r="L188" s="12">
        <v>46083</v>
      </c>
      <c r="M188" s="24">
        <v>0.46944444444444444</v>
      </c>
      <c r="N188" s="11">
        <v>27</v>
      </c>
      <c r="O188" s="11" t="s">
        <v>34</v>
      </c>
      <c r="P188" s="11" t="s">
        <v>35</v>
      </c>
      <c r="Q188" s="11"/>
      <c r="R188" s="11" t="s">
        <v>132</v>
      </c>
      <c r="S188" s="19">
        <v>50</v>
      </c>
      <c r="T188" s="11" t="s">
        <v>49</v>
      </c>
      <c r="U188" s="11" t="s">
        <v>38</v>
      </c>
      <c r="V188" s="11">
        <v>1</v>
      </c>
      <c r="W188" s="11" t="s">
        <v>39</v>
      </c>
      <c r="X188" s="11" t="s">
        <v>3334</v>
      </c>
      <c r="Y188" s="11" t="s">
        <v>109</v>
      </c>
      <c r="Z188" s="11" t="s">
        <v>71</v>
      </c>
      <c r="AA188" s="11" t="s">
        <v>3263</v>
      </c>
    </row>
    <row r="189" spans="1:27">
      <c r="A189" s="11" t="s">
        <v>908</v>
      </c>
      <c r="B189" s="11" t="s">
        <v>909</v>
      </c>
      <c r="C189" s="11" t="s">
        <v>27</v>
      </c>
      <c r="D189" s="19">
        <v>28</v>
      </c>
      <c r="E189" s="11" t="s">
        <v>28</v>
      </c>
      <c r="F189" s="11" t="s">
        <v>29</v>
      </c>
      <c r="G189" s="11" t="s">
        <v>83</v>
      </c>
      <c r="H189" s="12">
        <v>46185</v>
      </c>
      <c r="I189" s="12" t="str">
        <f t="shared" si="2"/>
        <v>June</v>
      </c>
      <c r="J189" s="24">
        <v>0.61736111111111114</v>
      </c>
      <c r="K189" s="19">
        <v>5</v>
      </c>
      <c r="L189" s="12">
        <v>46185</v>
      </c>
      <c r="M189" s="24">
        <v>0.86736111111111114</v>
      </c>
      <c r="N189" s="11">
        <v>6</v>
      </c>
      <c r="O189" s="11" t="s">
        <v>34</v>
      </c>
      <c r="P189" s="11" t="s">
        <v>35</v>
      </c>
      <c r="Q189" s="11"/>
      <c r="R189" s="11" t="s">
        <v>36</v>
      </c>
      <c r="S189" s="19">
        <v>35</v>
      </c>
      <c r="T189" s="11" t="s">
        <v>49</v>
      </c>
      <c r="U189" s="11" t="s">
        <v>96</v>
      </c>
      <c r="V189" s="11">
        <v>1</v>
      </c>
      <c r="W189" s="11" t="s">
        <v>39</v>
      </c>
      <c r="X189" s="11" t="s">
        <v>51</v>
      </c>
      <c r="Y189" s="11" t="s">
        <v>41</v>
      </c>
      <c r="Z189" s="11" t="s">
        <v>53</v>
      </c>
      <c r="AA189" s="11" t="s">
        <v>3234</v>
      </c>
    </row>
    <row r="190" spans="1:27">
      <c r="A190" s="11" t="s">
        <v>913</v>
      </c>
      <c r="B190" s="11" t="s">
        <v>914</v>
      </c>
      <c r="C190" s="11" t="s">
        <v>27</v>
      </c>
      <c r="D190" s="19">
        <v>57</v>
      </c>
      <c r="E190" s="11" t="s">
        <v>149</v>
      </c>
      <c r="F190" s="11" t="s">
        <v>29</v>
      </c>
      <c r="G190" s="11" t="s">
        <v>83</v>
      </c>
      <c r="H190" s="12">
        <v>46098</v>
      </c>
      <c r="I190" s="12" t="str">
        <f t="shared" si="2"/>
        <v>March</v>
      </c>
      <c r="J190" s="24">
        <v>0.47361111111111109</v>
      </c>
      <c r="K190" s="19">
        <v>6</v>
      </c>
      <c r="L190" s="12">
        <v>46098</v>
      </c>
      <c r="M190" s="24">
        <v>0.76527777777777772</v>
      </c>
      <c r="N190" s="11">
        <v>7</v>
      </c>
      <c r="O190" s="11" t="s">
        <v>34</v>
      </c>
      <c r="P190" s="11" t="s">
        <v>35</v>
      </c>
      <c r="Q190" s="11"/>
      <c r="R190" s="11" t="s">
        <v>36</v>
      </c>
      <c r="S190" s="19">
        <v>40</v>
      </c>
      <c r="T190" s="11" t="s">
        <v>49</v>
      </c>
      <c r="U190" s="11" t="s">
        <v>96</v>
      </c>
      <c r="V190" s="11">
        <v>3</v>
      </c>
      <c r="W190" s="11" t="s">
        <v>89</v>
      </c>
      <c r="X190" s="11" t="s">
        <v>51</v>
      </c>
      <c r="Y190" s="11" t="s">
        <v>109</v>
      </c>
      <c r="Z190" s="11" t="s">
        <v>53</v>
      </c>
      <c r="AA190" s="11" t="s">
        <v>3234</v>
      </c>
    </row>
    <row r="191" spans="1:27">
      <c r="A191" s="11" t="s">
        <v>917</v>
      </c>
      <c r="B191" s="11" t="s">
        <v>918</v>
      </c>
      <c r="C191" s="11" t="s">
        <v>56</v>
      </c>
      <c r="D191" s="19">
        <v>20</v>
      </c>
      <c r="E191" s="11" t="s">
        <v>28</v>
      </c>
      <c r="F191" s="11" t="s">
        <v>29</v>
      </c>
      <c r="G191" s="11" t="s">
        <v>30</v>
      </c>
      <c r="H191" s="12">
        <v>46187</v>
      </c>
      <c r="I191" s="12" t="str">
        <f t="shared" si="2"/>
        <v>June</v>
      </c>
      <c r="J191" s="24">
        <v>0.33888888888888891</v>
      </c>
      <c r="K191" s="19">
        <v>5</v>
      </c>
      <c r="L191" s="12">
        <v>46187</v>
      </c>
      <c r="M191" s="24">
        <v>0.88055555555555554</v>
      </c>
      <c r="N191" s="11">
        <v>13</v>
      </c>
      <c r="O191" s="11" t="s">
        <v>34</v>
      </c>
      <c r="P191" s="11" t="s">
        <v>35</v>
      </c>
      <c r="Q191" s="11"/>
      <c r="R191" s="11" t="s">
        <v>36</v>
      </c>
      <c r="S191" s="19">
        <v>35</v>
      </c>
      <c r="T191" s="11" t="s">
        <v>37</v>
      </c>
      <c r="U191" s="11" t="s">
        <v>164</v>
      </c>
      <c r="V191" s="11">
        <v>4</v>
      </c>
      <c r="W191" s="11" t="s">
        <v>39</v>
      </c>
      <c r="X191" s="11" t="s">
        <v>51</v>
      </c>
      <c r="Y191" s="11" t="s">
        <v>109</v>
      </c>
      <c r="Z191" s="11" t="s">
        <v>42</v>
      </c>
      <c r="AA191" s="11" t="str">
        <f>IF(A191=" ", "Missing Value", " ")</f>
        <v xml:space="preserve"> </v>
      </c>
    </row>
    <row r="192" spans="1:27">
      <c r="A192" s="11" t="s">
        <v>921</v>
      </c>
      <c r="B192" s="11" t="s">
        <v>922</v>
      </c>
      <c r="C192" s="11" t="s">
        <v>56</v>
      </c>
      <c r="D192" s="19">
        <v>1</v>
      </c>
      <c r="E192" s="11" t="s">
        <v>57</v>
      </c>
      <c r="F192" s="11" t="s">
        <v>29</v>
      </c>
      <c r="G192" s="11" t="s">
        <v>83</v>
      </c>
      <c r="H192" s="12">
        <v>46176</v>
      </c>
      <c r="I192" s="12" t="str">
        <f t="shared" si="2"/>
        <v>June</v>
      </c>
      <c r="J192" s="24">
        <v>0.62916666666666665</v>
      </c>
      <c r="K192" s="19">
        <v>3</v>
      </c>
      <c r="L192" s="12">
        <v>46176</v>
      </c>
      <c r="M192" s="24">
        <v>0.75416666666666665</v>
      </c>
      <c r="N192" s="11">
        <v>3</v>
      </c>
      <c r="O192" s="11" t="s">
        <v>68</v>
      </c>
      <c r="P192" s="11" t="s">
        <v>35</v>
      </c>
      <c r="Q192" s="11"/>
      <c r="R192" s="11" t="s">
        <v>36</v>
      </c>
      <c r="S192" s="19">
        <v>15</v>
      </c>
      <c r="T192" s="11" t="s">
        <v>37</v>
      </c>
      <c r="U192" s="11" t="s">
        <v>38</v>
      </c>
      <c r="V192" s="11">
        <v>1</v>
      </c>
      <c r="W192" s="11" t="s">
        <v>89</v>
      </c>
      <c r="X192" s="11" t="s">
        <v>3333</v>
      </c>
      <c r="Y192" s="11" t="s">
        <v>109</v>
      </c>
      <c r="Z192" s="11" t="s">
        <v>42</v>
      </c>
      <c r="AA192" s="11" t="s">
        <v>3234</v>
      </c>
    </row>
    <row r="193" spans="1:27">
      <c r="A193" s="11" t="s">
        <v>925</v>
      </c>
      <c r="B193" s="11" t="s">
        <v>926</v>
      </c>
      <c r="C193" s="11" t="s">
        <v>27</v>
      </c>
      <c r="D193" s="19">
        <v>47</v>
      </c>
      <c r="E193" s="11" t="s">
        <v>149</v>
      </c>
      <c r="F193" s="11" t="s">
        <v>29</v>
      </c>
      <c r="G193" s="11" t="s">
        <v>30</v>
      </c>
      <c r="H193" s="12">
        <v>46134</v>
      </c>
      <c r="I193" s="12" t="str">
        <f t="shared" si="2"/>
        <v>April</v>
      </c>
      <c r="J193" s="24">
        <v>0.51875000000000004</v>
      </c>
      <c r="K193" s="19">
        <v>6</v>
      </c>
      <c r="L193" s="12">
        <v>46134</v>
      </c>
      <c r="M193" s="24">
        <v>0.7270833333333333</v>
      </c>
      <c r="N193" s="11">
        <v>5</v>
      </c>
      <c r="O193" s="11" t="s">
        <v>68</v>
      </c>
      <c r="P193" s="11" t="s">
        <v>35</v>
      </c>
      <c r="Q193" s="11"/>
      <c r="R193" s="11" t="s">
        <v>36</v>
      </c>
      <c r="S193" s="19">
        <v>40</v>
      </c>
      <c r="T193" s="11" t="s">
        <v>49</v>
      </c>
      <c r="U193" s="11" t="s">
        <v>38</v>
      </c>
      <c r="V193" s="11">
        <v>5</v>
      </c>
      <c r="W193" s="11" t="s">
        <v>39</v>
      </c>
      <c r="X193" s="11" t="s">
        <v>3334</v>
      </c>
      <c r="Y193" s="11" t="s">
        <v>52</v>
      </c>
      <c r="Z193" s="11" t="s">
        <v>42</v>
      </c>
      <c r="AA193" s="11" t="str">
        <f>IF(A193=" ", "Missing Value", " ")</f>
        <v xml:space="preserve"> </v>
      </c>
    </row>
    <row r="194" spans="1:27">
      <c r="A194" s="11" t="s">
        <v>929</v>
      </c>
      <c r="B194" s="11" t="s">
        <v>930</v>
      </c>
      <c r="C194" s="11" t="s">
        <v>56</v>
      </c>
      <c r="D194" s="19">
        <v>55</v>
      </c>
      <c r="E194" s="11" t="s">
        <v>149</v>
      </c>
      <c r="F194" s="11" t="s">
        <v>29</v>
      </c>
      <c r="G194" s="11" t="s">
        <v>168</v>
      </c>
      <c r="H194" s="12">
        <v>46074</v>
      </c>
      <c r="I194" s="12" t="str">
        <f t="shared" ref="I194:I257" si="3">TEXT(H194, "mmmm")</f>
        <v>February</v>
      </c>
      <c r="J194" s="24">
        <v>0.49583333333333335</v>
      </c>
      <c r="K194" s="19">
        <v>6</v>
      </c>
      <c r="L194" s="12">
        <v>46074</v>
      </c>
      <c r="M194" s="24">
        <v>0.91249999999999998</v>
      </c>
      <c r="N194" s="11">
        <v>10</v>
      </c>
      <c r="O194" s="11" t="s">
        <v>34</v>
      </c>
      <c r="P194" s="11" t="s">
        <v>35</v>
      </c>
      <c r="Q194" s="11"/>
      <c r="R194" s="11" t="s">
        <v>36</v>
      </c>
      <c r="S194" s="19">
        <v>40</v>
      </c>
      <c r="T194" s="11" t="s">
        <v>37</v>
      </c>
      <c r="U194" s="11" t="s">
        <v>38</v>
      </c>
      <c r="V194" s="11">
        <v>3</v>
      </c>
      <c r="W194" s="11" t="s">
        <v>89</v>
      </c>
      <c r="X194" s="11" t="s">
        <v>3325</v>
      </c>
      <c r="Y194" s="11" t="s">
        <v>109</v>
      </c>
      <c r="Z194" s="11" t="s">
        <v>42</v>
      </c>
      <c r="AA194" s="11" t="s">
        <v>3234</v>
      </c>
    </row>
    <row r="195" spans="1:27">
      <c r="A195" s="11" t="s">
        <v>933</v>
      </c>
      <c r="B195" s="11" t="s">
        <v>934</v>
      </c>
      <c r="C195" s="11" t="s">
        <v>56</v>
      </c>
      <c r="D195" s="19">
        <v>18</v>
      </c>
      <c r="E195" s="11" t="s">
        <v>57</v>
      </c>
      <c r="F195" s="11" t="s">
        <v>29</v>
      </c>
      <c r="G195" s="11" t="s">
        <v>58</v>
      </c>
      <c r="H195" s="12">
        <v>46121</v>
      </c>
      <c r="I195" s="12" t="str">
        <f t="shared" si="3"/>
        <v>April</v>
      </c>
      <c r="J195" s="24">
        <v>0.5083333333333333</v>
      </c>
      <c r="K195" s="19">
        <v>3</v>
      </c>
      <c r="L195" s="12">
        <v>46121</v>
      </c>
      <c r="M195" s="24">
        <v>0.7583333333333333</v>
      </c>
      <c r="N195" s="11">
        <v>6</v>
      </c>
      <c r="O195" s="11" t="s">
        <v>34</v>
      </c>
      <c r="P195" s="11" t="s">
        <v>270</v>
      </c>
      <c r="Q195" s="11" t="s">
        <v>391</v>
      </c>
      <c r="R195" s="11" t="s">
        <v>36</v>
      </c>
      <c r="S195" s="19">
        <v>15</v>
      </c>
      <c r="T195" s="11" t="s">
        <v>49</v>
      </c>
      <c r="U195" s="11" t="s">
        <v>38</v>
      </c>
      <c r="V195" s="11">
        <v>3</v>
      </c>
      <c r="W195" s="11" t="s">
        <v>62</v>
      </c>
      <c r="X195" s="11" t="s">
        <v>3333</v>
      </c>
      <c r="Y195" s="11" t="s">
        <v>41</v>
      </c>
      <c r="Z195" s="11" t="s">
        <v>71</v>
      </c>
      <c r="AA195" s="11" t="s">
        <v>3251</v>
      </c>
    </row>
    <row r="196" spans="1:27">
      <c r="A196" s="11" t="s">
        <v>937</v>
      </c>
      <c r="B196" s="11" t="s">
        <v>938</v>
      </c>
      <c r="C196" s="11" t="s">
        <v>56</v>
      </c>
      <c r="D196" s="19">
        <v>69</v>
      </c>
      <c r="E196" s="11" t="s">
        <v>57</v>
      </c>
      <c r="F196" s="11" t="s">
        <v>29</v>
      </c>
      <c r="G196" s="11" t="s">
        <v>83</v>
      </c>
      <c r="H196" s="12">
        <v>46035</v>
      </c>
      <c r="I196" s="12" t="str">
        <f t="shared" si="3"/>
        <v>January</v>
      </c>
      <c r="J196" s="24">
        <v>0.69444444444444442</v>
      </c>
      <c r="K196" s="19">
        <v>3</v>
      </c>
      <c r="L196" s="12">
        <v>46035</v>
      </c>
      <c r="M196" s="24">
        <v>0.94444444444444442</v>
      </c>
      <c r="N196" s="11">
        <v>6</v>
      </c>
      <c r="O196" s="11" t="s">
        <v>34</v>
      </c>
      <c r="P196" s="11" t="s">
        <v>35</v>
      </c>
      <c r="Q196" s="11"/>
      <c r="R196" s="11" t="s">
        <v>36</v>
      </c>
      <c r="S196" s="19">
        <v>15</v>
      </c>
      <c r="T196" s="11" t="s">
        <v>37</v>
      </c>
      <c r="U196" s="11" t="s">
        <v>164</v>
      </c>
      <c r="V196" s="11">
        <v>3</v>
      </c>
      <c r="W196" s="11" t="s">
        <v>39</v>
      </c>
      <c r="X196" s="11" t="s">
        <v>51</v>
      </c>
      <c r="Y196" s="11" t="s">
        <v>52</v>
      </c>
      <c r="Z196" s="11" t="s">
        <v>42</v>
      </c>
      <c r="AA196" s="11" t="s">
        <v>3234</v>
      </c>
    </row>
    <row r="197" spans="1:27">
      <c r="A197" s="11" t="s">
        <v>941</v>
      </c>
      <c r="B197" s="11" t="s">
        <v>942</v>
      </c>
      <c r="C197" s="11" t="s">
        <v>27</v>
      </c>
      <c r="D197" s="19">
        <v>63</v>
      </c>
      <c r="E197" s="11" t="s">
        <v>173</v>
      </c>
      <c r="F197" s="11" t="s">
        <v>29</v>
      </c>
      <c r="G197" s="11" t="s">
        <v>168</v>
      </c>
      <c r="H197" s="12">
        <v>46154</v>
      </c>
      <c r="I197" s="12" t="str">
        <f t="shared" si="3"/>
        <v>May</v>
      </c>
      <c r="J197" s="24">
        <v>0.44305555555555554</v>
      </c>
      <c r="K197" s="19">
        <v>4</v>
      </c>
      <c r="L197" s="12">
        <v>46154</v>
      </c>
      <c r="M197" s="24">
        <v>0.60972222222222228</v>
      </c>
      <c r="N197" s="11">
        <v>4</v>
      </c>
      <c r="O197" s="11" t="s">
        <v>68</v>
      </c>
      <c r="P197" s="11" t="s">
        <v>35</v>
      </c>
      <c r="Q197" s="11"/>
      <c r="R197" s="11" t="s">
        <v>36</v>
      </c>
      <c r="S197" s="19">
        <v>25</v>
      </c>
      <c r="T197" s="11" t="s">
        <v>37</v>
      </c>
      <c r="U197" s="11" t="s">
        <v>164</v>
      </c>
      <c r="V197" s="11">
        <v>3</v>
      </c>
      <c r="W197" s="11" t="s">
        <v>89</v>
      </c>
      <c r="X197" s="11" t="s">
        <v>3334</v>
      </c>
      <c r="Y197" s="11" t="s">
        <v>52</v>
      </c>
      <c r="Z197" s="11" t="s">
        <v>53</v>
      </c>
      <c r="AA197" s="11" t="s">
        <v>3234</v>
      </c>
    </row>
    <row r="198" spans="1:27">
      <c r="A198" s="11" t="s">
        <v>945</v>
      </c>
      <c r="B198" s="11" t="s">
        <v>946</v>
      </c>
      <c r="C198" s="11" t="s">
        <v>56</v>
      </c>
      <c r="D198" s="19">
        <v>90</v>
      </c>
      <c r="E198" s="11" t="s">
        <v>173</v>
      </c>
      <c r="F198" s="11" t="s">
        <v>29</v>
      </c>
      <c r="G198" s="11" t="s">
        <v>30</v>
      </c>
      <c r="H198" s="12">
        <v>46112</v>
      </c>
      <c r="I198" s="12" t="str">
        <f t="shared" si="3"/>
        <v>March</v>
      </c>
      <c r="J198" s="24">
        <v>0.33333333333333331</v>
      </c>
      <c r="K198" s="19">
        <v>4</v>
      </c>
      <c r="L198" s="12">
        <v>46112</v>
      </c>
      <c r="M198" s="24">
        <v>0.45833333333333331</v>
      </c>
      <c r="N198" s="11">
        <v>3</v>
      </c>
      <c r="O198" s="11" t="s">
        <v>68</v>
      </c>
      <c r="P198" s="11" t="s">
        <v>35</v>
      </c>
      <c r="Q198" s="11"/>
      <c r="R198" s="11" t="s">
        <v>132</v>
      </c>
      <c r="S198" s="19">
        <v>25</v>
      </c>
      <c r="T198" s="11" t="s">
        <v>49</v>
      </c>
      <c r="U198" s="11" t="s">
        <v>96</v>
      </c>
      <c r="V198" s="11">
        <v>5</v>
      </c>
      <c r="W198" s="11" t="s">
        <v>70</v>
      </c>
      <c r="X198" s="11" t="s">
        <v>3325</v>
      </c>
      <c r="Y198" s="11" t="s">
        <v>41</v>
      </c>
      <c r="Z198" s="11" t="s">
        <v>53</v>
      </c>
      <c r="AA198" s="11" t="s">
        <v>3264</v>
      </c>
    </row>
    <row r="199" spans="1:27">
      <c r="A199" s="11" t="s">
        <v>949</v>
      </c>
      <c r="B199" s="11" t="s">
        <v>950</v>
      </c>
      <c r="C199" s="11" t="s">
        <v>56</v>
      </c>
      <c r="D199" s="19">
        <v>81</v>
      </c>
      <c r="E199" s="11" t="s">
        <v>92</v>
      </c>
      <c r="F199" s="11" t="s">
        <v>29</v>
      </c>
      <c r="G199" s="11" t="s">
        <v>93</v>
      </c>
      <c r="H199" s="12">
        <v>46024</v>
      </c>
      <c r="I199" s="12" t="str">
        <f t="shared" si="3"/>
        <v>January</v>
      </c>
      <c r="J199" s="24">
        <v>0.61041666666666672</v>
      </c>
      <c r="K199" s="19">
        <v>24</v>
      </c>
      <c r="L199" s="12">
        <v>46025</v>
      </c>
      <c r="M199" s="24">
        <v>0.69374999999999998</v>
      </c>
      <c r="N199" s="11">
        <v>26</v>
      </c>
      <c r="O199" s="11" t="s">
        <v>34</v>
      </c>
      <c r="P199" s="11" t="s">
        <v>35</v>
      </c>
      <c r="Q199" s="11"/>
      <c r="R199" s="11" t="s">
        <v>36</v>
      </c>
      <c r="S199" s="19">
        <v>50</v>
      </c>
      <c r="T199" s="11" t="s">
        <v>49</v>
      </c>
      <c r="U199" s="11" t="s">
        <v>96</v>
      </c>
      <c r="V199" s="11">
        <v>3</v>
      </c>
      <c r="W199" s="11" t="s">
        <v>70</v>
      </c>
      <c r="X199" s="11" t="s">
        <v>3325</v>
      </c>
      <c r="Y199" s="11" t="s">
        <v>52</v>
      </c>
      <c r="Z199" s="11" t="s">
        <v>53</v>
      </c>
      <c r="AA199" s="11" t="s">
        <v>3229</v>
      </c>
    </row>
    <row r="200" spans="1:27">
      <c r="A200" s="11" t="s">
        <v>63</v>
      </c>
      <c r="B200" s="11" t="s">
        <v>952</v>
      </c>
      <c r="C200" s="11" t="s">
        <v>27</v>
      </c>
      <c r="D200" s="19">
        <v>55</v>
      </c>
      <c r="E200" s="11" t="s">
        <v>28</v>
      </c>
      <c r="F200" s="11" t="s">
        <v>29</v>
      </c>
      <c r="G200" s="11" t="s">
        <v>58</v>
      </c>
      <c r="H200" s="12">
        <v>46096</v>
      </c>
      <c r="I200" s="12" t="str">
        <f t="shared" si="3"/>
        <v>March</v>
      </c>
      <c r="J200" s="24">
        <v>0.56458333333333333</v>
      </c>
      <c r="K200" s="19">
        <v>5</v>
      </c>
      <c r="L200" s="12">
        <v>46096</v>
      </c>
      <c r="M200" s="24">
        <v>0.81458333333333333</v>
      </c>
      <c r="N200" s="11">
        <v>6</v>
      </c>
      <c r="O200" s="11" t="s">
        <v>34</v>
      </c>
      <c r="P200" s="11" t="s">
        <v>35</v>
      </c>
      <c r="Q200" s="11"/>
      <c r="R200" s="11" t="s">
        <v>36</v>
      </c>
      <c r="S200" s="19">
        <v>35</v>
      </c>
      <c r="T200" s="11" t="s">
        <v>49</v>
      </c>
      <c r="U200" s="11" t="s">
        <v>96</v>
      </c>
      <c r="V200" s="11">
        <v>3</v>
      </c>
      <c r="W200" s="11" t="s">
        <v>70</v>
      </c>
      <c r="X200" s="11" t="s">
        <v>3325</v>
      </c>
      <c r="Y200" s="11" t="s">
        <v>109</v>
      </c>
      <c r="Z200" s="11" t="s">
        <v>71</v>
      </c>
      <c r="AA200" s="11" t="s">
        <v>3240</v>
      </c>
    </row>
    <row r="201" spans="1:27">
      <c r="A201" s="11" t="s">
        <v>955</v>
      </c>
      <c r="B201" s="11" t="s">
        <v>956</v>
      </c>
      <c r="C201" s="11" t="s">
        <v>56</v>
      </c>
      <c r="D201" s="19">
        <v>2</v>
      </c>
      <c r="E201" s="11" t="s">
        <v>57</v>
      </c>
      <c r="F201" s="11" t="s">
        <v>29</v>
      </c>
      <c r="G201" s="11" t="s">
        <v>30</v>
      </c>
      <c r="H201" s="12">
        <v>46168</v>
      </c>
      <c r="I201" s="12" t="str">
        <f t="shared" si="3"/>
        <v>May</v>
      </c>
      <c r="J201" s="24">
        <v>0.33263888888888887</v>
      </c>
      <c r="K201" s="19">
        <v>3</v>
      </c>
      <c r="L201" s="12">
        <v>46168</v>
      </c>
      <c r="M201" s="24">
        <v>0.66597222222222219</v>
      </c>
      <c r="N201" s="11">
        <v>8</v>
      </c>
      <c r="O201" s="11" t="s">
        <v>34</v>
      </c>
      <c r="P201" s="11" t="s">
        <v>35</v>
      </c>
      <c r="Q201" s="11"/>
      <c r="R201" s="11" t="s">
        <v>36</v>
      </c>
      <c r="S201" s="19">
        <v>15</v>
      </c>
      <c r="T201" s="11" t="s">
        <v>49</v>
      </c>
      <c r="U201" s="11" t="s">
        <v>96</v>
      </c>
      <c r="V201" s="11">
        <v>5</v>
      </c>
      <c r="W201" s="11" t="s">
        <v>70</v>
      </c>
      <c r="X201" s="11" t="s">
        <v>3333</v>
      </c>
      <c r="Y201" s="11" t="s">
        <v>109</v>
      </c>
      <c r="Z201" s="11" t="s">
        <v>71</v>
      </c>
      <c r="AA201" s="11" t="s">
        <v>3234</v>
      </c>
    </row>
    <row r="202" spans="1:27">
      <c r="A202" s="11" t="s">
        <v>959</v>
      </c>
      <c r="B202" s="11" t="s">
        <v>960</v>
      </c>
      <c r="C202" s="11" t="s">
        <v>56</v>
      </c>
      <c r="D202" s="19">
        <v>73</v>
      </c>
      <c r="E202" s="11" t="s">
        <v>28</v>
      </c>
      <c r="F202" s="11" t="s">
        <v>29</v>
      </c>
      <c r="G202" s="11" t="s">
        <v>83</v>
      </c>
      <c r="H202" s="12">
        <v>46097</v>
      </c>
      <c r="I202" s="12" t="str">
        <f t="shared" si="3"/>
        <v>March</v>
      </c>
      <c r="J202" s="24">
        <v>0.33958333333333335</v>
      </c>
      <c r="K202" s="19">
        <v>5</v>
      </c>
      <c r="L202" s="12">
        <v>46097</v>
      </c>
      <c r="M202" s="24">
        <v>0.54791666666666672</v>
      </c>
      <c r="N202" s="11">
        <v>5</v>
      </c>
      <c r="O202" s="11" t="s">
        <v>68</v>
      </c>
      <c r="P202" s="11" t="s">
        <v>35</v>
      </c>
      <c r="Q202" s="11"/>
      <c r="R202" s="11" t="s">
        <v>36</v>
      </c>
      <c r="S202" s="19">
        <v>35</v>
      </c>
      <c r="T202" s="11" t="s">
        <v>49</v>
      </c>
      <c r="U202" s="11" t="s">
        <v>96</v>
      </c>
      <c r="V202" s="11">
        <v>3</v>
      </c>
      <c r="W202" s="11" t="s">
        <v>39</v>
      </c>
      <c r="X202" s="11" t="s">
        <v>3333</v>
      </c>
      <c r="Y202" s="11" t="s">
        <v>52</v>
      </c>
      <c r="Z202" s="11" t="s">
        <v>53</v>
      </c>
      <c r="AA202" s="11" t="s">
        <v>3234</v>
      </c>
    </row>
    <row r="203" spans="1:27">
      <c r="A203" s="11" t="s">
        <v>962</v>
      </c>
      <c r="B203" s="11" t="s">
        <v>963</v>
      </c>
      <c r="C203" s="11" t="s">
        <v>27</v>
      </c>
      <c r="D203" s="19">
        <v>89</v>
      </c>
      <c r="E203" s="11" t="s">
        <v>28</v>
      </c>
      <c r="F203" s="11" t="s">
        <v>29</v>
      </c>
      <c r="G203" s="11" t="s">
        <v>30</v>
      </c>
      <c r="H203" s="12">
        <v>46148</v>
      </c>
      <c r="I203" s="12" t="str">
        <f t="shared" si="3"/>
        <v>May</v>
      </c>
      <c r="J203" s="24">
        <v>0.30625000000000002</v>
      </c>
      <c r="K203" s="19">
        <v>5</v>
      </c>
      <c r="L203" s="12">
        <v>46148</v>
      </c>
      <c r="M203" s="24">
        <v>0.47291666666666665</v>
      </c>
      <c r="N203" s="11">
        <v>4</v>
      </c>
      <c r="O203" s="11" t="s">
        <v>68</v>
      </c>
      <c r="P203" s="11" t="s">
        <v>35</v>
      </c>
      <c r="Q203" s="11"/>
      <c r="R203" s="11" t="s">
        <v>36</v>
      </c>
      <c r="S203" s="19">
        <v>35</v>
      </c>
      <c r="T203" s="11" t="s">
        <v>37</v>
      </c>
      <c r="U203" s="11" t="s">
        <v>38</v>
      </c>
      <c r="V203" s="11">
        <v>4</v>
      </c>
      <c r="W203" s="11" t="s">
        <v>39</v>
      </c>
      <c r="X203" s="11" t="s">
        <v>3333</v>
      </c>
      <c r="Y203" s="11" t="s">
        <v>52</v>
      </c>
      <c r="Z203" s="11" t="s">
        <v>53</v>
      </c>
      <c r="AA203" s="11" t="str">
        <f>IF(A203=" ", "Missing Value", " ")</f>
        <v xml:space="preserve"> </v>
      </c>
    </row>
    <row r="204" spans="1:27">
      <c r="A204" s="11" t="s">
        <v>965</v>
      </c>
      <c r="B204" s="11" t="s">
        <v>966</v>
      </c>
      <c r="C204" s="11" t="s">
        <v>56</v>
      </c>
      <c r="D204" s="19">
        <v>53</v>
      </c>
      <c r="E204" s="11" t="s">
        <v>149</v>
      </c>
      <c r="F204" s="11" t="s">
        <v>29</v>
      </c>
      <c r="G204" s="11" t="s">
        <v>83</v>
      </c>
      <c r="H204" s="12">
        <v>46057</v>
      </c>
      <c r="I204" s="12" t="str">
        <f t="shared" si="3"/>
        <v>February</v>
      </c>
      <c r="J204" s="24">
        <v>0.44513888888888886</v>
      </c>
      <c r="K204" s="19">
        <v>6</v>
      </c>
      <c r="L204" s="12">
        <v>46057</v>
      </c>
      <c r="M204" s="24">
        <v>0.69513888888888886</v>
      </c>
      <c r="N204" s="11">
        <v>6</v>
      </c>
      <c r="O204" s="11" t="s">
        <v>68</v>
      </c>
      <c r="P204" s="11" t="s">
        <v>35</v>
      </c>
      <c r="Q204" s="11"/>
      <c r="R204" s="11" t="s">
        <v>36</v>
      </c>
      <c r="S204" s="19">
        <v>40</v>
      </c>
      <c r="T204" s="11" t="s">
        <v>37</v>
      </c>
      <c r="U204" s="11" t="s">
        <v>96</v>
      </c>
      <c r="V204" s="11">
        <v>2</v>
      </c>
      <c r="W204" s="11" t="s">
        <v>89</v>
      </c>
      <c r="X204" s="11" t="s">
        <v>51</v>
      </c>
      <c r="Y204" s="11" t="s">
        <v>109</v>
      </c>
      <c r="Z204" s="11" t="s">
        <v>42</v>
      </c>
      <c r="AA204" s="11" t="s">
        <v>3234</v>
      </c>
    </row>
    <row r="205" spans="1:27">
      <c r="A205" s="11" t="s">
        <v>967</v>
      </c>
      <c r="B205" s="11" t="s">
        <v>968</v>
      </c>
      <c r="C205" s="11" t="s">
        <v>56</v>
      </c>
      <c r="D205" s="19">
        <v>70</v>
      </c>
      <c r="E205" s="11" t="s">
        <v>28</v>
      </c>
      <c r="F205" s="11" t="s">
        <v>29</v>
      </c>
      <c r="G205" s="11" t="s">
        <v>83</v>
      </c>
      <c r="H205" s="12">
        <v>46129</v>
      </c>
      <c r="I205" s="12" t="str">
        <f t="shared" si="3"/>
        <v>April</v>
      </c>
      <c r="J205" s="24">
        <v>0.40069444444444446</v>
      </c>
      <c r="K205" s="19">
        <v>5</v>
      </c>
      <c r="L205" s="12">
        <v>46129</v>
      </c>
      <c r="M205" s="24">
        <v>0.85902777777777772</v>
      </c>
      <c r="N205" s="11">
        <v>11</v>
      </c>
      <c r="O205" s="11" t="s">
        <v>34</v>
      </c>
      <c r="P205" s="11" t="s">
        <v>35</v>
      </c>
      <c r="Q205" s="11"/>
      <c r="R205" s="11" t="s">
        <v>36</v>
      </c>
      <c r="S205" s="19">
        <v>35</v>
      </c>
      <c r="T205" s="11" t="s">
        <v>49</v>
      </c>
      <c r="U205" s="11" t="s">
        <v>38</v>
      </c>
      <c r="V205" s="11">
        <v>2</v>
      </c>
      <c r="W205" s="11" t="s">
        <v>89</v>
      </c>
      <c r="X205" s="11" t="s">
        <v>3334</v>
      </c>
      <c r="Y205" s="11" t="s">
        <v>109</v>
      </c>
      <c r="Z205" s="11" t="s">
        <v>42</v>
      </c>
      <c r="AA205" s="11" t="s">
        <v>3234</v>
      </c>
    </row>
    <row r="206" spans="1:27">
      <c r="A206" s="11" t="s">
        <v>970</v>
      </c>
      <c r="B206" s="11" t="s">
        <v>971</v>
      </c>
      <c r="C206" s="11" t="s">
        <v>27</v>
      </c>
      <c r="D206" s="19">
        <v>21</v>
      </c>
      <c r="E206" s="11" t="s">
        <v>173</v>
      </c>
      <c r="F206" s="11" t="s">
        <v>29</v>
      </c>
      <c r="G206" s="11" t="s">
        <v>168</v>
      </c>
      <c r="H206" s="12">
        <v>46176</v>
      </c>
      <c r="I206" s="12" t="str">
        <f t="shared" si="3"/>
        <v>June</v>
      </c>
      <c r="J206" s="24">
        <v>0.69861111111111107</v>
      </c>
      <c r="K206" s="19">
        <v>4</v>
      </c>
      <c r="L206" s="12">
        <v>46177</v>
      </c>
      <c r="M206" s="24">
        <v>3.1944444444444442E-2</v>
      </c>
      <c r="N206" s="11">
        <v>8</v>
      </c>
      <c r="O206" s="11" t="s">
        <v>34</v>
      </c>
      <c r="P206" s="11" t="s">
        <v>35</v>
      </c>
      <c r="Q206" s="11"/>
      <c r="R206" s="11" t="s">
        <v>36</v>
      </c>
      <c r="S206" s="19">
        <v>25</v>
      </c>
      <c r="T206" s="11" t="s">
        <v>49</v>
      </c>
      <c r="U206" s="11" t="s">
        <v>38</v>
      </c>
      <c r="V206" s="11">
        <v>3</v>
      </c>
      <c r="W206" s="11" t="s">
        <v>62</v>
      </c>
      <c r="X206" s="11" t="s">
        <v>51</v>
      </c>
      <c r="Y206" s="11" t="s">
        <v>109</v>
      </c>
      <c r="Z206" s="11" t="s">
        <v>71</v>
      </c>
      <c r="AA206" s="11" t="s">
        <v>3234</v>
      </c>
    </row>
    <row r="207" spans="1:27">
      <c r="A207" s="11" t="s">
        <v>973</v>
      </c>
      <c r="B207" s="11" t="s">
        <v>974</v>
      </c>
      <c r="C207" s="11" t="s">
        <v>27</v>
      </c>
      <c r="D207" s="19">
        <v>37</v>
      </c>
      <c r="E207" s="11" t="s">
        <v>92</v>
      </c>
      <c r="F207" s="11" t="s">
        <v>29</v>
      </c>
      <c r="G207" s="11" t="s">
        <v>168</v>
      </c>
      <c r="H207" s="12">
        <v>46137</v>
      </c>
      <c r="I207" s="12" t="str">
        <f t="shared" si="3"/>
        <v>April</v>
      </c>
      <c r="J207" s="24">
        <v>0.35486111111111113</v>
      </c>
      <c r="K207" s="19">
        <v>24</v>
      </c>
      <c r="L207" s="12">
        <v>46138</v>
      </c>
      <c r="M207" s="24">
        <v>0.43819444444444444</v>
      </c>
      <c r="N207" s="11">
        <v>26</v>
      </c>
      <c r="O207" s="11" t="s">
        <v>34</v>
      </c>
      <c r="P207" s="11" t="s">
        <v>35</v>
      </c>
      <c r="Q207" s="11"/>
      <c r="R207" s="11" t="s">
        <v>36</v>
      </c>
      <c r="S207" s="19">
        <v>50</v>
      </c>
      <c r="T207" s="11" t="s">
        <v>49</v>
      </c>
      <c r="U207" s="11" t="s">
        <v>38</v>
      </c>
      <c r="V207" s="11">
        <v>2</v>
      </c>
      <c r="W207" s="11" t="s">
        <v>70</v>
      </c>
      <c r="X207" s="11" t="s">
        <v>3334</v>
      </c>
      <c r="Y207" s="11" t="s">
        <v>52</v>
      </c>
      <c r="Z207" s="11" t="s">
        <v>53</v>
      </c>
      <c r="AA207" s="11" t="s">
        <v>3234</v>
      </c>
    </row>
    <row r="208" spans="1:27">
      <c r="A208" s="11" t="s">
        <v>977</v>
      </c>
      <c r="B208" s="11" t="s">
        <v>978</v>
      </c>
      <c r="C208" s="11" t="s">
        <v>56</v>
      </c>
      <c r="D208" s="19">
        <v>17</v>
      </c>
      <c r="E208" s="11" t="s">
        <v>173</v>
      </c>
      <c r="F208" s="11" t="s">
        <v>29</v>
      </c>
      <c r="G208" s="11" t="s">
        <v>93</v>
      </c>
      <c r="H208" s="12">
        <v>46103</v>
      </c>
      <c r="I208" s="12" t="str">
        <f t="shared" si="3"/>
        <v>March</v>
      </c>
      <c r="J208" s="24">
        <v>0.48680555555555555</v>
      </c>
      <c r="K208" s="19">
        <v>4</v>
      </c>
      <c r="L208" s="12">
        <v>46103</v>
      </c>
      <c r="M208" s="24">
        <v>0.8618055555555556</v>
      </c>
      <c r="N208" s="11">
        <v>9</v>
      </c>
      <c r="O208" s="11" t="s">
        <v>34</v>
      </c>
      <c r="P208" s="11" t="s">
        <v>35</v>
      </c>
      <c r="Q208" s="11"/>
      <c r="R208" s="11" t="s">
        <v>36</v>
      </c>
      <c r="S208" s="19">
        <v>25</v>
      </c>
      <c r="T208" s="11" t="s">
        <v>37</v>
      </c>
      <c r="U208" s="11" t="s">
        <v>38</v>
      </c>
      <c r="V208" s="11">
        <v>5</v>
      </c>
      <c r="W208" s="11" t="s">
        <v>70</v>
      </c>
      <c r="X208" s="11" t="s">
        <v>51</v>
      </c>
      <c r="Y208" s="11" t="s">
        <v>52</v>
      </c>
      <c r="Z208" s="11" t="s">
        <v>53</v>
      </c>
      <c r="AA208" s="11" t="s">
        <v>3234</v>
      </c>
    </row>
    <row r="209" spans="1:27">
      <c r="A209" s="11" t="s">
        <v>982</v>
      </c>
      <c r="B209" s="11" t="s">
        <v>983</v>
      </c>
      <c r="C209" s="11" t="s">
        <v>56</v>
      </c>
      <c r="D209" s="19">
        <v>2</v>
      </c>
      <c r="E209" s="11" t="s">
        <v>28</v>
      </c>
      <c r="F209" s="11" t="s">
        <v>29</v>
      </c>
      <c r="G209" s="11" t="s">
        <v>168</v>
      </c>
      <c r="H209" s="12">
        <v>46122</v>
      </c>
      <c r="I209" s="12" t="str">
        <f t="shared" si="3"/>
        <v>April</v>
      </c>
      <c r="J209" s="24">
        <v>0.68333333333333335</v>
      </c>
      <c r="K209" s="19">
        <v>5</v>
      </c>
      <c r="L209" s="12">
        <v>46122</v>
      </c>
      <c r="M209" s="24">
        <v>0.85</v>
      </c>
      <c r="N209" s="11">
        <v>4</v>
      </c>
      <c r="O209" s="11" t="s">
        <v>68</v>
      </c>
      <c r="P209" s="11" t="s">
        <v>35</v>
      </c>
      <c r="Q209" s="11"/>
      <c r="R209" s="11" t="s">
        <v>36</v>
      </c>
      <c r="S209" s="19">
        <v>35</v>
      </c>
      <c r="T209" s="11" t="s">
        <v>37</v>
      </c>
      <c r="U209" s="11" t="s">
        <v>164</v>
      </c>
      <c r="V209" s="11">
        <v>2</v>
      </c>
      <c r="W209" s="11" t="s">
        <v>62</v>
      </c>
      <c r="X209" s="11" t="s">
        <v>3333</v>
      </c>
      <c r="Y209" s="11" t="s">
        <v>109</v>
      </c>
      <c r="Z209" s="11" t="s">
        <v>42</v>
      </c>
      <c r="AA209" s="11" t="s">
        <v>3234</v>
      </c>
    </row>
    <row r="210" spans="1:27">
      <c r="A210" s="11" t="s">
        <v>986</v>
      </c>
      <c r="B210" s="11" t="s">
        <v>987</v>
      </c>
      <c r="C210" s="11" t="s">
        <v>56</v>
      </c>
      <c r="D210" s="19">
        <v>40</v>
      </c>
      <c r="E210" s="11" t="s">
        <v>173</v>
      </c>
      <c r="F210" s="11" t="s">
        <v>29</v>
      </c>
      <c r="G210" s="11" t="s">
        <v>168</v>
      </c>
      <c r="H210" s="12">
        <v>46171</v>
      </c>
      <c r="I210" s="12" t="str">
        <f t="shared" si="3"/>
        <v>May</v>
      </c>
      <c r="J210" s="24">
        <v>0.36041666666666666</v>
      </c>
      <c r="K210" s="19">
        <v>4</v>
      </c>
      <c r="L210" s="12">
        <v>46171</v>
      </c>
      <c r="M210" s="24">
        <v>0.61041666666666672</v>
      </c>
      <c r="N210" s="11">
        <v>6</v>
      </c>
      <c r="O210" s="11" t="s">
        <v>34</v>
      </c>
      <c r="P210" s="11" t="s">
        <v>35</v>
      </c>
      <c r="Q210" s="11"/>
      <c r="R210" s="11" t="s">
        <v>36</v>
      </c>
      <c r="S210" s="19">
        <v>25</v>
      </c>
      <c r="T210" s="11" t="s">
        <v>37</v>
      </c>
      <c r="U210" s="11" t="s">
        <v>96</v>
      </c>
      <c r="V210" s="11">
        <v>1</v>
      </c>
      <c r="W210" s="11" t="s">
        <v>89</v>
      </c>
      <c r="X210" s="11" t="s">
        <v>51</v>
      </c>
      <c r="Y210" s="11" t="s">
        <v>41</v>
      </c>
      <c r="Z210" s="11" t="s">
        <v>42</v>
      </c>
      <c r="AA210" s="11" t="s">
        <v>3234</v>
      </c>
    </row>
    <row r="211" spans="1:27">
      <c r="A211" s="11" t="s">
        <v>990</v>
      </c>
      <c r="B211" s="11" t="s">
        <v>991</v>
      </c>
      <c r="C211" s="11" t="s">
        <v>27</v>
      </c>
      <c r="D211" s="19">
        <v>85</v>
      </c>
      <c r="E211" s="11" t="s">
        <v>149</v>
      </c>
      <c r="F211" s="11" t="s">
        <v>29</v>
      </c>
      <c r="G211" s="11" t="s">
        <v>30</v>
      </c>
      <c r="H211" s="12">
        <v>46128</v>
      </c>
      <c r="I211" s="12" t="str">
        <f t="shared" si="3"/>
        <v>April</v>
      </c>
      <c r="J211" s="24">
        <v>0.48958333333333331</v>
      </c>
      <c r="K211" s="19">
        <v>6</v>
      </c>
      <c r="L211" s="12">
        <v>46128</v>
      </c>
      <c r="M211" s="24">
        <v>0.86458333333333337</v>
      </c>
      <c r="N211" s="11">
        <v>9</v>
      </c>
      <c r="O211" s="11" t="s">
        <v>34</v>
      </c>
      <c r="P211" s="11" t="s">
        <v>35</v>
      </c>
      <c r="Q211" s="11"/>
      <c r="R211" s="11" t="s">
        <v>36</v>
      </c>
      <c r="S211" s="19">
        <v>40</v>
      </c>
      <c r="T211" s="11" t="s">
        <v>49</v>
      </c>
      <c r="U211" s="11" t="s">
        <v>38</v>
      </c>
      <c r="V211" s="11">
        <v>5</v>
      </c>
      <c r="W211" s="11" t="s">
        <v>39</v>
      </c>
      <c r="X211" s="11" t="s">
        <v>3334</v>
      </c>
      <c r="Y211" s="11" t="s">
        <v>109</v>
      </c>
      <c r="Z211" s="11" t="s">
        <v>53</v>
      </c>
      <c r="AA211" s="11" t="str">
        <f>IF(A211=" ", "Missing Value", " ")</f>
        <v xml:space="preserve"> </v>
      </c>
    </row>
    <row r="212" spans="1:27">
      <c r="A212" s="11" t="s">
        <v>994</v>
      </c>
      <c r="B212" s="11" t="s">
        <v>995</v>
      </c>
      <c r="C212" s="11" t="s">
        <v>56</v>
      </c>
      <c r="D212" s="19">
        <v>34</v>
      </c>
      <c r="E212" s="11" t="s">
        <v>57</v>
      </c>
      <c r="F212" s="11" t="s">
        <v>29</v>
      </c>
      <c r="G212" s="11" t="s">
        <v>83</v>
      </c>
      <c r="H212" s="12">
        <v>46164</v>
      </c>
      <c r="I212" s="12" t="str">
        <f t="shared" si="3"/>
        <v>May</v>
      </c>
      <c r="J212" s="24">
        <v>0.69166666666666665</v>
      </c>
      <c r="K212" s="19">
        <v>3</v>
      </c>
      <c r="L212" s="12">
        <v>46164</v>
      </c>
      <c r="M212" s="24">
        <v>0.81666666666666665</v>
      </c>
      <c r="N212" s="11">
        <v>3</v>
      </c>
      <c r="O212" s="11" t="s">
        <v>68</v>
      </c>
      <c r="P212" s="11" t="s">
        <v>35</v>
      </c>
      <c r="Q212" s="11"/>
      <c r="R212" s="11" t="s">
        <v>36</v>
      </c>
      <c r="S212" s="19">
        <v>15</v>
      </c>
      <c r="T212" s="11" t="s">
        <v>37</v>
      </c>
      <c r="U212" s="11" t="s">
        <v>96</v>
      </c>
      <c r="V212" s="11">
        <v>2</v>
      </c>
      <c r="W212" s="11" t="s">
        <v>70</v>
      </c>
      <c r="X212" s="11" t="s">
        <v>3334</v>
      </c>
      <c r="Y212" s="11" t="s">
        <v>41</v>
      </c>
      <c r="Z212" s="11" t="s">
        <v>71</v>
      </c>
      <c r="AA212" s="11" t="s">
        <v>3234</v>
      </c>
    </row>
    <row r="213" spans="1:27">
      <c r="A213" s="11" t="s">
        <v>999</v>
      </c>
      <c r="B213" s="11" t="s">
        <v>1000</v>
      </c>
      <c r="C213" s="11" t="s">
        <v>27</v>
      </c>
      <c r="D213" s="19">
        <v>64</v>
      </c>
      <c r="E213" s="11" t="s">
        <v>149</v>
      </c>
      <c r="F213" s="11" t="s">
        <v>29</v>
      </c>
      <c r="G213" s="11" t="s">
        <v>93</v>
      </c>
      <c r="H213" s="12">
        <v>46150</v>
      </c>
      <c r="I213" s="12" t="str">
        <f t="shared" si="3"/>
        <v>May</v>
      </c>
      <c r="J213" s="24">
        <v>0.63888888888888884</v>
      </c>
      <c r="K213" s="19">
        <v>6</v>
      </c>
      <c r="L213" s="12">
        <v>46151</v>
      </c>
      <c r="M213" s="24">
        <v>1.3888888888888888E-2</v>
      </c>
      <c r="N213" s="11">
        <v>9</v>
      </c>
      <c r="O213" s="11" t="s">
        <v>34</v>
      </c>
      <c r="P213" s="11" t="s">
        <v>35</v>
      </c>
      <c r="Q213" s="11"/>
      <c r="R213" s="11" t="s">
        <v>36</v>
      </c>
      <c r="S213" s="19">
        <v>40</v>
      </c>
      <c r="T213" s="11" t="s">
        <v>37</v>
      </c>
      <c r="U213" s="11" t="s">
        <v>96</v>
      </c>
      <c r="V213" s="11">
        <v>2</v>
      </c>
      <c r="W213" s="11" t="s">
        <v>39</v>
      </c>
      <c r="X213" s="11" t="s">
        <v>3333</v>
      </c>
      <c r="Y213" s="11" t="s">
        <v>109</v>
      </c>
      <c r="Z213" s="11" t="s">
        <v>71</v>
      </c>
      <c r="AA213" s="11" t="s">
        <v>3234</v>
      </c>
    </row>
    <row r="214" spans="1:27">
      <c r="A214" s="11" t="s">
        <v>1003</v>
      </c>
      <c r="B214" s="11" t="s">
        <v>1004</v>
      </c>
      <c r="C214" s="11" t="s">
        <v>27</v>
      </c>
      <c r="D214" s="19">
        <v>11</v>
      </c>
      <c r="E214" s="11" t="s">
        <v>173</v>
      </c>
      <c r="F214" s="11" t="s">
        <v>29</v>
      </c>
      <c r="G214" s="11" t="s">
        <v>168</v>
      </c>
      <c r="H214" s="12">
        <v>46194</v>
      </c>
      <c r="I214" s="12" t="str">
        <f t="shared" si="3"/>
        <v>June</v>
      </c>
      <c r="J214" s="24">
        <v>0.58472222222222225</v>
      </c>
      <c r="K214" s="19">
        <v>4</v>
      </c>
      <c r="L214" s="12">
        <v>46195</v>
      </c>
      <c r="M214" s="24">
        <v>1.3888888888888889E-3</v>
      </c>
      <c r="N214" s="11">
        <v>10</v>
      </c>
      <c r="O214" s="11" t="s">
        <v>34</v>
      </c>
      <c r="P214" s="11" t="s">
        <v>35</v>
      </c>
      <c r="Q214" s="11"/>
      <c r="R214" s="11" t="s">
        <v>36</v>
      </c>
      <c r="S214" s="19">
        <v>25</v>
      </c>
      <c r="T214" s="11" t="s">
        <v>49</v>
      </c>
      <c r="U214" s="11" t="s">
        <v>96</v>
      </c>
      <c r="V214" s="11">
        <v>3</v>
      </c>
      <c r="W214" s="11" t="s">
        <v>39</v>
      </c>
      <c r="X214" s="11" t="s">
        <v>3325</v>
      </c>
      <c r="Y214" s="11" t="s">
        <v>41</v>
      </c>
      <c r="Z214" s="11" t="s">
        <v>71</v>
      </c>
      <c r="AA214" s="11" t="s">
        <v>3234</v>
      </c>
    </row>
    <row r="215" spans="1:27">
      <c r="A215" s="11" t="s">
        <v>1006</v>
      </c>
      <c r="B215" s="11" t="s">
        <v>1007</v>
      </c>
      <c r="C215" s="11" t="s">
        <v>56</v>
      </c>
      <c r="D215" s="19">
        <v>37</v>
      </c>
      <c r="E215" s="11" t="s">
        <v>81</v>
      </c>
      <c r="F215" s="11" t="s">
        <v>82</v>
      </c>
      <c r="G215" s="11" t="s">
        <v>58</v>
      </c>
      <c r="H215" s="12">
        <v>46050</v>
      </c>
      <c r="I215" s="12" t="str">
        <f t="shared" si="3"/>
        <v>January</v>
      </c>
      <c r="J215" s="24">
        <v>0.68402777777777779</v>
      </c>
      <c r="K215" s="19">
        <v>8</v>
      </c>
      <c r="L215" s="12">
        <v>46051</v>
      </c>
      <c r="M215" s="24">
        <v>0.30902777777777779</v>
      </c>
      <c r="N215" s="11">
        <v>15</v>
      </c>
      <c r="O215" s="11" t="s">
        <v>34</v>
      </c>
      <c r="P215" s="11" t="s">
        <v>35</v>
      </c>
      <c r="Q215" s="11"/>
      <c r="R215" s="11" t="s">
        <v>36</v>
      </c>
      <c r="S215" s="19">
        <v>20</v>
      </c>
      <c r="T215" s="11" t="s">
        <v>49</v>
      </c>
      <c r="U215" s="11" t="s">
        <v>38</v>
      </c>
      <c r="V215" s="11">
        <v>3</v>
      </c>
      <c r="W215" s="11" t="s">
        <v>70</v>
      </c>
      <c r="X215" s="11" t="s">
        <v>3334</v>
      </c>
      <c r="Y215" s="11" t="s">
        <v>41</v>
      </c>
      <c r="Z215" s="11" t="s">
        <v>53</v>
      </c>
      <c r="AA215" s="11" t="s">
        <v>3234</v>
      </c>
    </row>
    <row r="216" spans="1:27">
      <c r="A216" s="11" t="s">
        <v>1009</v>
      </c>
      <c r="B216" s="11" t="s">
        <v>1010</v>
      </c>
      <c r="C216" s="11" t="s">
        <v>27</v>
      </c>
      <c r="D216" s="19">
        <v>67</v>
      </c>
      <c r="E216" s="11" t="s">
        <v>81</v>
      </c>
      <c r="F216" s="11" t="s">
        <v>82</v>
      </c>
      <c r="G216" s="11" t="s">
        <v>58</v>
      </c>
      <c r="H216" s="12">
        <v>46111</v>
      </c>
      <c r="I216" s="12" t="str">
        <f t="shared" si="3"/>
        <v>March</v>
      </c>
      <c r="J216" s="24">
        <v>0.51041666666666663</v>
      </c>
      <c r="K216" s="19">
        <v>8</v>
      </c>
      <c r="L216" s="12">
        <v>46112</v>
      </c>
      <c r="M216" s="24">
        <v>0.13541666666666666</v>
      </c>
      <c r="N216" s="11">
        <v>15</v>
      </c>
      <c r="O216" s="11" t="s">
        <v>34</v>
      </c>
      <c r="P216" s="11" t="s">
        <v>35</v>
      </c>
      <c r="Q216" s="11"/>
      <c r="R216" s="11" t="s">
        <v>36</v>
      </c>
      <c r="S216" s="19">
        <v>20</v>
      </c>
      <c r="T216" s="11" t="s">
        <v>49</v>
      </c>
      <c r="U216" s="11" t="s">
        <v>164</v>
      </c>
      <c r="V216" s="11">
        <v>4</v>
      </c>
      <c r="W216" s="11" t="s">
        <v>70</v>
      </c>
      <c r="X216" s="11" t="s">
        <v>3333</v>
      </c>
      <c r="Y216" s="11" t="s">
        <v>52</v>
      </c>
      <c r="Z216" s="11" t="s">
        <v>53</v>
      </c>
      <c r="AA216" s="11" t="s">
        <v>3234</v>
      </c>
    </row>
    <row r="217" spans="1:27">
      <c r="A217" s="11" t="s">
        <v>1013</v>
      </c>
      <c r="B217" s="11" t="s">
        <v>1014</v>
      </c>
      <c r="C217" s="11" t="s">
        <v>56</v>
      </c>
      <c r="D217" s="19">
        <v>63</v>
      </c>
      <c r="E217" s="11" t="s">
        <v>173</v>
      </c>
      <c r="F217" s="11" t="s">
        <v>29</v>
      </c>
      <c r="G217" s="11" t="s">
        <v>58</v>
      </c>
      <c r="H217" s="12">
        <v>46108</v>
      </c>
      <c r="I217" s="12" t="str">
        <f t="shared" si="3"/>
        <v>March</v>
      </c>
      <c r="J217" s="24">
        <v>0.56319444444444444</v>
      </c>
      <c r="K217" s="19">
        <v>4</v>
      </c>
      <c r="L217" s="12">
        <v>46108</v>
      </c>
      <c r="M217" s="24">
        <v>0.81319444444444444</v>
      </c>
      <c r="N217" s="11">
        <v>6</v>
      </c>
      <c r="O217" s="11" t="s">
        <v>34</v>
      </c>
      <c r="P217" s="11" t="s">
        <v>35</v>
      </c>
      <c r="Q217" s="11"/>
      <c r="R217" s="11" t="s">
        <v>36</v>
      </c>
      <c r="S217" s="19">
        <v>25</v>
      </c>
      <c r="T217" s="11" t="s">
        <v>37</v>
      </c>
      <c r="U217" s="11" t="s">
        <v>38</v>
      </c>
      <c r="V217" s="11">
        <v>5</v>
      </c>
      <c r="W217" s="11" t="s">
        <v>70</v>
      </c>
      <c r="X217" s="11" t="s">
        <v>3334</v>
      </c>
      <c r="Y217" s="11" t="s">
        <v>52</v>
      </c>
      <c r="Z217" s="11" t="s">
        <v>53</v>
      </c>
      <c r="AA217" s="11" t="s">
        <v>3234</v>
      </c>
    </row>
    <row r="218" spans="1:27">
      <c r="A218" s="11" t="s">
        <v>1016</v>
      </c>
      <c r="B218" s="11" t="s">
        <v>1017</v>
      </c>
      <c r="C218" s="11" t="s">
        <v>27</v>
      </c>
      <c r="D218" s="19">
        <v>35</v>
      </c>
      <c r="E218" s="11" t="s">
        <v>173</v>
      </c>
      <c r="F218" s="11" t="s">
        <v>29</v>
      </c>
      <c r="G218" s="11" t="s">
        <v>93</v>
      </c>
      <c r="H218" s="12">
        <v>46067</v>
      </c>
      <c r="I218" s="12" t="str">
        <f t="shared" si="3"/>
        <v>February</v>
      </c>
      <c r="J218" s="24">
        <v>0.57708333333333328</v>
      </c>
      <c r="K218" s="19">
        <v>4</v>
      </c>
      <c r="L218" s="12">
        <v>46068</v>
      </c>
      <c r="M218" s="24">
        <v>3.5416666666666666E-2</v>
      </c>
      <c r="N218" s="11">
        <v>11</v>
      </c>
      <c r="O218" s="11" t="s">
        <v>34</v>
      </c>
      <c r="P218" s="11" t="s">
        <v>270</v>
      </c>
      <c r="Q218" s="11" t="s">
        <v>620</v>
      </c>
      <c r="R218" s="11" t="s">
        <v>36</v>
      </c>
      <c r="S218" s="19">
        <v>25</v>
      </c>
      <c r="T218" s="11" t="s">
        <v>49</v>
      </c>
      <c r="U218" s="11" t="s">
        <v>164</v>
      </c>
      <c r="V218" s="11">
        <v>1</v>
      </c>
      <c r="W218" s="11" t="s">
        <v>39</v>
      </c>
      <c r="X218" s="11" t="s">
        <v>3325</v>
      </c>
      <c r="Y218" s="11" t="s">
        <v>109</v>
      </c>
      <c r="Z218" s="11" t="s">
        <v>71</v>
      </c>
      <c r="AA218" s="11" t="s">
        <v>3254</v>
      </c>
    </row>
    <row r="219" spans="1:27">
      <c r="A219" s="11" t="s">
        <v>1021</v>
      </c>
      <c r="B219" s="11" t="s">
        <v>1022</v>
      </c>
      <c r="C219" s="11" t="s">
        <v>27</v>
      </c>
      <c r="D219" s="19">
        <v>71</v>
      </c>
      <c r="E219" s="11" t="s">
        <v>28</v>
      </c>
      <c r="F219" s="11" t="s">
        <v>29</v>
      </c>
      <c r="G219" s="11" t="s">
        <v>58</v>
      </c>
      <c r="H219" s="12">
        <v>46121</v>
      </c>
      <c r="I219" s="12" t="str">
        <f t="shared" si="3"/>
        <v>April</v>
      </c>
      <c r="J219" s="24">
        <v>0.40347222222222223</v>
      </c>
      <c r="K219" s="19">
        <v>5</v>
      </c>
      <c r="L219" s="12">
        <v>46121</v>
      </c>
      <c r="M219" s="24">
        <v>0.82013888888888886</v>
      </c>
      <c r="N219" s="11">
        <v>10</v>
      </c>
      <c r="O219" s="11" t="s">
        <v>34</v>
      </c>
      <c r="P219" s="11" t="s">
        <v>35</v>
      </c>
      <c r="Q219" s="11"/>
      <c r="R219" s="11" t="s">
        <v>36</v>
      </c>
      <c r="S219" s="19">
        <v>35</v>
      </c>
      <c r="T219" s="11" t="s">
        <v>37</v>
      </c>
      <c r="U219" s="11" t="s">
        <v>164</v>
      </c>
      <c r="V219" s="11">
        <v>2</v>
      </c>
      <c r="W219" s="11" t="s">
        <v>39</v>
      </c>
      <c r="X219" s="11" t="s">
        <v>3334</v>
      </c>
      <c r="Y219" s="11" t="s">
        <v>109</v>
      </c>
      <c r="Z219" s="11" t="s">
        <v>71</v>
      </c>
      <c r="AA219" s="11" t="s">
        <v>3234</v>
      </c>
    </row>
    <row r="220" spans="1:27">
      <c r="A220" s="11" t="s">
        <v>1025</v>
      </c>
      <c r="B220" s="11" t="s">
        <v>1026</v>
      </c>
      <c r="C220" s="11" t="s">
        <v>56</v>
      </c>
      <c r="D220" s="19">
        <v>67</v>
      </c>
      <c r="E220" s="11" t="s">
        <v>149</v>
      </c>
      <c r="F220" s="11" t="s">
        <v>29</v>
      </c>
      <c r="G220" s="11" t="s">
        <v>83</v>
      </c>
      <c r="H220" s="12">
        <v>46136</v>
      </c>
      <c r="I220" s="12" t="str">
        <f t="shared" si="3"/>
        <v>April</v>
      </c>
      <c r="J220" s="24">
        <v>0.58333333333333337</v>
      </c>
      <c r="K220" s="19">
        <v>6</v>
      </c>
      <c r="L220" s="12">
        <v>46136</v>
      </c>
      <c r="M220" s="24">
        <v>0.95833333333333337</v>
      </c>
      <c r="N220" s="11">
        <v>9</v>
      </c>
      <c r="O220" s="11" t="s">
        <v>34</v>
      </c>
      <c r="P220" s="11" t="s">
        <v>35</v>
      </c>
      <c r="Q220" s="11"/>
      <c r="R220" s="11" t="s">
        <v>36</v>
      </c>
      <c r="S220" s="19">
        <v>40</v>
      </c>
      <c r="T220" s="11" t="s">
        <v>37</v>
      </c>
      <c r="U220" s="11" t="s">
        <v>38</v>
      </c>
      <c r="V220" s="11">
        <v>3</v>
      </c>
      <c r="W220" s="11" t="s">
        <v>70</v>
      </c>
      <c r="X220" s="11" t="s">
        <v>3333</v>
      </c>
      <c r="Y220" s="11" t="s">
        <v>52</v>
      </c>
      <c r="Z220" s="11" t="s">
        <v>42</v>
      </c>
      <c r="AA220" s="11" t="s">
        <v>3234</v>
      </c>
    </row>
    <row r="221" spans="1:27">
      <c r="A221" s="11" t="s">
        <v>1029</v>
      </c>
      <c r="B221" s="11" t="s">
        <v>1030</v>
      </c>
      <c r="C221" s="11" t="s">
        <v>56</v>
      </c>
      <c r="D221" s="19">
        <v>76</v>
      </c>
      <c r="E221" s="11" t="s">
        <v>149</v>
      </c>
      <c r="F221" s="11" t="s">
        <v>29</v>
      </c>
      <c r="G221" s="11" t="s">
        <v>93</v>
      </c>
      <c r="H221" s="12">
        <v>46096</v>
      </c>
      <c r="I221" s="12" t="str">
        <f t="shared" si="3"/>
        <v>March</v>
      </c>
      <c r="J221" s="24">
        <v>0.50069444444444444</v>
      </c>
      <c r="K221" s="19">
        <v>6</v>
      </c>
      <c r="L221" s="12">
        <v>46096</v>
      </c>
      <c r="M221" s="24">
        <v>0.83402777777777781</v>
      </c>
      <c r="N221" s="11">
        <v>8</v>
      </c>
      <c r="O221" s="11" t="s">
        <v>34</v>
      </c>
      <c r="P221" s="11" t="s">
        <v>35</v>
      </c>
      <c r="Q221" s="11"/>
      <c r="R221" s="11" t="s">
        <v>36</v>
      </c>
      <c r="S221" s="19">
        <v>40</v>
      </c>
      <c r="T221" s="11" t="s">
        <v>49</v>
      </c>
      <c r="U221" s="11" t="s">
        <v>38</v>
      </c>
      <c r="V221" s="11">
        <v>1</v>
      </c>
      <c r="W221" s="11" t="s">
        <v>62</v>
      </c>
      <c r="X221" s="11" t="s">
        <v>3325</v>
      </c>
      <c r="Y221" s="11" t="s">
        <v>109</v>
      </c>
      <c r="Z221" s="11" t="s">
        <v>53</v>
      </c>
      <c r="AA221" s="11" t="s">
        <v>3234</v>
      </c>
    </row>
    <row r="222" spans="1:27">
      <c r="A222" s="11" t="s">
        <v>1032</v>
      </c>
      <c r="B222" s="11" t="s">
        <v>1033</v>
      </c>
      <c r="C222" s="11" t="s">
        <v>27</v>
      </c>
      <c r="D222" s="19">
        <v>49</v>
      </c>
      <c r="E222" s="11" t="s">
        <v>57</v>
      </c>
      <c r="F222" s="11" t="s">
        <v>29</v>
      </c>
      <c r="G222" s="11" t="s">
        <v>168</v>
      </c>
      <c r="H222" s="12">
        <v>46072</v>
      </c>
      <c r="I222" s="12" t="str">
        <f t="shared" si="3"/>
        <v>February</v>
      </c>
      <c r="J222" s="24">
        <v>0.51458333333333328</v>
      </c>
      <c r="K222" s="19">
        <v>3</v>
      </c>
      <c r="L222" s="12">
        <v>46072</v>
      </c>
      <c r="M222" s="24">
        <v>0.63958333333333328</v>
      </c>
      <c r="N222" s="11">
        <v>3</v>
      </c>
      <c r="O222" s="11" t="s">
        <v>68</v>
      </c>
      <c r="P222" s="11" t="s">
        <v>35</v>
      </c>
      <c r="Q222" s="11"/>
      <c r="R222" s="11" t="s">
        <v>36</v>
      </c>
      <c r="S222" s="19">
        <v>15</v>
      </c>
      <c r="T222" s="11" t="s">
        <v>49</v>
      </c>
      <c r="U222" s="11" t="s">
        <v>38</v>
      </c>
      <c r="V222" s="11">
        <v>4</v>
      </c>
      <c r="W222" s="11" t="s">
        <v>70</v>
      </c>
      <c r="X222" s="11" t="s">
        <v>51</v>
      </c>
      <c r="Y222" s="11" t="s">
        <v>52</v>
      </c>
      <c r="Z222" s="11" t="s">
        <v>42</v>
      </c>
      <c r="AA222" s="11" t="s">
        <v>3234</v>
      </c>
    </row>
    <row r="223" spans="1:27">
      <c r="A223" s="11" t="s">
        <v>1034</v>
      </c>
      <c r="B223" s="11" t="s">
        <v>1035</v>
      </c>
      <c r="C223" s="11" t="s">
        <v>27</v>
      </c>
      <c r="D223" s="19">
        <v>70</v>
      </c>
      <c r="E223" s="11" t="s">
        <v>149</v>
      </c>
      <c r="F223" s="11" t="s">
        <v>29</v>
      </c>
      <c r="G223" s="11" t="s">
        <v>93</v>
      </c>
      <c r="H223" s="12">
        <v>46109</v>
      </c>
      <c r="I223" s="12" t="str">
        <f t="shared" si="3"/>
        <v>March</v>
      </c>
      <c r="J223" s="24">
        <v>0.32222222222222224</v>
      </c>
      <c r="K223" s="19">
        <v>6</v>
      </c>
      <c r="L223" s="12">
        <v>46109</v>
      </c>
      <c r="M223" s="24">
        <v>0.53055555555555556</v>
      </c>
      <c r="N223" s="11">
        <v>5</v>
      </c>
      <c r="O223" s="11" t="s">
        <v>68</v>
      </c>
      <c r="P223" s="11" t="s">
        <v>35</v>
      </c>
      <c r="Q223" s="11"/>
      <c r="R223" s="11" t="s">
        <v>36</v>
      </c>
      <c r="S223" s="19">
        <v>40</v>
      </c>
      <c r="T223" s="11" t="s">
        <v>49</v>
      </c>
      <c r="U223" s="11" t="s">
        <v>164</v>
      </c>
      <c r="V223" s="11">
        <v>3</v>
      </c>
      <c r="W223" s="11" t="s">
        <v>89</v>
      </c>
      <c r="X223" s="11" t="s">
        <v>51</v>
      </c>
      <c r="Y223" s="11" t="s">
        <v>41</v>
      </c>
      <c r="Z223" s="11" t="s">
        <v>53</v>
      </c>
      <c r="AA223" s="11" t="s">
        <v>3234</v>
      </c>
    </row>
    <row r="224" spans="1:27">
      <c r="A224" s="11" t="s">
        <v>1038</v>
      </c>
      <c r="B224" s="11" t="s">
        <v>1039</v>
      </c>
      <c r="C224" s="11" t="s">
        <v>27</v>
      </c>
      <c r="D224" s="19">
        <v>77</v>
      </c>
      <c r="E224" s="11" t="s">
        <v>149</v>
      </c>
      <c r="F224" s="11" t="s">
        <v>29</v>
      </c>
      <c r="G224" s="11" t="s">
        <v>30</v>
      </c>
      <c r="H224" s="12">
        <v>46128</v>
      </c>
      <c r="I224" s="12" t="str">
        <f t="shared" si="3"/>
        <v>April</v>
      </c>
      <c r="J224" s="24">
        <v>0.40208333333333335</v>
      </c>
      <c r="K224" s="19">
        <v>6</v>
      </c>
      <c r="L224" s="12">
        <v>46128</v>
      </c>
      <c r="M224" s="24">
        <v>0.65208333333333335</v>
      </c>
      <c r="N224" s="11">
        <v>6</v>
      </c>
      <c r="O224" s="11" t="s">
        <v>68</v>
      </c>
      <c r="P224" s="11" t="s">
        <v>35</v>
      </c>
      <c r="Q224" s="11"/>
      <c r="R224" s="11" t="s">
        <v>36</v>
      </c>
      <c r="S224" s="19">
        <v>40</v>
      </c>
      <c r="T224" s="11" t="s">
        <v>49</v>
      </c>
      <c r="U224" s="11" t="s">
        <v>38</v>
      </c>
      <c r="V224" s="11">
        <v>3</v>
      </c>
      <c r="W224" s="11" t="s">
        <v>89</v>
      </c>
      <c r="X224" s="11" t="s">
        <v>3333</v>
      </c>
      <c r="Y224" s="11" t="s">
        <v>52</v>
      </c>
      <c r="Z224" s="11" t="s">
        <v>42</v>
      </c>
      <c r="AA224" s="11" t="str">
        <f>IF(A224=" ", "Missing Value", " ")</f>
        <v xml:space="preserve"> </v>
      </c>
    </row>
    <row r="225" spans="1:27">
      <c r="A225" s="11" t="s">
        <v>1041</v>
      </c>
      <c r="B225" s="11" t="s">
        <v>1042</v>
      </c>
      <c r="C225" s="11" t="s">
        <v>56</v>
      </c>
      <c r="D225" s="19">
        <v>69</v>
      </c>
      <c r="E225" s="11" t="s">
        <v>92</v>
      </c>
      <c r="F225" s="11" t="s">
        <v>29</v>
      </c>
      <c r="G225" s="11" t="s">
        <v>168</v>
      </c>
      <c r="H225" s="12">
        <v>46121</v>
      </c>
      <c r="I225" s="12" t="str">
        <f t="shared" si="3"/>
        <v>April</v>
      </c>
      <c r="J225" s="24">
        <v>0.67847222222222225</v>
      </c>
      <c r="K225" s="19">
        <v>24</v>
      </c>
      <c r="L225" s="12">
        <v>46122</v>
      </c>
      <c r="M225" s="24">
        <v>0.80347222222222225</v>
      </c>
      <c r="N225" s="11">
        <v>27</v>
      </c>
      <c r="O225" s="11" t="s">
        <v>34</v>
      </c>
      <c r="P225" s="11" t="s">
        <v>35</v>
      </c>
      <c r="Q225" s="11"/>
      <c r="R225" s="11" t="s">
        <v>36</v>
      </c>
      <c r="S225" s="19">
        <v>50</v>
      </c>
      <c r="T225" s="11" t="s">
        <v>49</v>
      </c>
      <c r="U225" s="11" t="s">
        <v>38</v>
      </c>
      <c r="V225" s="11">
        <v>2</v>
      </c>
      <c r="W225" s="11" t="s">
        <v>89</v>
      </c>
      <c r="X225" s="11" t="s">
        <v>3333</v>
      </c>
      <c r="Y225" s="11" t="s">
        <v>109</v>
      </c>
      <c r="Z225" s="11" t="s">
        <v>42</v>
      </c>
      <c r="AA225" s="11" t="s">
        <v>3241</v>
      </c>
    </row>
    <row r="226" spans="1:27">
      <c r="A226" s="11" t="s">
        <v>1045</v>
      </c>
      <c r="B226" s="11" t="s">
        <v>1046</v>
      </c>
      <c r="C226" s="11" t="s">
        <v>27</v>
      </c>
      <c r="D226" s="19">
        <v>56</v>
      </c>
      <c r="E226" s="11" t="s">
        <v>92</v>
      </c>
      <c r="F226" s="11" t="s">
        <v>29</v>
      </c>
      <c r="G226" s="11" t="s">
        <v>93</v>
      </c>
      <c r="H226" s="12">
        <v>46153</v>
      </c>
      <c r="I226" s="12" t="str">
        <f t="shared" si="3"/>
        <v>May</v>
      </c>
      <c r="J226" s="24">
        <v>0.4777777777777778</v>
      </c>
      <c r="K226" s="19">
        <v>24</v>
      </c>
      <c r="L226" s="12">
        <v>46154</v>
      </c>
      <c r="M226" s="24">
        <v>0.60277777777777775</v>
      </c>
      <c r="N226" s="11">
        <v>27</v>
      </c>
      <c r="O226" s="11" t="s">
        <v>34</v>
      </c>
      <c r="P226" s="11" t="s">
        <v>35</v>
      </c>
      <c r="Q226" s="11"/>
      <c r="R226" s="11" t="s">
        <v>36</v>
      </c>
      <c r="S226" s="19">
        <v>50</v>
      </c>
      <c r="T226" s="11" t="s">
        <v>49</v>
      </c>
      <c r="U226" s="11" t="s">
        <v>96</v>
      </c>
      <c r="V226" s="11">
        <v>5</v>
      </c>
      <c r="W226" s="11" t="s">
        <v>62</v>
      </c>
      <c r="X226" s="11" t="s">
        <v>3325</v>
      </c>
      <c r="Y226" s="11" t="s">
        <v>52</v>
      </c>
      <c r="Z226" s="11" t="s">
        <v>53</v>
      </c>
      <c r="AA226" s="11" t="str">
        <f>IF(A226=" ", "Missing Value", " ")</f>
        <v xml:space="preserve"> </v>
      </c>
    </row>
    <row r="227" spans="1:27">
      <c r="A227" s="11" t="s">
        <v>1048</v>
      </c>
      <c r="B227" s="11" t="s">
        <v>1049</v>
      </c>
      <c r="C227" s="11" t="s">
        <v>56</v>
      </c>
      <c r="D227" s="19">
        <v>82</v>
      </c>
      <c r="E227" s="11" t="s">
        <v>173</v>
      </c>
      <c r="F227" s="11" t="s">
        <v>29</v>
      </c>
      <c r="G227" s="11" t="s">
        <v>83</v>
      </c>
      <c r="H227" s="12">
        <v>46132</v>
      </c>
      <c r="I227" s="12" t="str">
        <f t="shared" si="3"/>
        <v>April</v>
      </c>
      <c r="J227" s="24">
        <v>0.56319444444444444</v>
      </c>
      <c r="K227" s="19">
        <v>4</v>
      </c>
      <c r="L227" s="12">
        <v>46132</v>
      </c>
      <c r="M227" s="24">
        <v>0.77152777777777781</v>
      </c>
      <c r="N227" s="11">
        <v>5</v>
      </c>
      <c r="O227" s="11" t="s">
        <v>34</v>
      </c>
      <c r="P227" s="11" t="s">
        <v>35</v>
      </c>
      <c r="Q227" s="11"/>
      <c r="R227" s="11" t="s">
        <v>36</v>
      </c>
      <c r="S227" s="19">
        <v>25</v>
      </c>
      <c r="T227" s="11" t="s">
        <v>49</v>
      </c>
      <c r="U227" s="11" t="s">
        <v>96</v>
      </c>
      <c r="V227" s="11">
        <v>5</v>
      </c>
      <c r="W227" s="11" t="s">
        <v>89</v>
      </c>
      <c r="X227" s="11" t="s">
        <v>3334</v>
      </c>
      <c r="Y227" s="11" t="s">
        <v>41</v>
      </c>
      <c r="Z227" s="11" t="s">
        <v>71</v>
      </c>
      <c r="AA227" s="11" t="s">
        <v>3234</v>
      </c>
    </row>
    <row r="228" spans="1:27">
      <c r="A228" s="11" t="s">
        <v>1051</v>
      </c>
      <c r="B228" s="11" t="s">
        <v>1052</v>
      </c>
      <c r="C228" s="11" t="s">
        <v>27</v>
      </c>
      <c r="D228" s="19">
        <v>18</v>
      </c>
      <c r="E228" s="11" t="s">
        <v>81</v>
      </c>
      <c r="F228" s="11" t="s">
        <v>82</v>
      </c>
      <c r="G228" s="11" t="s">
        <v>83</v>
      </c>
      <c r="H228" s="12">
        <v>46043</v>
      </c>
      <c r="I228" s="12" t="str">
        <f t="shared" si="3"/>
        <v>January</v>
      </c>
      <c r="J228" s="24">
        <v>0.35833333333333334</v>
      </c>
      <c r="K228" s="19">
        <v>8</v>
      </c>
      <c r="L228" s="12">
        <v>46043</v>
      </c>
      <c r="M228" s="24">
        <v>0.94166666666666665</v>
      </c>
      <c r="N228" s="11">
        <v>14</v>
      </c>
      <c r="O228" s="11" t="s">
        <v>34</v>
      </c>
      <c r="P228" s="11" t="s">
        <v>35</v>
      </c>
      <c r="Q228" s="11"/>
      <c r="R228" s="11" t="s">
        <v>36</v>
      </c>
      <c r="S228" s="19">
        <v>20</v>
      </c>
      <c r="T228" s="11" t="s">
        <v>49</v>
      </c>
      <c r="U228" s="11" t="s">
        <v>38</v>
      </c>
      <c r="V228" s="11">
        <v>3</v>
      </c>
      <c r="W228" s="11" t="s">
        <v>39</v>
      </c>
      <c r="X228" s="11" t="s">
        <v>3334</v>
      </c>
      <c r="Y228" s="11" t="s">
        <v>41</v>
      </c>
      <c r="Z228" s="11" t="s">
        <v>53</v>
      </c>
      <c r="AA228" s="11" t="str">
        <f>IF(A228=" ", "Missing Value", " ")</f>
        <v xml:space="preserve"> </v>
      </c>
    </row>
    <row r="229" spans="1:27">
      <c r="A229" s="11" t="s">
        <v>1054</v>
      </c>
      <c r="B229" s="11" t="s">
        <v>1055</v>
      </c>
      <c r="C229" s="11" t="s">
        <v>27</v>
      </c>
      <c r="D229" s="19">
        <v>60</v>
      </c>
      <c r="E229" s="11" t="s">
        <v>57</v>
      </c>
      <c r="F229" s="11" t="s">
        <v>29</v>
      </c>
      <c r="G229" s="11" t="s">
        <v>58</v>
      </c>
      <c r="H229" s="12">
        <v>46107</v>
      </c>
      <c r="I229" s="12" t="str">
        <f t="shared" si="3"/>
        <v>March</v>
      </c>
      <c r="J229" s="24">
        <v>0.6118055555555556</v>
      </c>
      <c r="K229" s="19">
        <v>3</v>
      </c>
      <c r="L229" s="12">
        <v>46107</v>
      </c>
      <c r="M229" s="24">
        <v>0.82013888888888886</v>
      </c>
      <c r="N229" s="11">
        <v>5</v>
      </c>
      <c r="O229" s="11" t="s">
        <v>34</v>
      </c>
      <c r="P229" s="11" t="s">
        <v>35</v>
      </c>
      <c r="Q229" s="11"/>
      <c r="R229" s="11" t="s">
        <v>36</v>
      </c>
      <c r="S229" s="19">
        <v>15</v>
      </c>
      <c r="T229" s="11" t="s">
        <v>49</v>
      </c>
      <c r="U229" s="11" t="s">
        <v>96</v>
      </c>
      <c r="V229" s="11">
        <v>4</v>
      </c>
      <c r="W229" s="11" t="s">
        <v>70</v>
      </c>
      <c r="X229" s="11" t="s">
        <v>3333</v>
      </c>
      <c r="Y229" s="11" t="s">
        <v>41</v>
      </c>
      <c r="Z229" s="11" t="s">
        <v>71</v>
      </c>
      <c r="AA229" s="11"/>
    </row>
    <row r="230" spans="1:27">
      <c r="A230" s="11" t="s">
        <v>1057</v>
      </c>
      <c r="B230" s="11" t="s">
        <v>1058</v>
      </c>
      <c r="C230" s="11" t="s">
        <v>56</v>
      </c>
      <c r="D230" s="19">
        <v>3</v>
      </c>
      <c r="E230" s="11" t="s">
        <v>173</v>
      </c>
      <c r="F230" s="11" t="s">
        <v>29</v>
      </c>
      <c r="G230" s="11" t="s">
        <v>168</v>
      </c>
      <c r="H230" s="12">
        <v>46196</v>
      </c>
      <c r="I230" s="12" t="str">
        <f t="shared" si="3"/>
        <v>June</v>
      </c>
      <c r="J230" s="24">
        <v>0.43333333333333335</v>
      </c>
      <c r="K230" s="19">
        <v>4</v>
      </c>
      <c r="L230" s="12">
        <v>46196</v>
      </c>
      <c r="M230" s="24">
        <v>0.89166666666666672</v>
      </c>
      <c r="N230" s="11">
        <v>11</v>
      </c>
      <c r="O230" s="11" t="s">
        <v>34</v>
      </c>
      <c r="P230" s="11" t="s">
        <v>35</v>
      </c>
      <c r="Q230" s="11"/>
      <c r="R230" s="11" t="s">
        <v>132</v>
      </c>
      <c r="S230" s="19">
        <v>25</v>
      </c>
      <c r="T230" s="11" t="s">
        <v>49</v>
      </c>
      <c r="U230" s="11" t="s">
        <v>96</v>
      </c>
      <c r="V230" s="11">
        <v>3</v>
      </c>
      <c r="W230" s="11" t="s">
        <v>70</v>
      </c>
      <c r="X230" s="11" t="s">
        <v>3325</v>
      </c>
      <c r="Y230" s="11" t="s">
        <v>52</v>
      </c>
      <c r="Z230" s="11" t="s">
        <v>42</v>
      </c>
      <c r="AA230" s="11" t="s">
        <v>3264</v>
      </c>
    </row>
    <row r="231" spans="1:27">
      <c r="A231" s="11" t="s">
        <v>1061</v>
      </c>
      <c r="B231" s="11" t="s">
        <v>1062</v>
      </c>
      <c r="C231" s="11" t="s">
        <v>27</v>
      </c>
      <c r="D231" s="19">
        <v>64</v>
      </c>
      <c r="E231" s="11" t="s">
        <v>92</v>
      </c>
      <c r="F231" s="11" t="s">
        <v>29</v>
      </c>
      <c r="G231" s="11" t="s">
        <v>93</v>
      </c>
      <c r="H231" s="12">
        <v>46051</v>
      </c>
      <c r="I231" s="12" t="str">
        <f t="shared" si="3"/>
        <v>January</v>
      </c>
      <c r="J231" s="24">
        <v>0.30902777777777779</v>
      </c>
      <c r="K231" s="19">
        <v>24</v>
      </c>
      <c r="L231" s="12">
        <v>46052</v>
      </c>
      <c r="M231" s="24">
        <v>0.3923611111111111</v>
      </c>
      <c r="N231" s="11">
        <v>26</v>
      </c>
      <c r="O231" s="11" t="s">
        <v>34</v>
      </c>
      <c r="P231" s="11" t="s">
        <v>35</v>
      </c>
      <c r="Q231" s="11"/>
      <c r="R231" s="11" t="s">
        <v>36</v>
      </c>
      <c r="S231" s="19">
        <v>50</v>
      </c>
      <c r="T231" s="11" t="s">
        <v>49</v>
      </c>
      <c r="U231" s="11" t="s">
        <v>96</v>
      </c>
      <c r="V231" s="11">
        <v>3</v>
      </c>
      <c r="W231" s="11" t="s">
        <v>62</v>
      </c>
      <c r="X231" s="11" t="s">
        <v>3334</v>
      </c>
      <c r="Y231" s="11" t="s">
        <v>41</v>
      </c>
      <c r="Z231" s="11" t="s">
        <v>53</v>
      </c>
      <c r="AA231" s="11" t="str">
        <f>IF(A231=" ", "Missing Value", " ")</f>
        <v xml:space="preserve"> </v>
      </c>
    </row>
    <row r="232" spans="1:27">
      <c r="A232" s="11" t="s">
        <v>1064</v>
      </c>
      <c r="B232" s="11" t="s">
        <v>1065</v>
      </c>
      <c r="C232" s="11" t="s">
        <v>56</v>
      </c>
      <c r="D232" s="19">
        <v>27</v>
      </c>
      <c r="E232" s="11" t="s">
        <v>28</v>
      </c>
      <c r="F232" s="11" t="s">
        <v>29</v>
      </c>
      <c r="G232" s="11" t="s">
        <v>168</v>
      </c>
      <c r="H232" s="12">
        <v>46175</v>
      </c>
      <c r="I232" s="12" t="str">
        <f t="shared" si="3"/>
        <v>June</v>
      </c>
      <c r="J232" s="24">
        <v>0.61527777777777781</v>
      </c>
      <c r="K232" s="19">
        <v>5</v>
      </c>
      <c r="L232" s="12">
        <v>46175</v>
      </c>
      <c r="M232" s="24">
        <v>0.78194444444444444</v>
      </c>
      <c r="N232" s="11">
        <v>4</v>
      </c>
      <c r="O232" s="11" t="s">
        <v>68</v>
      </c>
      <c r="P232" s="11" t="s">
        <v>35</v>
      </c>
      <c r="Q232" s="11"/>
      <c r="R232" s="11" t="s">
        <v>132</v>
      </c>
      <c r="S232" s="19">
        <v>35</v>
      </c>
      <c r="T232" s="11" t="s">
        <v>37</v>
      </c>
      <c r="U232" s="11" t="s">
        <v>96</v>
      </c>
      <c r="V232" s="11">
        <v>1</v>
      </c>
      <c r="W232" s="11" t="s">
        <v>39</v>
      </c>
      <c r="X232" s="11" t="s">
        <v>51</v>
      </c>
      <c r="Y232" s="11" t="s">
        <v>109</v>
      </c>
      <c r="Z232" s="11" t="s">
        <v>53</v>
      </c>
      <c r="AA232" s="11" t="s">
        <v>3264</v>
      </c>
    </row>
    <row r="233" spans="1:27">
      <c r="A233" s="11" t="s">
        <v>1067</v>
      </c>
      <c r="B233" s="11" t="s">
        <v>1068</v>
      </c>
      <c r="C233" s="11" t="s">
        <v>56</v>
      </c>
      <c r="D233" s="19">
        <v>3</v>
      </c>
      <c r="E233" s="11" t="s">
        <v>149</v>
      </c>
      <c r="F233" s="11" t="s">
        <v>29</v>
      </c>
      <c r="G233" s="11" t="s">
        <v>83</v>
      </c>
      <c r="H233" s="12">
        <v>46066</v>
      </c>
      <c r="I233" s="12" t="str">
        <f t="shared" si="3"/>
        <v>February</v>
      </c>
      <c r="J233" s="24">
        <v>0.61111111111111116</v>
      </c>
      <c r="K233" s="19">
        <v>6</v>
      </c>
      <c r="L233" s="12">
        <v>46067</v>
      </c>
      <c r="M233" s="24">
        <v>0.15277777777777779</v>
      </c>
      <c r="N233" s="11">
        <v>13</v>
      </c>
      <c r="O233" s="11" t="s">
        <v>34</v>
      </c>
      <c r="P233" s="11" t="s">
        <v>35</v>
      </c>
      <c r="Q233" s="11"/>
      <c r="R233" s="11" t="s">
        <v>36</v>
      </c>
      <c r="S233" s="19">
        <v>40</v>
      </c>
      <c r="T233" s="11" t="s">
        <v>37</v>
      </c>
      <c r="U233" s="11" t="s">
        <v>38</v>
      </c>
      <c r="V233" s="11">
        <v>1</v>
      </c>
      <c r="W233" s="11" t="s">
        <v>62</v>
      </c>
      <c r="X233" s="11" t="s">
        <v>3334</v>
      </c>
      <c r="Y233" s="11" t="s">
        <v>109</v>
      </c>
      <c r="Z233" s="11" t="s">
        <v>42</v>
      </c>
      <c r="AA233" s="11" t="s">
        <v>3234</v>
      </c>
    </row>
    <row r="234" spans="1:27">
      <c r="A234" s="11" t="s">
        <v>1072</v>
      </c>
      <c r="B234" s="11" t="s">
        <v>1073</v>
      </c>
      <c r="C234" s="11" t="s">
        <v>27</v>
      </c>
      <c r="D234" s="19">
        <v>75</v>
      </c>
      <c r="E234" s="11" t="s">
        <v>57</v>
      </c>
      <c r="F234" s="11" t="s">
        <v>29</v>
      </c>
      <c r="G234" s="11" t="s">
        <v>58</v>
      </c>
      <c r="H234" s="12">
        <v>46044</v>
      </c>
      <c r="I234" s="12" t="str">
        <f t="shared" si="3"/>
        <v>January</v>
      </c>
      <c r="J234" s="24">
        <v>0.45069444444444445</v>
      </c>
      <c r="K234" s="19">
        <v>3</v>
      </c>
      <c r="L234" s="12">
        <v>46044</v>
      </c>
      <c r="M234" s="24">
        <v>0.53402777777777777</v>
      </c>
      <c r="N234" s="11">
        <v>2</v>
      </c>
      <c r="O234" s="11" t="s">
        <v>68</v>
      </c>
      <c r="P234" s="11" t="s">
        <v>35</v>
      </c>
      <c r="Q234" s="11"/>
      <c r="R234" s="11" t="s">
        <v>36</v>
      </c>
      <c r="S234" s="19">
        <v>15</v>
      </c>
      <c r="T234" s="11" t="s">
        <v>37</v>
      </c>
      <c r="U234" s="11" t="s">
        <v>164</v>
      </c>
      <c r="V234" s="11">
        <v>2</v>
      </c>
      <c r="W234" s="11" t="s">
        <v>39</v>
      </c>
      <c r="X234" s="11" t="s">
        <v>51</v>
      </c>
      <c r="Y234" s="11" t="s">
        <v>109</v>
      </c>
      <c r="Z234" s="11" t="s">
        <v>53</v>
      </c>
      <c r="AA234" s="11"/>
    </row>
    <row r="235" spans="1:27">
      <c r="A235" s="11" t="s">
        <v>1075</v>
      </c>
      <c r="B235" s="11" t="s">
        <v>1076</v>
      </c>
      <c r="C235" s="11" t="s">
        <v>27</v>
      </c>
      <c r="D235" s="19">
        <v>72</v>
      </c>
      <c r="E235" s="11" t="s">
        <v>92</v>
      </c>
      <c r="F235" s="11" t="s">
        <v>29</v>
      </c>
      <c r="G235" s="11" t="s">
        <v>93</v>
      </c>
      <c r="H235" s="12">
        <v>46045</v>
      </c>
      <c r="I235" s="12" t="str">
        <f t="shared" si="3"/>
        <v>January</v>
      </c>
      <c r="J235" s="24">
        <v>0.54652777777777772</v>
      </c>
      <c r="K235" s="19">
        <v>24</v>
      </c>
      <c r="L235" s="12">
        <v>46046</v>
      </c>
      <c r="M235" s="24">
        <v>0.75486111111111109</v>
      </c>
      <c r="N235" s="11">
        <v>29</v>
      </c>
      <c r="O235" s="11" t="s">
        <v>34</v>
      </c>
      <c r="P235" s="11" t="s">
        <v>35</v>
      </c>
      <c r="Q235" s="11"/>
      <c r="R235" s="11" t="s">
        <v>36</v>
      </c>
      <c r="S235" s="19">
        <v>50</v>
      </c>
      <c r="T235" s="11" t="s">
        <v>49</v>
      </c>
      <c r="U235" s="11" t="s">
        <v>38</v>
      </c>
      <c r="V235" s="11">
        <v>5</v>
      </c>
      <c r="W235" s="11" t="s">
        <v>89</v>
      </c>
      <c r="X235" s="11" t="s">
        <v>51</v>
      </c>
      <c r="Y235" s="11" t="s">
        <v>41</v>
      </c>
      <c r="Z235" s="11" t="s">
        <v>71</v>
      </c>
      <c r="AA235" s="11" t="str">
        <f>IF(A235=" ", "Missing Value", " ")</f>
        <v xml:space="preserve"> </v>
      </c>
    </row>
    <row r="236" spans="1:27">
      <c r="A236" s="11" t="s">
        <v>1078</v>
      </c>
      <c r="B236" s="11" t="s">
        <v>1079</v>
      </c>
      <c r="C236" s="11" t="s">
        <v>56</v>
      </c>
      <c r="D236" s="19">
        <v>72</v>
      </c>
      <c r="E236" s="11" t="s">
        <v>57</v>
      </c>
      <c r="F236" s="11" t="s">
        <v>29</v>
      </c>
      <c r="G236" s="11" t="s">
        <v>58</v>
      </c>
      <c r="H236" s="12">
        <v>46097</v>
      </c>
      <c r="I236" s="12" t="str">
        <f t="shared" si="3"/>
        <v>March</v>
      </c>
      <c r="J236" s="24">
        <v>0.38124999999999998</v>
      </c>
      <c r="K236" s="19">
        <v>3</v>
      </c>
      <c r="L236" s="12">
        <v>46097</v>
      </c>
      <c r="M236" s="24">
        <v>0.46458333333333335</v>
      </c>
      <c r="N236" s="11">
        <v>2</v>
      </c>
      <c r="O236" s="11" t="s">
        <v>68</v>
      </c>
      <c r="P236" s="11" t="s">
        <v>35</v>
      </c>
      <c r="Q236" s="11"/>
      <c r="R236" s="11" t="s">
        <v>132</v>
      </c>
      <c r="S236" s="19">
        <v>15</v>
      </c>
      <c r="T236" s="11" t="s">
        <v>37</v>
      </c>
      <c r="U236" s="11" t="s">
        <v>38</v>
      </c>
      <c r="V236" s="11">
        <v>3</v>
      </c>
      <c r="W236" s="11" t="s">
        <v>39</v>
      </c>
      <c r="X236" s="11" t="s">
        <v>3325</v>
      </c>
      <c r="Y236" s="11" t="s">
        <v>52</v>
      </c>
      <c r="Z236" s="11" t="s">
        <v>42</v>
      </c>
      <c r="AA236" s="11" t="s">
        <v>3262</v>
      </c>
    </row>
    <row r="237" spans="1:27">
      <c r="A237" s="11" t="s">
        <v>1081</v>
      </c>
      <c r="B237" s="11" t="s">
        <v>1082</v>
      </c>
      <c r="C237" s="11" t="s">
        <v>27</v>
      </c>
      <c r="D237" s="19">
        <v>28</v>
      </c>
      <c r="E237" s="11" t="s">
        <v>28</v>
      </c>
      <c r="F237" s="11" t="s">
        <v>29</v>
      </c>
      <c r="G237" s="11" t="s">
        <v>30</v>
      </c>
      <c r="H237" s="12">
        <v>46068</v>
      </c>
      <c r="I237" s="12" t="str">
        <f t="shared" si="3"/>
        <v>February</v>
      </c>
      <c r="J237" s="24">
        <v>0.55555555555555558</v>
      </c>
      <c r="K237" s="19">
        <v>5</v>
      </c>
      <c r="L237" s="12">
        <v>46068</v>
      </c>
      <c r="M237" s="24">
        <v>0.80555555555555558</v>
      </c>
      <c r="N237" s="11">
        <v>6</v>
      </c>
      <c r="O237" s="11" t="s">
        <v>34</v>
      </c>
      <c r="P237" s="11" t="s">
        <v>270</v>
      </c>
      <c r="Q237" s="11" t="s">
        <v>391</v>
      </c>
      <c r="R237" s="11" t="s">
        <v>36</v>
      </c>
      <c r="S237" s="19">
        <v>35</v>
      </c>
      <c r="T237" s="11" t="s">
        <v>49</v>
      </c>
      <c r="U237" s="11" t="s">
        <v>38</v>
      </c>
      <c r="V237" s="11">
        <v>2</v>
      </c>
      <c r="W237" s="11" t="s">
        <v>39</v>
      </c>
      <c r="X237" s="11" t="s">
        <v>3333</v>
      </c>
      <c r="Y237" s="11" t="s">
        <v>41</v>
      </c>
      <c r="Z237" s="11" t="s">
        <v>53</v>
      </c>
      <c r="AA237" s="11" t="s">
        <v>3251</v>
      </c>
    </row>
    <row r="238" spans="1:27">
      <c r="A238" s="11" t="s">
        <v>1085</v>
      </c>
      <c r="B238" s="11" t="s">
        <v>1086</v>
      </c>
      <c r="C238" s="11" t="s">
        <v>56</v>
      </c>
      <c r="D238" s="19">
        <v>68</v>
      </c>
      <c r="E238" s="11" t="s">
        <v>81</v>
      </c>
      <c r="F238" s="11" t="s">
        <v>82</v>
      </c>
      <c r="G238" s="11" t="s">
        <v>83</v>
      </c>
      <c r="H238" s="12">
        <v>46157</v>
      </c>
      <c r="I238" s="12" t="str">
        <f t="shared" si="3"/>
        <v>May</v>
      </c>
      <c r="J238" s="24">
        <v>0.31111111111111112</v>
      </c>
      <c r="K238" s="19">
        <v>8</v>
      </c>
      <c r="L238" s="12">
        <v>46157</v>
      </c>
      <c r="M238" s="24">
        <v>0.68611111111111112</v>
      </c>
      <c r="N238" s="11">
        <v>9</v>
      </c>
      <c r="O238" s="11" t="s">
        <v>34</v>
      </c>
      <c r="P238" s="11" t="s">
        <v>35</v>
      </c>
      <c r="Q238" s="11"/>
      <c r="R238" s="11" t="s">
        <v>132</v>
      </c>
      <c r="S238" s="19">
        <v>20</v>
      </c>
      <c r="T238" s="11" t="s">
        <v>37</v>
      </c>
      <c r="U238" s="11" t="s">
        <v>38</v>
      </c>
      <c r="V238" s="11">
        <v>3</v>
      </c>
      <c r="W238" s="11" t="s">
        <v>70</v>
      </c>
      <c r="X238" s="11" t="s">
        <v>3334</v>
      </c>
      <c r="Y238" s="11" t="s">
        <v>52</v>
      </c>
      <c r="Z238" s="11" t="s">
        <v>53</v>
      </c>
      <c r="AA238" s="11" t="s">
        <v>3262</v>
      </c>
    </row>
    <row r="239" spans="1:27">
      <c r="A239" s="11" t="s">
        <v>1090</v>
      </c>
      <c r="B239" s="11" t="s">
        <v>1091</v>
      </c>
      <c r="C239" s="11" t="s">
        <v>56</v>
      </c>
      <c r="D239" s="19">
        <v>14</v>
      </c>
      <c r="E239" s="11" t="s">
        <v>57</v>
      </c>
      <c r="F239" s="11" t="s">
        <v>29</v>
      </c>
      <c r="G239" s="11" t="s">
        <v>58</v>
      </c>
      <c r="H239" s="12">
        <v>46037</v>
      </c>
      <c r="I239" s="12" t="str">
        <f t="shared" si="3"/>
        <v>January</v>
      </c>
      <c r="J239" s="24">
        <v>0.3611111111111111</v>
      </c>
      <c r="K239" s="19">
        <v>3</v>
      </c>
      <c r="L239" s="12">
        <v>46037</v>
      </c>
      <c r="M239" s="24">
        <v>0.81944444444444442</v>
      </c>
      <c r="N239" s="11">
        <v>11</v>
      </c>
      <c r="O239" s="11" t="s">
        <v>34</v>
      </c>
      <c r="P239" s="11" t="s">
        <v>35</v>
      </c>
      <c r="Q239" s="11"/>
      <c r="R239" s="11" t="s">
        <v>36</v>
      </c>
      <c r="S239" s="19">
        <v>15</v>
      </c>
      <c r="T239" s="11" t="s">
        <v>49</v>
      </c>
      <c r="U239" s="11" t="s">
        <v>38</v>
      </c>
      <c r="V239" s="11">
        <v>2</v>
      </c>
      <c r="W239" s="11" t="s">
        <v>89</v>
      </c>
      <c r="X239" s="11" t="s">
        <v>3325</v>
      </c>
      <c r="Y239" s="11" t="s">
        <v>41</v>
      </c>
      <c r="Z239" s="11" t="s">
        <v>53</v>
      </c>
      <c r="AA239" s="11"/>
    </row>
    <row r="240" spans="1:27">
      <c r="A240" s="11" t="s">
        <v>1095</v>
      </c>
      <c r="B240" s="11" t="s">
        <v>1096</v>
      </c>
      <c r="C240" s="11" t="s">
        <v>27</v>
      </c>
      <c r="D240" s="19">
        <v>10</v>
      </c>
      <c r="E240" s="11" t="s">
        <v>149</v>
      </c>
      <c r="F240" s="11" t="s">
        <v>29</v>
      </c>
      <c r="G240" s="11" t="s">
        <v>30</v>
      </c>
      <c r="H240" s="12">
        <v>46038</v>
      </c>
      <c r="I240" s="12" t="str">
        <f t="shared" si="3"/>
        <v>January</v>
      </c>
      <c r="J240" s="24">
        <v>0.59166666666666667</v>
      </c>
      <c r="K240" s="19">
        <v>6</v>
      </c>
      <c r="L240" s="12">
        <v>46038</v>
      </c>
      <c r="M240" s="24">
        <v>0.92500000000000004</v>
      </c>
      <c r="N240" s="11">
        <v>8</v>
      </c>
      <c r="O240" s="11" t="s">
        <v>34</v>
      </c>
      <c r="P240" s="11" t="s">
        <v>35</v>
      </c>
      <c r="Q240" s="11"/>
      <c r="R240" s="11" t="s">
        <v>36</v>
      </c>
      <c r="S240" s="19">
        <v>40</v>
      </c>
      <c r="T240" s="11" t="s">
        <v>37</v>
      </c>
      <c r="U240" s="11" t="s">
        <v>96</v>
      </c>
      <c r="V240" s="11">
        <v>5</v>
      </c>
      <c r="W240" s="11" t="s">
        <v>62</v>
      </c>
      <c r="X240" s="11" t="s">
        <v>3334</v>
      </c>
      <c r="Y240" s="11" t="s">
        <v>109</v>
      </c>
      <c r="Z240" s="11" t="s">
        <v>42</v>
      </c>
      <c r="AA240" s="11" t="str">
        <f>IF(A240=" ", "Missing Value", " ")</f>
        <v xml:space="preserve"> </v>
      </c>
    </row>
    <row r="241" spans="1:27">
      <c r="A241" s="11" t="s">
        <v>1100</v>
      </c>
      <c r="B241" s="11" t="s">
        <v>1101</v>
      </c>
      <c r="C241" s="11" t="s">
        <v>56</v>
      </c>
      <c r="D241" s="19">
        <v>13</v>
      </c>
      <c r="E241" s="11" t="s">
        <v>92</v>
      </c>
      <c r="F241" s="11" t="s">
        <v>29</v>
      </c>
      <c r="G241" s="11" t="s">
        <v>93</v>
      </c>
      <c r="H241" s="12">
        <v>46159</v>
      </c>
      <c r="I241" s="12" t="str">
        <f t="shared" si="3"/>
        <v>May</v>
      </c>
      <c r="J241" s="24">
        <v>0.49305555555555558</v>
      </c>
      <c r="K241" s="19">
        <v>24</v>
      </c>
      <c r="L241" s="12">
        <v>46160</v>
      </c>
      <c r="M241" s="24">
        <v>0.70138888888888884</v>
      </c>
      <c r="N241" s="11">
        <v>29</v>
      </c>
      <c r="O241" s="11" t="s">
        <v>34</v>
      </c>
      <c r="P241" s="11" t="s">
        <v>35</v>
      </c>
      <c r="Q241" s="11"/>
      <c r="R241" s="11" t="s">
        <v>36</v>
      </c>
      <c r="S241" s="19">
        <v>50</v>
      </c>
      <c r="T241" s="11" t="s">
        <v>49</v>
      </c>
      <c r="U241" s="11" t="s">
        <v>164</v>
      </c>
      <c r="V241" s="11">
        <v>4</v>
      </c>
      <c r="W241" s="11" t="s">
        <v>62</v>
      </c>
      <c r="X241" s="11" t="s">
        <v>3325</v>
      </c>
      <c r="Y241" s="11" t="s">
        <v>109</v>
      </c>
      <c r="Z241" s="11" t="s">
        <v>42</v>
      </c>
      <c r="AA241" s="11" t="s">
        <v>3232</v>
      </c>
    </row>
    <row r="242" spans="1:27">
      <c r="A242" s="11" t="s">
        <v>1103</v>
      </c>
      <c r="B242" s="11" t="s">
        <v>1104</v>
      </c>
      <c r="C242" s="11" t="s">
        <v>56</v>
      </c>
      <c r="D242" s="19">
        <v>80</v>
      </c>
      <c r="E242" s="11" t="s">
        <v>149</v>
      </c>
      <c r="F242" s="11" t="s">
        <v>29</v>
      </c>
      <c r="G242" s="11" t="s">
        <v>30</v>
      </c>
      <c r="H242" s="12">
        <v>46110</v>
      </c>
      <c r="I242" s="12" t="str">
        <f t="shared" si="3"/>
        <v>March</v>
      </c>
      <c r="J242" s="24">
        <v>0.48125000000000001</v>
      </c>
      <c r="K242" s="19">
        <v>6</v>
      </c>
      <c r="L242" s="12">
        <v>46110</v>
      </c>
      <c r="M242" s="24">
        <v>0.98124999999999996</v>
      </c>
      <c r="N242" s="11">
        <v>12</v>
      </c>
      <c r="O242" s="11" t="s">
        <v>34</v>
      </c>
      <c r="P242" s="11" t="s">
        <v>35</v>
      </c>
      <c r="Q242" s="11"/>
      <c r="R242" s="11" t="s">
        <v>36</v>
      </c>
      <c r="S242" s="19">
        <v>40</v>
      </c>
      <c r="T242" s="11" t="s">
        <v>49</v>
      </c>
      <c r="U242" s="11" t="s">
        <v>38</v>
      </c>
      <c r="V242" s="11">
        <v>1</v>
      </c>
      <c r="W242" s="11" t="s">
        <v>39</v>
      </c>
      <c r="X242" s="11" t="s">
        <v>51</v>
      </c>
      <c r="Y242" s="11" t="s">
        <v>52</v>
      </c>
      <c r="Z242" s="11" t="s">
        <v>53</v>
      </c>
      <c r="AA242" s="11" t="str">
        <f>IF(A242=" ", "Missing Value", " ")</f>
        <v xml:space="preserve"> </v>
      </c>
    </row>
    <row r="243" spans="1:27">
      <c r="A243" s="11" t="s">
        <v>1107</v>
      </c>
      <c r="B243" s="11" t="s">
        <v>1108</v>
      </c>
      <c r="C243" s="11" t="s">
        <v>27</v>
      </c>
      <c r="D243" s="19">
        <v>84</v>
      </c>
      <c r="E243" s="11" t="s">
        <v>57</v>
      </c>
      <c r="F243" s="11" t="s">
        <v>29</v>
      </c>
      <c r="G243" s="11" t="s">
        <v>58</v>
      </c>
      <c r="H243" s="12">
        <v>46110</v>
      </c>
      <c r="I243" s="12" t="str">
        <f t="shared" si="3"/>
        <v>March</v>
      </c>
      <c r="J243" s="24">
        <v>0.40763888888888888</v>
      </c>
      <c r="K243" s="19">
        <v>3</v>
      </c>
      <c r="L243" s="12">
        <v>46110</v>
      </c>
      <c r="M243" s="24">
        <v>0.82430555555555551</v>
      </c>
      <c r="N243" s="11">
        <v>10</v>
      </c>
      <c r="O243" s="11" t="s">
        <v>34</v>
      </c>
      <c r="P243" s="11" t="s">
        <v>35</v>
      </c>
      <c r="Q243" s="11"/>
      <c r="R243" s="11" t="s">
        <v>36</v>
      </c>
      <c r="S243" s="19">
        <v>15</v>
      </c>
      <c r="T243" s="11" t="s">
        <v>37</v>
      </c>
      <c r="U243" s="11" t="s">
        <v>164</v>
      </c>
      <c r="V243" s="11">
        <v>4</v>
      </c>
      <c r="W243" s="11" t="s">
        <v>70</v>
      </c>
      <c r="X243" s="11" t="s">
        <v>3334</v>
      </c>
      <c r="Y243" s="11" t="s">
        <v>109</v>
      </c>
      <c r="Z243" s="11" t="s">
        <v>53</v>
      </c>
      <c r="AA243" s="11"/>
    </row>
    <row r="244" spans="1:27">
      <c r="A244" s="11" t="s">
        <v>1111</v>
      </c>
      <c r="B244" s="11" t="s">
        <v>1112</v>
      </c>
      <c r="C244" s="11" t="s">
        <v>56</v>
      </c>
      <c r="D244" s="19">
        <v>79</v>
      </c>
      <c r="E244" s="11" t="s">
        <v>81</v>
      </c>
      <c r="F244" s="11" t="s">
        <v>82</v>
      </c>
      <c r="G244" s="11" t="s">
        <v>83</v>
      </c>
      <c r="H244" s="12">
        <v>46144</v>
      </c>
      <c r="I244" s="12" t="str">
        <f t="shared" si="3"/>
        <v>May</v>
      </c>
      <c r="J244" s="24">
        <v>0.60972222222222228</v>
      </c>
      <c r="K244" s="19">
        <v>8</v>
      </c>
      <c r="L244" s="12">
        <v>46145</v>
      </c>
      <c r="M244" s="24">
        <v>0.23472222222222222</v>
      </c>
      <c r="N244" s="11">
        <v>15</v>
      </c>
      <c r="O244" s="11" t="s">
        <v>34</v>
      </c>
      <c r="P244" s="11" t="s">
        <v>270</v>
      </c>
      <c r="Q244" s="11" t="s">
        <v>677</v>
      </c>
      <c r="R244" s="11" t="s">
        <v>36</v>
      </c>
      <c r="S244" s="19">
        <v>20</v>
      </c>
      <c r="T244" s="11" t="s">
        <v>37</v>
      </c>
      <c r="U244" s="11" t="s">
        <v>164</v>
      </c>
      <c r="V244" s="11">
        <v>3</v>
      </c>
      <c r="W244" s="11" t="s">
        <v>70</v>
      </c>
      <c r="X244" s="11" t="s">
        <v>3334</v>
      </c>
      <c r="Y244" s="11" t="s">
        <v>52</v>
      </c>
      <c r="Z244" s="11" t="s">
        <v>53</v>
      </c>
      <c r="AA244" s="11" t="s">
        <v>3251</v>
      </c>
    </row>
    <row r="245" spans="1:27">
      <c r="A245" s="11" t="s">
        <v>1115</v>
      </c>
      <c r="B245" s="11" t="s">
        <v>1116</v>
      </c>
      <c r="C245" s="11" t="s">
        <v>27</v>
      </c>
      <c r="D245" s="19">
        <v>60</v>
      </c>
      <c r="E245" s="11" t="s">
        <v>149</v>
      </c>
      <c r="F245" s="11" t="s">
        <v>29</v>
      </c>
      <c r="G245" s="11" t="s">
        <v>30</v>
      </c>
      <c r="H245" s="12">
        <v>46084</v>
      </c>
      <c r="I245" s="12" t="str">
        <f t="shared" si="3"/>
        <v>March</v>
      </c>
      <c r="J245" s="24">
        <v>0.34652777777777777</v>
      </c>
      <c r="K245" s="19">
        <v>6</v>
      </c>
      <c r="L245" s="12">
        <v>46084</v>
      </c>
      <c r="M245" s="24">
        <v>0.92986111111111114</v>
      </c>
      <c r="N245" s="11">
        <v>14</v>
      </c>
      <c r="O245" s="11" t="s">
        <v>34</v>
      </c>
      <c r="P245" s="11" t="s">
        <v>35</v>
      </c>
      <c r="Q245" s="11"/>
      <c r="R245" s="11" t="s">
        <v>36</v>
      </c>
      <c r="S245" s="19">
        <v>40</v>
      </c>
      <c r="T245" s="11" t="s">
        <v>49</v>
      </c>
      <c r="U245" s="11" t="s">
        <v>38</v>
      </c>
      <c r="V245" s="11">
        <v>3</v>
      </c>
      <c r="W245" s="11" t="s">
        <v>39</v>
      </c>
      <c r="X245" s="11" t="s">
        <v>3333</v>
      </c>
      <c r="Y245" s="11" t="s">
        <v>41</v>
      </c>
      <c r="Z245" s="11" t="s">
        <v>71</v>
      </c>
      <c r="AA245" s="11" t="str">
        <f>IF(A245=" ", "Missing Value", " ")</f>
        <v xml:space="preserve"> </v>
      </c>
    </row>
    <row r="246" spans="1:27">
      <c r="A246" s="11" t="s">
        <v>1118</v>
      </c>
      <c r="B246" s="11" t="s">
        <v>1119</v>
      </c>
      <c r="C246" s="11" t="s">
        <v>27</v>
      </c>
      <c r="D246" s="19">
        <v>54</v>
      </c>
      <c r="E246" s="11" t="s">
        <v>173</v>
      </c>
      <c r="F246" s="11" t="s">
        <v>29</v>
      </c>
      <c r="G246" s="11" t="s">
        <v>83</v>
      </c>
      <c r="H246" s="12">
        <v>46127</v>
      </c>
      <c r="I246" s="12" t="str">
        <f t="shared" si="3"/>
        <v>April</v>
      </c>
      <c r="J246" s="24">
        <v>0.58819444444444446</v>
      </c>
      <c r="K246" s="19">
        <v>4</v>
      </c>
      <c r="L246" s="12">
        <v>46128</v>
      </c>
      <c r="M246" s="24">
        <v>4.6527777777777779E-2</v>
      </c>
      <c r="N246" s="11">
        <v>11</v>
      </c>
      <c r="O246" s="11" t="s">
        <v>34</v>
      </c>
      <c r="P246" s="11" t="s">
        <v>35</v>
      </c>
      <c r="Q246" s="11"/>
      <c r="R246" s="11" t="s">
        <v>36</v>
      </c>
      <c r="S246" s="19">
        <v>25</v>
      </c>
      <c r="T246" s="11" t="s">
        <v>49</v>
      </c>
      <c r="U246" s="11" t="s">
        <v>96</v>
      </c>
      <c r="V246" s="11">
        <v>4</v>
      </c>
      <c r="W246" s="11" t="s">
        <v>89</v>
      </c>
      <c r="X246" s="11" t="s">
        <v>3325</v>
      </c>
      <c r="Y246" s="11" t="s">
        <v>109</v>
      </c>
      <c r="Z246" s="11" t="s">
        <v>53</v>
      </c>
      <c r="AA246" s="11" t="s">
        <v>3234</v>
      </c>
    </row>
    <row r="247" spans="1:27">
      <c r="A247" s="11" t="s">
        <v>1121</v>
      </c>
      <c r="B247" s="11" t="s">
        <v>1122</v>
      </c>
      <c r="C247" s="11" t="s">
        <v>27</v>
      </c>
      <c r="D247" s="19">
        <v>49</v>
      </c>
      <c r="E247" s="11" t="s">
        <v>57</v>
      </c>
      <c r="F247" s="11" t="s">
        <v>29</v>
      </c>
      <c r="G247" s="11" t="s">
        <v>58</v>
      </c>
      <c r="H247" s="12">
        <v>46088</v>
      </c>
      <c r="I247" s="12" t="str">
        <f t="shared" si="3"/>
        <v>March</v>
      </c>
      <c r="J247" s="24">
        <v>0.33611111111111114</v>
      </c>
      <c r="K247" s="19">
        <v>3</v>
      </c>
      <c r="L247" s="12">
        <v>46088</v>
      </c>
      <c r="M247" s="24">
        <v>0.41944444444444445</v>
      </c>
      <c r="N247" s="11">
        <v>2</v>
      </c>
      <c r="O247" s="11" t="s">
        <v>68</v>
      </c>
      <c r="P247" s="11" t="s">
        <v>35</v>
      </c>
      <c r="Q247" s="11"/>
      <c r="R247" s="11" t="s">
        <v>36</v>
      </c>
      <c r="S247" s="19">
        <v>15</v>
      </c>
      <c r="T247" s="11" t="s">
        <v>49</v>
      </c>
      <c r="U247" s="11" t="s">
        <v>38</v>
      </c>
      <c r="V247" s="11">
        <v>4</v>
      </c>
      <c r="W247" s="11" t="s">
        <v>89</v>
      </c>
      <c r="X247" s="11" t="s">
        <v>51</v>
      </c>
      <c r="Y247" s="11" t="s">
        <v>41</v>
      </c>
      <c r="Z247" s="11" t="s">
        <v>71</v>
      </c>
      <c r="AA247" s="11"/>
    </row>
    <row r="248" spans="1:27">
      <c r="A248" s="11" t="s">
        <v>1124</v>
      </c>
      <c r="B248" s="11" t="s">
        <v>1125</v>
      </c>
      <c r="C248" s="11" t="s">
        <v>56</v>
      </c>
      <c r="D248" s="19">
        <v>43</v>
      </c>
      <c r="E248" s="11" t="s">
        <v>173</v>
      </c>
      <c r="F248" s="11" t="s">
        <v>29</v>
      </c>
      <c r="G248" s="11" t="s">
        <v>83</v>
      </c>
      <c r="H248" s="12">
        <v>46043</v>
      </c>
      <c r="I248" s="12" t="str">
        <f t="shared" si="3"/>
        <v>January</v>
      </c>
      <c r="J248" s="24">
        <v>0.32083333333333336</v>
      </c>
      <c r="K248" s="19">
        <v>4</v>
      </c>
      <c r="L248" s="12">
        <v>46043</v>
      </c>
      <c r="M248" s="24">
        <v>0.5708333333333333</v>
      </c>
      <c r="N248" s="11">
        <v>6</v>
      </c>
      <c r="O248" s="11" t="s">
        <v>34</v>
      </c>
      <c r="P248" s="11" t="s">
        <v>35</v>
      </c>
      <c r="Q248" s="11"/>
      <c r="R248" s="11" t="s">
        <v>36</v>
      </c>
      <c r="S248" s="19">
        <v>25</v>
      </c>
      <c r="T248" s="11" t="s">
        <v>37</v>
      </c>
      <c r="U248" s="11" t="s">
        <v>38</v>
      </c>
      <c r="V248" s="11">
        <v>2</v>
      </c>
      <c r="W248" s="11" t="s">
        <v>89</v>
      </c>
      <c r="X248" s="11" t="s">
        <v>51</v>
      </c>
      <c r="Y248" s="11" t="s">
        <v>109</v>
      </c>
      <c r="Z248" s="11" t="s">
        <v>71</v>
      </c>
      <c r="AA248" s="11" t="s">
        <v>3234</v>
      </c>
    </row>
    <row r="249" spans="1:27">
      <c r="A249" s="11" t="s">
        <v>1126</v>
      </c>
      <c r="B249" s="11" t="s">
        <v>1127</v>
      </c>
      <c r="C249" s="11" t="s">
        <v>56</v>
      </c>
      <c r="D249" s="19">
        <v>84</v>
      </c>
      <c r="E249" s="11" t="s">
        <v>57</v>
      </c>
      <c r="F249" s="11" t="s">
        <v>29</v>
      </c>
      <c r="G249" s="11" t="s">
        <v>58</v>
      </c>
      <c r="H249" s="12">
        <v>46131</v>
      </c>
      <c r="I249" s="12" t="str">
        <f t="shared" si="3"/>
        <v>April</v>
      </c>
      <c r="J249" s="24">
        <v>0.51875000000000004</v>
      </c>
      <c r="K249" s="19">
        <v>3</v>
      </c>
      <c r="L249" s="12">
        <v>46131</v>
      </c>
      <c r="M249" s="24">
        <v>0.6020833333333333</v>
      </c>
      <c r="N249" s="11">
        <v>2</v>
      </c>
      <c r="O249" s="11" t="s">
        <v>68</v>
      </c>
      <c r="P249" s="11" t="s">
        <v>35</v>
      </c>
      <c r="Q249" s="11"/>
      <c r="R249" s="11" t="s">
        <v>36</v>
      </c>
      <c r="S249" s="19">
        <v>15</v>
      </c>
      <c r="T249" s="11" t="s">
        <v>49</v>
      </c>
      <c r="U249" s="11" t="s">
        <v>96</v>
      </c>
      <c r="V249" s="11">
        <v>1</v>
      </c>
      <c r="W249" s="11" t="s">
        <v>89</v>
      </c>
      <c r="X249" s="11" t="s">
        <v>51</v>
      </c>
      <c r="Y249" s="11" t="s">
        <v>41</v>
      </c>
      <c r="Z249" s="11" t="s">
        <v>53</v>
      </c>
      <c r="AA249" s="11"/>
    </row>
    <row r="250" spans="1:27">
      <c r="A250" s="11" t="s">
        <v>1129</v>
      </c>
      <c r="B250" s="11" t="s">
        <v>1130</v>
      </c>
      <c r="C250" s="11" t="s">
        <v>56</v>
      </c>
      <c r="D250" s="19">
        <v>88</v>
      </c>
      <c r="E250" s="11" t="s">
        <v>57</v>
      </c>
      <c r="F250" s="11" t="s">
        <v>29</v>
      </c>
      <c r="G250" s="11" t="s">
        <v>83</v>
      </c>
      <c r="H250" s="12">
        <v>46150</v>
      </c>
      <c r="I250" s="12" t="str">
        <f t="shared" si="3"/>
        <v>May</v>
      </c>
      <c r="J250" s="24">
        <v>0.68680555555555556</v>
      </c>
      <c r="K250" s="19">
        <v>3</v>
      </c>
      <c r="L250" s="12">
        <v>46150</v>
      </c>
      <c r="M250" s="24">
        <v>0.89513888888888893</v>
      </c>
      <c r="N250" s="11">
        <v>5</v>
      </c>
      <c r="O250" s="11" t="s">
        <v>34</v>
      </c>
      <c r="P250" s="11" t="s">
        <v>35</v>
      </c>
      <c r="Q250" s="11"/>
      <c r="R250" s="11" t="s">
        <v>36</v>
      </c>
      <c r="S250" s="19">
        <v>15</v>
      </c>
      <c r="T250" s="11" t="s">
        <v>49</v>
      </c>
      <c r="U250" s="11" t="s">
        <v>96</v>
      </c>
      <c r="V250" s="11">
        <v>1</v>
      </c>
      <c r="W250" s="11" t="s">
        <v>89</v>
      </c>
      <c r="X250" s="11" t="s">
        <v>3334</v>
      </c>
      <c r="Y250" s="11" t="s">
        <v>41</v>
      </c>
      <c r="Z250" s="11" t="s">
        <v>53</v>
      </c>
      <c r="AA250" s="11" t="s">
        <v>3234</v>
      </c>
    </row>
    <row r="251" spans="1:27">
      <c r="A251" s="11" t="s">
        <v>1132</v>
      </c>
      <c r="B251" s="11" t="s">
        <v>1133</v>
      </c>
      <c r="C251" s="11" t="s">
        <v>56</v>
      </c>
      <c r="D251" s="19">
        <v>84</v>
      </c>
      <c r="E251" s="11" t="s">
        <v>81</v>
      </c>
      <c r="F251" s="11" t="s">
        <v>82</v>
      </c>
      <c r="G251" s="11" t="s">
        <v>83</v>
      </c>
      <c r="H251" s="12">
        <v>46120</v>
      </c>
      <c r="I251" s="12" t="str">
        <f t="shared" si="3"/>
        <v>April</v>
      </c>
      <c r="J251" s="24">
        <v>0.56180555555555556</v>
      </c>
      <c r="K251" s="19">
        <v>8</v>
      </c>
      <c r="L251" s="12">
        <v>46121</v>
      </c>
      <c r="M251" s="24">
        <v>2.013888888888889E-2</v>
      </c>
      <c r="N251" s="11">
        <v>11</v>
      </c>
      <c r="O251" s="11" t="s">
        <v>34</v>
      </c>
      <c r="P251" s="11" t="s">
        <v>35</v>
      </c>
      <c r="Q251" s="11"/>
      <c r="R251" s="11" t="s">
        <v>36</v>
      </c>
      <c r="S251" s="19">
        <v>20</v>
      </c>
      <c r="T251" s="11" t="s">
        <v>37</v>
      </c>
      <c r="U251" s="11" t="s">
        <v>38</v>
      </c>
      <c r="V251" s="11">
        <v>1</v>
      </c>
      <c r="W251" s="11" t="s">
        <v>70</v>
      </c>
      <c r="X251" s="11" t="s">
        <v>3325</v>
      </c>
      <c r="Y251" s="11" t="s">
        <v>41</v>
      </c>
      <c r="Z251" s="11" t="s">
        <v>53</v>
      </c>
      <c r="AA251" s="11" t="str">
        <f>IF(A251=" ", "Missing Value", " ")</f>
        <v xml:space="preserve"> </v>
      </c>
    </row>
    <row r="252" spans="1:27">
      <c r="A252" s="11" t="s">
        <v>1134</v>
      </c>
      <c r="B252" s="11" t="s">
        <v>1135</v>
      </c>
      <c r="C252" s="11" t="s">
        <v>56</v>
      </c>
      <c r="D252" s="19">
        <v>50</v>
      </c>
      <c r="E252" s="11" t="s">
        <v>92</v>
      </c>
      <c r="F252" s="11" t="s">
        <v>29</v>
      </c>
      <c r="G252" s="11" t="s">
        <v>93</v>
      </c>
      <c r="H252" s="12">
        <v>46124</v>
      </c>
      <c r="I252" s="12" t="str">
        <f t="shared" si="3"/>
        <v>April</v>
      </c>
      <c r="J252" s="24">
        <v>0.32430555555555557</v>
      </c>
      <c r="K252" s="19">
        <v>24</v>
      </c>
      <c r="L252" s="12">
        <v>46125</v>
      </c>
      <c r="M252" s="24">
        <v>0.4909722222222222</v>
      </c>
      <c r="N252" s="11">
        <v>28</v>
      </c>
      <c r="O252" s="11" t="s">
        <v>34</v>
      </c>
      <c r="P252" s="11" t="s">
        <v>35</v>
      </c>
      <c r="Q252" s="11"/>
      <c r="R252" s="11" t="s">
        <v>36</v>
      </c>
      <c r="S252" s="19">
        <v>50</v>
      </c>
      <c r="T252" s="11" t="s">
        <v>49</v>
      </c>
      <c r="U252" s="11" t="s">
        <v>38</v>
      </c>
      <c r="V252" s="11">
        <v>1</v>
      </c>
      <c r="W252" s="11" t="s">
        <v>70</v>
      </c>
      <c r="X252" s="11" t="s">
        <v>3333</v>
      </c>
      <c r="Y252" s="11" t="s">
        <v>52</v>
      </c>
      <c r="Z252" s="11" t="s">
        <v>53</v>
      </c>
      <c r="AA252" s="11" t="s">
        <v>3229</v>
      </c>
    </row>
    <row r="253" spans="1:27">
      <c r="A253" s="11" t="s">
        <v>1137</v>
      </c>
      <c r="B253" s="11" t="s">
        <v>1138</v>
      </c>
      <c r="C253" s="11" t="s">
        <v>56</v>
      </c>
      <c r="D253" s="19">
        <v>68</v>
      </c>
      <c r="E253" s="11" t="s">
        <v>149</v>
      </c>
      <c r="F253" s="11" t="s">
        <v>29</v>
      </c>
      <c r="G253" s="11" t="s">
        <v>58</v>
      </c>
      <c r="H253" s="12">
        <v>46139</v>
      </c>
      <c r="I253" s="12" t="str">
        <f t="shared" si="3"/>
        <v>April</v>
      </c>
      <c r="J253" s="24">
        <v>0.47986111111111113</v>
      </c>
      <c r="K253" s="19">
        <v>6</v>
      </c>
      <c r="L253" s="12">
        <v>46140</v>
      </c>
      <c r="M253" s="24">
        <v>6.3194444444444442E-2</v>
      </c>
      <c r="N253" s="11">
        <v>14</v>
      </c>
      <c r="O253" s="11" t="s">
        <v>34</v>
      </c>
      <c r="P253" s="11" t="s">
        <v>35</v>
      </c>
      <c r="Q253" s="11"/>
      <c r="R253" s="11" t="s">
        <v>36</v>
      </c>
      <c r="S253" s="19">
        <v>40</v>
      </c>
      <c r="T253" s="11" t="s">
        <v>49</v>
      </c>
      <c r="U253" s="11" t="s">
        <v>38</v>
      </c>
      <c r="V253" s="11">
        <v>5</v>
      </c>
      <c r="W253" s="11" t="s">
        <v>70</v>
      </c>
      <c r="X253" s="11" t="s">
        <v>3334</v>
      </c>
      <c r="Y253" s="11" t="s">
        <v>109</v>
      </c>
      <c r="Z253" s="11" t="s">
        <v>71</v>
      </c>
      <c r="AA253" s="11" t="s">
        <v>3234</v>
      </c>
    </row>
    <row r="254" spans="1:27">
      <c r="A254" s="11" t="s">
        <v>1141</v>
      </c>
      <c r="B254" s="11" t="s">
        <v>1142</v>
      </c>
      <c r="C254" s="11" t="s">
        <v>56</v>
      </c>
      <c r="D254" s="19">
        <v>71</v>
      </c>
      <c r="E254" s="11" t="s">
        <v>28</v>
      </c>
      <c r="F254" s="11" t="s">
        <v>29</v>
      </c>
      <c r="G254" s="11" t="s">
        <v>30</v>
      </c>
      <c r="H254" s="12">
        <v>46098</v>
      </c>
      <c r="I254" s="12" t="str">
        <f t="shared" si="3"/>
        <v>March</v>
      </c>
      <c r="J254" s="24">
        <v>0.5180555555555556</v>
      </c>
      <c r="K254" s="19">
        <v>5</v>
      </c>
      <c r="L254" s="12">
        <v>46098</v>
      </c>
      <c r="M254" s="24">
        <v>0.7680555555555556</v>
      </c>
      <c r="N254" s="11">
        <v>6</v>
      </c>
      <c r="O254" s="11" t="s">
        <v>34</v>
      </c>
      <c r="P254" s="11" t="s">
        <v>35</v>
      </c>
      <c r="Q254" s="11"/>
      <c r="R254" s="11" t="s">
        <v>36</v>
      </c>
      <c r="S254" s="19">
        <v>35</v>
      </c>
      <c r="T254" s="11" t="s">
        <v>49</v>
      </c>
      <c r="U254" s="11" t="s">
        <v>164</v>
      </c>
      <c r="V254" s="11">
        <v>2</v>
      </c>
      <c r="W254" s="11" t="s">
        <v>70</v>
      </c>
      <c r="X254" s="11" t="s">
        <v>51</v>
      </c>
      <c r="Y254" s="11" t="s">
        <v>52</v>
      </c>
      <c r="Z254" s="11" t="s">
        <v>71</v>
      </c>
      <c r="AA254" s="11" t="str">
        <f>IF(A254=" ", "Missing Value", " ")</f>
        <v xml:space="preserve"> </v>
      </c>
    </row>
    <row r="255" spans="1:27">
      <c r="A255" s="11" t="s">
        <v>1144</v>
      </c>
      <c r="B255" s="11" t="s">
        <v>1145</v>
      </c>
      <c r="C255" s="11" t="s">
        <v>56</v>
      </c>
      <c r="D255" s="19">
        <v>8</v>
      </c>
      <c r="E255" s="11" t="s">
        <v>173</v>
      </c>
      <c r="F255" s="11" t="s">
        <v>29</v>
      </c>
      <c r="G255" s="11" t="s">
        <v>93</v>
      </c>
      <c r="H255" s="12">
        <v>46117</v>
      </c>
      <c r="I255" s="12" t="str">
        <f t="shared" si="3"/>
        <v>April</v>
      </c>
      <c r="J255" s="24">
        <v>0.31180555555555556</v>
      </c>
      <c r="K255" s="19">
        <v>4</v>
      </c>
      <c r="L255" s="12">
        <v>46117</v>
      </c>
      <c r="M255" s="24">
        <v>0.77013888888888893</v>
      </c>
      <c r="N255" s="11">
        <v>11</v>
      </c>
      <c r="O255" s="11" t="s">
        <v>34</v>
      </c>
      <c r="P255" s="11" t="s">
        <v>35</v>
      </c>
      <c r="Q255" s="11"/>
      <c r="R255" s="11" t="s">
        <v>36</v>
      </c>
      <c r="S255" s="19">
        <v>25</v>
      </c>
      <c r="T255" s="11" t="s">
        <v>49</v>
      </c>
      <c r="U255" s="11" t="s">
        <v>164</v>
      </c>
      <c r="V255" s="11">
        <v>5</v>
      </c>
      <c r="W255" s="11" t="s">
        <v>70</v>
      </c>
      <c r="X255" s="11" t="s">
        <v>3333</v>
      </c>
      <c r="Y255" s="11" t="s">
        <v>41</v>
      </c>
      <c r="Z255" s="11" t="s">
        <v>42</v>
      </c>
      <c r="AA255" s="11" t="s">
        <v>3234</v>
      </c>
    </row>
    <row r="256" spans="1:27">
      <c r="A256" s="11" t="s">
        <v>1148</v>
      </c>
      <c r="B256" s="11" t="s">
        <v>1149</v>
      </c>
      <c r="C256" s="11" t="s">
        <v>27</v>
      </c>
      <c r="D256" s="19">
        <v>10</v>
      </c>
      <c r="E256" s="11" t="s">
        <v>28</v>
      </c>
      <c r="F256" s="11" t="s">
        <v>29</v>
      </c>
      <c r="G256" s="11" t="s">
        <v>83</v>
      </c>
      <c r="H256" s="12">
        <v>46179</v>
      </c>
      <c r="I256" s="12" t="str">
        <f t="shared" si="3"/>
        <v>June</v>
      </c>
      <c r="J256" s="24">
        <v>0.55902777777777779</v>
      </c>
      <c r="K256" s="19">
        <v>5</v>
      </c>
      <c r="L256" s="12">
        <v>46179</v>
      </c>
      <c r="M256" s="24">
        <v>0.97569444444444442</v>
      </c>
      <c r="N256" s="11">
        <v>10</v>
      </c>
      <c r="O256" s="11" t="s">
        <v>34</v>
      </c>
      <c r="P256" s="11" t="s">
        <v>35</v>
      </c>
      <c r="Q256" s="11"/>
      <c r="R256" s="11" t="s">
        <v>36</v>
      </c>
      <c r="S256" s="19">
        <v>35</v>
      </c>
      <c r="T256" s="11" t="s">
        <v>37</v>
      </c>
      <c r="U256" s="11" t="s">
        <v>96</v>
      </c>
      <c r="V256" s="11">
        <v>1</v>
      </c>
      <c r="W256" s="11" t="s">
        <v>70</v>
      </c>
      <c r="X256" s="11" t="s">
        <v>3334</v>
      </c>
      <c r="Y256" s="11" t="s">
        <v>41</v>
      </c>
      <c r="Z256" s="11" t="s">
        <v>71</v>
      </c>
      <c r="AA256" s="11" t="s">
        <v>3234</v>
      </c>
    </row>
    <row r="257" spans="1:27">
      <c r="A257" s="11" t="s">
        <v>1151</v>
      </c>
      <c r="B257" s="11" t="s">
        <v>1152</v>
      </c>
      <c r="C257" s="11" t="s">
        <v>27</v>
      </c>
      <c r="D257" s="19">
        <v>5</v>
      </c>
      <c r="E257" s="11" t="s">
        <v>92</v>
      </c>
      <c r="F257" s="11" t="s">
        <v>29</v>
      </c>
      <c r="G257" s="11" t="s">
        <v>93</v>
      </c>
      <c r="H257" s="12">
        <v>46159</v>
      </c>
      <c r="I257" s="12" t="str">
        <f t="shared" si="3"/>
        <v>May</v>
      </c>
      <c r="J257" s="24">
        <v>0.60416666666666663</v>
      </c>
      <c r="K257" s="19">
        <v>24</v>
      </c>
      <c r="L257" s="12">
        <v>46160</v>
      </c>
      <c r="M257" s="24">
        <v>0.85416666666666663</v>
      </c>
      <c r="N257" s="11">
        <v>30</v>
      </c>
      <c r="O257" s="11" t="s">
        <v>34</v>
      </c>
      <c r="P257" s="11" t="s">
        <v>35</v>
      </c>
      <c r="Q257" s="11"/>
      <c r="R257" s="11" t="s">
        <v>36</v>
      </c>
      <c r="S257" s="19">
        <v>50</v>
      </c>
      <c r="T257" s="11" t="s">
        <v>49</v>
      </c>
      <c r="U257" s="11" t="s">
        <v>38</v>
      </c>
      <c r="V257" s="11">
        <v>2</v>
      </c>
      <c r="W257" s="11" t="s">
        <v>62</v>
      </c>
      <c r="X257" s="11" t="s">
        <v>51</v>
      </c>
      <c r="Y257" s="11" t="s">
        <v>41</v>
      </c>
      <c r="Z257" s="11" t="s">
        <v>42</v>
      </c>
      <c r="AA257" s="11" t="s">
        <v>3233</v>
      </c>
    </row>
    <row r="258" spans="1:27">
      <c r="A258" s="11" t="s">
        <v>1155</v>
      </c>
      <c r="B258" s="11" t="s">
        <v>1156</v>
      </c>
      <c r="C258" s="11" t="s">
        <v>56</v>
      </c>
      <c r="D258" s="19">
        <v>71</v>
      </c>
      <c r="E258" s="11" t="s">
        <v>149</v>
      </c>
      <c r="F258" s="11" t="s">
        <v>29</v>
      </c>
      <c r="G258" s="11" t="s">
        <v>58</v>
      </c>
      <c r="H258" s="12">
        <v>46045</v>
      </c>
      <c r="I258" s="12" t="str">
        <f t="shared" ref="I258:I321" si="4">TEXT(H258, "mmmm")</f>
        <v>January</v>
      </c>
      <c r="J258" s="24">
        <v>0.30555555555555558</v>
      </c>
      <c r="K258" s="19">
        <v>6</v>
      </c>
      <c r="L258" s="12">
        <v>46045</v>
      </c>
      <c r="M258" s="24">
        <v>0.76388888888888884</v>
      </c>
      <c r="N258" s="11">
        <v>11</v>
      </c>
      <c r="O258" s="11" t="s">
        <v>34</v>
      </c>
      <c r="P258" s="11" t="s">
        <v>35</v>
      </c>
      <c r="Q258" s="11"/>
      <c r="R258" s="11" t="s">
        <v>36</v>
      </c>
      <c r="S258" s="19">
        <v>40</v>
      </c>
      <c r="T258" s="11" t="s">
        <v>49</v>
      </c>
      <c r="U258" s="11" t="s">
        <v>164</v>
      </c>
      <c r="V258" s="11">
        <v>4</v>
      </c>
      <c r="W258" s="11" t="s">
        <v>62</v>
      </c>
      <c r="X258" s="11" t="s">
        <v>3333</v>
      </c>
      <c r="Y258" s="11" t="s">
        <v>52</v>
      </c>
      <c r="Z258" s="11" t="s">
        <v>42</v>
      </c>
      <c r="AA258" s="11" t="s">
        <v>3234</v>
      </c>
    </row>
    <row r="259" spans="1:27">
      <c r="A259" s="11" t="s">
        <v>1159</v>
      </c>
      <c r="B259" s="11" t="s">
        <v>1160</v>
      </c>
      <c r="C259" s="11" t="s">
        <v>56</v>
      </c>
      <c r="D259" s="19">
        <v>68</v>
      </c>
      <c r="E259" s="11" t="s">
        <v>92</v>
      </c>
      <c r="F259" s="11" t="s">
        <v>29</v>
      </c>
      <c r="G259" s="11" t="s">
        <v>93</v>
      </c>
      <c r="H259" s="12">
        <v>46100</v>
      </c>
      <c r="I259" s="12" t="str">
        <f t="shared" si="4"/>
        <v>March</v>
      </c>
      <c r="J259" s="24">
        <v>0.43611111111111112</v>
      </c>
      <c r="K259" s="19">
        <v>24</v>
      </c>
      <c r="L259" s="12">
        <v>46101</v>
      </c>
      <c r="M259" s="24">
        <v>0.4777777777777778</v>
      </c>
      <c r="N259" s="11">
        <v>25</v>
      </c>
      <c r="O259" s="11" t="s">
        <v>34</v>
      </c>
      <c r="P259" s="11" t="s">
        <v>35</v>
      </c>
      <c r="Q259" s="11"/>
      <c r="R259" s="11" t="s">
        <v>36</v>
      </c>
      <c r="S259" s="19">
        <v>50</v>
      </c>
      <c r="T259" s="11" t="s">
        <v>49</v>
      </c>
      <c r="U259" s="11" t="s">
        <v>164</v>
      </c>
      <c r="V259" s="11">
        <v>1</v>
      </c>
      <c r="W259" s="11" t="s">
        <v>39</v>
      </c>
      <c r="X259" s="11" t="s">
        <v>3333</v>
      </c>
      <c r="Y259" s="11" t="s">
        <v>109</v>
      </c>
      <c r="Z259" s="11" t="s">
        <v>53</v>
      </c>
      <c r="AA259" s="11" t="s">
        <v>3229</v>
      </c>
    </row>
    <row r="260" spans="1:27">
      <c r="A260" s="11" t="s">
        <v>1161</v>
      </c>
      <c r="B260" s="11" t="s">
        <v>1162</v>
      </c>
      <c r="C260" s="11" t="s">
        <v>27</v>
      </c>
      <c r="D260" s="19">
        <v>31</v>
      </c>
      <c r="E260" s="11" t="s">
        <v>173</v>
      </c>
      <c r="F260" s="11" t="s">
        <v>29</v>
      </c>
      <c r="G260" s="11" t="s">
        <v>83</v>
      </c>
      <c r="H260" s="12">
        <v>46196</v>
      </c>
      <c r="I260" s="12" t="str">
        <f t="shared" si="4"/>
        <v>June</v>
      </c>
      <c r="J260" s="24">
        <v>0.51458333333333328</v>
      </c>
      <c r="K260" s="19">
        <v>4</v>
      </c>
      <c r="L260" s="12">
        <v>46196</v>
      </c>
      <c r="M260" s="24">
        <v>0.97291666666666665</v>
      </c>
      <c r="N260" s="11">
        <v>11</v>
      </c>
      <c r="O260" s="11" t="s">
        <v>34</v>
      </c>
      <c r="P260" s="11" t="s">
        <v>35</v>
      </c>
      <c r="Q260" s="11"/>
      <c r="R260" s="11" t="s">
        <v>36</v>
      </c>
      <c r="S260" s="19">
        <v>25</v>
      </c>
      <c r="T260" s="11" t="s">
        <v>49</v>
      </c>
      <c r="U260" s="11" t="s">
        <v>38</v>
      </c>
      <c r="V260" s="11">
        <v>3</v>
      </c>
      <c r="W260" s="11" t="s">
        <v>62</v>
      </c>
      <c r="X260" s="11" t="s">
        <v>3334</v>
      </c>
      <c r="Y260" s="11" t="s">
        <v>52</v>
      </c>
      <c r="Z260" s="11" t="s">
        <v>42</v>
      </c>
      <c r="AA260" s="11" t="s">
        <v>3234</v>
      </c>
    </row>
    <row r="261" spans="1:27">
      <c r="A261" s="11" t="s">
        <v>1164</v>
      </c>
      <c r="B261" s="11" t="s">
        <v>1165</v>
      </c>
      <c r="C261" s="11" t="s">
        <v>56</v>
      </c>
      <c r="D261" s="19">
        <v>37</v>
      </c>
      <c r="E261" s="11" t="s">
        <v>81</v>
      </c>
      <c r="F261" s="11" t="s">
        <v>82</v>
      </c>
      <c r="G261" s="11" t="s">
        <v>83</v>
      </c>
      <c r="H261" s="12">
        <v>46187</v>
      </c>
      <c r="I261" s="12" t="str">
        <f t="shared" si="4"/>
        <v>June</v>
      </c>
      <c r="J261" s="24">
        <v>0.65069444444444446</v>
      </c>
      <c r="K261" s="19">
        <v>8</v>
      </c>
      <c r="L261" s="12">
        <v>46188</v>
      </c>
      <c r="M261" s="24">
        <v>0.23402777777777778</v>
      </c>
      <c r="N261" s="11">
        <v>14</v>
      </c>
      <c r="O261" s="11" t="s">
        <v>34</v>
      </c>
      <c r="P261" s="11" t="s">
        <v>270</v>
      </c>
      <c r="Q261" s="11" t="s">
        <v>620</v>
      </c>
      <c r="R261" s="11" t="s">
        <v>36</v>
      </c>
      <c r="S261" s="19">
        <v>20</v>
      </c>
      <c r="T261" s="11" t="s">
        <v>37</v>
      </c>
      <c r="U261" s="11" t="s">
        <v>96</v>
      </c>
      <c r="V261" s="11">
        <v>5</v>
      </c>
      <c r="W261" s="11" t="s">
        <v>89</v>
      </c>
      <c r="X261" s="11" t="s">
        <v>51</v>
      </c>
      <c r="Y261" s="11" t="s">
        <v>52</v>
      </c>
      <c r="Z261" s="11" t="s">
        <v>53</v>
      </c>
      <c r="AA261" s="11" t="s">
        <v>3251</v>
      </c>
    </row>
    <row r="262" spans="1:27">
      <c r="A262" s="11" t="s">
        <v>1168</v>
      </c>
      <c r="B262" s="11" t="s">
        <v>1169</v>
      </c>
      <c r="C262" s="11" t="s">
        <v>56</v>
      </c>
      <c r="D262" s="19">
        <v>15</v>
      </c>
      <c r="E262" s="11" t="s">
        <v>81</v>
      </c>
      <c r="F262" s="11" t="s">
        <v>82</v>
      </c>
      <c r="G262" s="11" t="s">
        <v>83</v>
      </c>
      <c r="H262" s="12">
        <v>46042</v>
      </c>
      <c r="I262" s="12" t="str">
        <f t="shared" si="4"/>
        <v>January</v>
      </c>
      <c r="J262" s="24">
        <v>0.69097222222222221</v>
      </c>
      <c r="K262" s="19">
        <v>8</v>
      </c>
      <c r="L262" s="12">
        <v>46043</v>
      </c>
      <c r="M262" s="24">
        <v>0.2326388888888889</v>
      </c>
      <c r="N262" s="11">
        <v>13</v>
      </c>
      <c r="O262" s="11" t="s">
        <v>34</v>
      </c>
      <c r="P262" s="11" t="s">
        <v>35</v>
      </c>
      <c r="Q262" s="11"/>
      <c r="R262" s="11" t="s">
        <v>36</v>
      </c>
      <c r="S262" s="19">
        <v>20</v>
      </c>
      <c r="T262" s="11" t="s">
        <v>37</v>
      </c>
      <c r="U262" s="11" t="s">
        <v>96</v>
      </c>
      <c r="V262" s="11">
        <v>4</v>
      </c>
      <c r="W262" s="11" t="s">
        <v>89</v>
      </c>
      <c r="X262" s="11" t="s">
        <v>3325</v>
      </c>
      <c r="Y262" s="11" t="s">
        <v>41</v>
      </c>
      <c r="Z262" s="11" t="s">
        <v>42</v>
      </c>
      <c r="AA262" s="11" t="str">
        <f>IF(A262=" ", "Missing Value", " ")</f>
        <v xml:space="preserve"> </v>
      </c>
    </row>
    <row r="263" spans="1:27">
      <c r="A263" s="11" t="s">
        <v>1173</v>
      </c>
      <c r="B263" s="11" t="s">
        <v>1174</v>
      </c>
      <c r="C263" s="11" t="s">
        <v>56</v>
      </c>
      <c r="D263" s="19">
        <v>10</v>
      </c>
      <c r="E263" s="11" t="s">
        <v>173</v>
      </c>
      <c r="F263" s="11" t="s">
        <v>29</v>
      </c>
      <c r="G263" s="11" t="s">
        <v>168</v>
      </c>
      <c r="H263" s="12">
        <v>46126</v>
      </c>
      <c r="I263" s="12" t="str">
        <f t="shared" si="4"/>
        <v>April</v>
      </c>
      <c r="J263" s="24">
        <v>0.37916666666666665</v>
      </c>
      <c r="K263" s="19">
        <v>4</v>
      </c>
      <c r="L263" s="12">
        <v>46126</v>
      </c>
      <c r="M263" s="24">
        <v>0.75416666666666665</v>
      </c>
      <c r="N263" s="11">
        <v>9</v>
      </c>
      <c r="O263" s="11" t="s">
        <v>34</v>
      </c>
      <c r="P263" s="11" t="s">
        <v>35</v>
      </c>
      <c r="Q263" s="11"/>
      <c r="R263" s="11" t="s">
        <v>36</v>
      </c>
      <c r="S263" s="19">
        <v>25</v>
      </c>
      <c r="T263" s="11" t="s">
        <v>37</v>
      </c>
      <c r="U263" s="11" t="s">
        <v>164</v>
      </c>
      <c r="V263" s="11">
        <v>3</v>
      </c>
      <c r="W263" s="11" t="s">
        <v>62</v>
      </c>
      <c r="X263" s="11" t="s">
        <v>51</v>
      </c>
      <c r="Y263" s="11" t="s">
        <v>109</v>
      </c>
      <c r="Z263" s="11" t="s">
        <v>42</v>
      </c>
      <c r="AA263" s="11" t="s">
        <v>3234</v>
      </c>
    </row>
    <row r="264" spans="1:27">
      <c r="A264" s="11" t="s">
        <v>1175</v>
      </c>
      <c r="B264" s="11" t="s">
        <v>1176</v>
      </c>
      <c r="C264" s="11" t="s">
        <v>56</v>
      </c>
      <c r="D264" s="19">
        <v>50</v>
      </c>
      <c r="E264" s="11" t="s">
        <v>149</v>
      </c>
      <c r="F264" s="11" t="s">
        <v>29</v>
      </c>
      <c r="G264" s="11" t="s">
        <v>58</v>
      </c>
      <c r="H264" s="12">
        <v>46156</v>
      </c>
      <c r="I264" s="12" t="str">
        <f t="shared" si="4"/>
        <v>May</v>
      </c>
      <c r="J264" s="24">
        <v>0.6069444444444444</v>
      </c>
      <c r="K264" s="19">
        <v>6</v>
      </c>
      <c r="L264" s="12">
        <v>46156</v>
      </c>
      <c r="M264" s="24">
        <v>0.8569444444444444</v>
      </c>
      <c r="N264" s="11">
        <v>6</v>
      </c>
      <c r="O264" s="11" t="s">
        <v>68</v>
      </c>
      <c r="P264" s="11" t="s">
        <v>35</v>
      </c>
      <c r="Q264" s="11"/>
      <c r="R264" s="11" t="s">
        <v>36</v>
      </c>
      <c r="S264" s="19">
        <v>40</v>
      </c>
      <c r="T264" s="11" t="s">
        <v>49</v>
      </c>
      <c r="U264" s="11" t="s">
        <v>164</v>
      </c>
      <c r="V264" s="11">
        <v>2</v>
      </c>
      <c r="W264" s="11" t="s">
        <v>70</v>
      </c>
      <c r="X264" s="11" t="s">
        <v>51</v>
      </c>
      <c r="Y264" s="11" t="s">
        <v>52</v>
      </c>
      <c r="Z264" s="11" t="s">
        <v>53</v>
      </c>
      <c r="AA264" s="11" t="s">
        <v>3234</v>
      </c>
    </row>
    <row r="265" spans="1:27">
      <c r="A265" s="11" t="s">
        <v>1178</v>
      </c>
      <c r="B265" s="11" t="s">
        <v>1179</v>
      </c>
      <c r="C265" s="11" t="s">
        <v>56</v>
      </c>
      <c r="D265" s="19">
        <v>27</v>
      </c>
      <c r="E265" s="11" t="s">
        <v>92</v>
      </c>
      <c r="F265" s="11" t="s">
        <v>29</v>
      </c>
      <c r="G265" s="11" t="s">
        <v>93</v>
      </c>
      <c r="H265" s="12">
        <v>46146</v>
      </c>
      <c r="I265" s="12" t="str">
        <f t="shared" si="4"/>
        <v>May</v>
      </c>
      <c r="J265" s="24">
        <v>0.31111111111111112</v>
      </c>
      <c r="K265" s="19">
        <v>24</v>
      </c>
      <c r="L265" s="12">
        <v>46147</v>
      </c>
      <c r="M265" s="24">
        <v>0.56111111111111112</v>
      </c>
      <c r="N265" s="11">
        <v>30</v>
      </c>
      <c r="O265" s="11" t="s">
        <v>34</v>
      </c>
      <c r="P265" s="11" t="s">
        <v>35</v>
      </c>
      <c r="Q265" s="11"/>
      <c r="R265" s="11" t="s">
        <v>36</v>
      </c>
      <c r="S265" s="19">
        <v>50</v>
      </c>
      <c r="T265" s="11" t="s">
        <v>49</v>
      </c>
      <c r="U265" s="11" t="s">
        <v>96</v>
      </c>
      <c r="V265" s="11">
        <v>1</v>
      </c>
      <c r="W265" s="11" t="s">
        <v>70</v>
      </c>
      <c r="X265" s="11" t="s">
        <v>3325</v>
      </c>
      <c r="Y265" s="11" t="s">
        <v>109</v>
      </c>
      <c r="Z265" s="11" t="s">
        <v>71</v>
      </c>
      <c r="AA265" s="11" t="s">
        <v>3229</v>
      </c>
    </row>
    <row r="266" spans="1:27">
      <c r="A266" s="11" t="s">
        <v>1182</v>
      </c>
      <c r="B266" s="11" t="s">
        <v>1183</v>
      </c>
      <c r="C266" s="11" t="s">
        <v>56</v>
      </c>
      <c r="D266" s="19">
        <v>18</v>
      </c>
      <c r="E266" s="11" t="s">
        <v>28</v>
      </c>
      <c r="F266" s="11" t="s">
        <v>29</v>
      </c>
      <c r="G266" s="11" t="s">
        <v>83</v>
      </c>
      <c r="H266" s="12">
        <v>46096</v>
      </c>
      <c r="I266" s="12" t="str">
        <f t="shared" si="4"/>
        <v>March</v>
      </c>
      <c r="J266" s="24">
        <v>0.52847222222222223</v>
      </c>
      <c r="K266" s="19">
        <v>5</v>
      </c>
      <c r="L266" s="12">
        <v>46096</v>
      </c>
      <c r="M266" s="24">
        <v>0.82013888888888886</v>
      </c>
      <c r="N266" s="11">
        <v>7</v>
      </c>
      <c r="O266" s="11" t="s">
        <v>34</v>
      </c>
      <c r="P266" s="11" t="s">
        <v>35</v>
      </c>
      <c r="Q266" s="11"/>
      <c r="R266" s="11" t="s">
        <v>36</v>
      </c>
      <c r="S266" s="19"/>
      <c r="T266" s="11" t="s">
        <v>49</v>
      </c>
      <c r="U266" s="11" t="s">
        <v>164</v>
      </c>
      <c r="V266" s="11">
        <v>3</v>
      </c>
      <c r="W266" s="11" t="s">
        <v>70</v>
      </c>
      <c r="X266" s="11" t="s">
        <v>51</v>
      </c>
      <c r="Y266" s="11" t="s">
        <v>52</v>
      </c>
      <c r="Z266" s="11" t="s">
        <v>71</v>
      </c>
      <c r="AA266" s="11" t="s">
        <v>3234</v>
      </c>
    </row>
    <row r="267" spans="1:27">
      <c r="A267" s="11" t="s">
        <v>1185</v>
      </c>
      <c r="B267" s="11" t="s">
        <v>1186</v>
      </c>
      <c r="C267" s="11" t="s">
        <v>27</v>
      </c>
      <c r="D267" s="19">
        <v>68</v>
      </c>
      <c r="E267" s="11" t="s">
        <v>173</v>
      </c>
      <c r="F267" s="11" t="s">
        <v>29</v>
      </c>
      <c r="G267" s="11" t="s">
        <v>93</v>
      </c>
      <c r="H267" s="12">
        <v>46103</v>
      </c>
      <c r="I267" s="12" t="str">
        <f t="shared" si="4"/>
        <v>March</v>
      </c>
      <c r="J267" s="24">
        <v>0.39583333333333331</v>
      </c>
      <c r="K267" s="19">
        <v>4</v>
      </c>
      <c r="L267" s="12">
        <v>46103</v>
      </c>
      <c r="M267" s="24">
        <v>0.52083333333333337</v>
      </c>
      <c r="N267" s="11">
        <v>3</v>
      </c>
      <c r="O267" s="11" t="s">
        <v>68</v>
      </c>
      <c r="P267" s="11" t="s">
        <v>35</v>
      </c>
      <c r="Q267" s="11"/>
      <c r="R267" s="11" t="s">
        <v>36</v>
      </c>
      <c r="S267" s="19">
        <v>25</v>
      </c>
      <c r="T267" s="11" t="s">
        <v>37</v>
      </c>
      <c r="U267" s="11" t="s">
        <v>38</v>
      </c>
      <c r="V267" s="11">
        <v>4</v>
      </c>
      <c r="W267" s="11" t="s">
        <v>39</v>
      </c>
      <c r="X267" s="11" t="s">
        <v>3334</v>
      </c>
      <c r="Y267" s="11" t="s">
        <v>109</v>
      </c>
      <c r="Z267" s="11" t="s">
        <v>42</v>
      </c>
      <c r="AA267" s="11" t="s">
        <v>3234</v>
      </c>
    </row>
    <row r="268" spans="1:27">
      <c r="A268" s="11" t="s">
        <v>1187</v>
      </c>
      <c r="B268" s="11" t="s">
        <v>1188</v>
      </c>
      <c r="C268" s="11" t="s">
        <v>27</v>
      </c>
      <c r="D268" s="19">
        <v>43</v>
      </c>
      <c r="E268" s="11" t="s">
        <v>173</v>
      </c>
      <c r="F268" s="11" t="s">
        <v>29</v>
      </c>
      <c r="G268" s="11" t="s">
        <v>30</v>
      </c>
      <c r="H268" s="12">
        <v>46118</v>
      </c>
      <c r="I268" s="12" t="str">
        <f t="shared" si="4"/>
        <v>April</v>
      </c>
      <c r="J268" s="24">
        <v>0.6791666666666667</v>
      </c>
      <c r="K268" s="19">
        <v>4</v>
      </c>
      <c r="L268" s="12">
        <v>46119</v>
      </c>
      <c r="M268" s="24">
        <v>1.2500000000000001E-2</v>
      </c>
      <c r="N268" s="11">
        <v>8</v>
      </c>
      <c r="O268" s="11" t="s">
        <v>34</v>
      </c>
      <c r="P268" s="11" t="s">
        <v>35</v>
      </c>
      <c r="Q268" s="11"/>
      <c r="R268" s="11" t="s">
        <v>36</v>
      </c>
      <c r="S268" s="19">
        <v>25</v>
      </c>
      <c r="T268" s="11" t="s">
        <v>49</v>
      </c>
      <c r="U268" s="11" t="s">
        <v>38</v>
      </c>
      <c r="V268" s="11">
        <v>4</v>
      </c>
      <c r="W268" s="11" t="s">
        <v>62</v>
      </c>
      <c r="X268" s="11" t="s">
        <v>3334</v>
      </c>
      <c r="Y268" s="11" t="s">
        <v>41</v>
      </c>
      <c r="Z268" s="11" t="s">
        <v>71</v>
      </c>
      <c r="AA268" s="11" t="s">
        <v>3234</v>
      </c>
    </row>
    <row r="269" spans="1:27">
      <c r="A269" s="11" t="s">
        <v>1191</v>
      </c>
      <c r="B269" s="11" t="s">
        <v>1192</v>
      </c>
      <c r="C269" s="11" t="s">
        <v>56</v>
      </c>
      <c r="D269" s="19">
        <v>8</v>
      </c>
      <c r="E269" s="11" t="s">
        <v>28</v>
      </c>
      <c r="F269" s="11" t="s">
        <v>29</v>
      </c>
      <c r="G269" s="11" t="s">
        <v>93</v>
      </c>
      <c r="H269" s="12">
        <v>46105</v>
      </c>
      <c r="I269" s="12" t="str">
        <f t="shared" si="4"/>
        <v>March</v>
      </c>
      <c r="J269" s="24">
        <v>0.44097222222222221</v>
      </c>
      <c r="K269" s="19">
        <v>5</v>
      </c>
      <c r="L269" s="12">
        <v>46105</v>
      </c>
      <c r="M269" s="24">
        <v>0.81597222222222221</v>
      </c>
      <c r="N269" s="11">
        <v>9</v>
      </c>
      <c r="O269" s="11" t="s">
        <v>34</v>
      </c>
      <c r="P269" s="11" t="s">
        <v>35</v>
      </c>
      <c r="Q269" s="11"/>
      <c r="R269" s="11" t="s">
        <v>36</v>
      </c>
      <c r="S269" s="19">
        <v>35</v>
      </c>
      <c r="T269" s="11" t="s">
        <v>49</v>
      </c>
      <c r="U269" s="11" t="s">
        <v>38</v>
      </c>
      <c r="V269" s="11">
        <v>3</v>
      </c>
      <c r="W269" s="11" t="s">
        <v>70</v>
      </c>
      <c r="X269" s="11" t="s">
        <v>3334</v>
      </c>
      <c r="Y269" s="11" t="s">
        <v>109</v>
      </c>
      <c r="Z269" s="11" t="s">
        <v>53</v>
      </c>
      <c r="AA269" s="11" t="s">
        <v>3234</v>
      </c>
    </row>
    <row r="270" spans="1:27">
      <c r="A270" s="11" t="s">
        <v>1194</v>
      </c>
      <c r="B270" s="11" t="s">
        <v>1195</v>
      </c>
      <c r="C270" s="11" t="s">
        <v>56</v>
      </c>
      <c r="D270" s="19">
        <v>14</v>
      </c>
      <c r="E270" s="11" t="s">
        <v>81</v>
      </c>
      <c r="F270" s="11" t="s">
        <v>82</v>
      </c>
      <c r="G270" s="11" t="s">
        <v>83</v>
      </c>
      <c r="H270" s="12">
        <v>46038</v>
      </c>
      <c r="I270" s="12" t="str">
        <f t="shared" si="4"/>
        <v>January</v>
      </c>
      <c r="J270" s="24">
        <v>0.31874999999999998</v>
      </c>
      <c r="K270" s="19">
        <v>8</v>
      </c>
      <c r="L270" s="12">
        <v>46038</v>
      </c>
      <c r="M270" s="24">
        <v>0.86041666666666672</v>
      </c>
      <c r="N270" s="11">
        <v>13</v>
      </c>
      <c r="O270" s="11" t="s">
        <v>34</v>
      </c>
      <c r="P270" s="11" t="s">
        <v>35</v>
      </c>
      <c r="Q270" s="11"/>
      <c r="R270" s="11" t="s">
        <v>36</v>
      </c>
      <c r="S270" s="19">
        <v>20</v>
      </c>
      <c r="T270" s="11" t="s">
        <v>49</v>
      </c>
      <c r="U270" s="11" t="s">
        <v>164</v>
      </c>
      <c r="V270" s="11">
        <v>2</v>
      </c>
      <c r="W270" s="11" t="s">
        <v>62</v>
      </c>
      <c r="X270" s="11" t="s">
        <v>3334</v>
      </c>
      <c r="Y270" s="11" t="s">
        <v>109</v>
      </c>
      <c r="Z270" s="11" t="s">
        <v>71</v>
      </c>
      <c r="AA270" s="11" t="str">
        <f>IF(A270=" ", "Missing Value", " ")</f>
        <v xml:space="preserve"> </v>
      </c>
    </row>
    <row r="271" spans="1:27">
      <c r="A271" s="11" t="s">
        <v>1196</v>
      </c>
      <c r="B271" s="11" t="s">
        <v>1197</v>
      </c>
      <c r="C271" s="11" t="s">
        <v>27</v>
      </c>
      <c r="D271" s="19">
        <v>11</v>
      </c>
      <c r="E271" s="11" t="s">
        <v>173</v>
      </c>
      <c r="F271" s="11" t="s">
        <v>29</v>
      </c>
      <c r="G271" s="11" t="s">
        <v>83</v>
      </c>
      <c r="H271" s="12">
        <v>46170</v>
      </c>
      <c r="I271" s="12" t="str">
        <f t="shared" si="4"/>
        <v>May</v>
      </c>
      <c r="J271" s="24">
        <v>0.60902777777777772</v>
      </c>
      <c r="K271" s="19">
        <v>4</v>
      </c>
      <c r="L271" s="12">
        <v>46170</v>
      </c>
      <c r="M271" s="24">
        <v>0.81736111111111109</v>
      </c>
      <c r="N271" s="11">
        <v>5</v>
      </c>
      <c r="O271" s="11" t="s">
        <v>34</v>
      </c>
      <c r="P271" s="11" t="s">
        <v>35</v>
      </c>
      <c r="Q271" s="11"/>
      <c r="R271" s="11" t="s">
        <v>36</v>
      </c>
      <c r="S271" s="19">
        <v>25</v>
      </c>
      <c r="T271" s="11" t="s">
        <v>37</v>
      </c>
      <c r="U271" s="11" t="s">
        <v>38</v>
      </c>
      <c r="V271" s="11">
        <v>4</v>
      </c>
      <c r="W271" s="11" t="s">
        <v>39</v>
      </c>
      <c r="X271" s="11" t="s">
        <v>51</v>
      </c>
      <c r="Y271" s="11" t="s">
        <v>109</v>
      </c>
      <c r="Z271" s="11" t="s">
        <v>71</v>
      </c>
      <c r="AA271" s="11" t="s">
        <v>3234</v>
      </c>
    </row>
    <row r="272" spans="1:27">
      <c r="A272" s="11" t="s">
        <v>1199</v>
      </c>
      <c r="B272" s="11" t="s">
        <v>1200</v>
      </c>
      <c r="C272" s="11" t="s">
        <v>56</v>
      </c>
      <c r="D272" s="19">
        <v>84</v>
      </c>
      <c r="E272" s="11" t="s">
        <v>92</v>
      </c>
      <c r="F272" s="11" t="s">
        <v>29</v>
      </c>
      <c r="G272" s="11" t="s">
        <v>93</v>
      </c>
      <c r="H272" s="12">
        <v>46148</v>
      </c>
      <c r="I272" s="12" t="str">
        <f t="shared" si="4"/>
        <v>May</v>
      </c>
      <c r="J272" s="24">
        <v>0.43472222222222223</v>
      </c>
      <c r="K272" s="19">
        <v>24</v>
      </c>
      <c r="L272" s="12">
        <v>46149</v>
      </c>
      <c r="M272" s="24">
        <v>0.68472222222222223</v>
      </c>
      <c r="N272" s="11">
        <v>30</v>
      </c>
      <c r="O272" s="11" t="s">
        <v>34</v>
      </c>
      <c r="P272" s="11" t="s">
        <v>35</v>
      </c>
      <c r="Q272" s="11"/>
      <c r="R272" s="11" t="s">
        <v>132</v>
      </c>
      <c r="S272" s="19">
        <v>50</v>
      </c>
      <c r="T272" s="11" t="s">
        <v>49</v>
      </c>
      <c r="U272" s="11" t="s">
        <v>38</v>
      </c>
      <c r="V272" s="11">
        <v>2</v>
      </c>
      <c r="W272" s="11" t="s">
        <v>89</v>
      </c>
      <c r="X272" s="11" t="s">
        <v>3333</v>
      </c>
      <c r="Y272" s="11" t="s">
        <v>109</v>
      </c>
      <c r="Z272" s="11" t="s">
        <v>71</v>
      </c>
      <c r="AA272" s="11" t="s">
        <v>3261</v>
      </c>
    </row>
    <row r="273" spans="1:27">
      <c r="A273" s="11" t="s">
        <v>1203</v>
      </c>
      <c r="B273" s="11" t="s">
        <v>1204</v>
      </c>
      <c r="C273" s="11" t="s">
        <v>27</v>
      </c>
      <c r="D273" s="19">
        <v>89</v>
      </c>
      <c r="E273" s="11" t="s">
        <v>92</v>
      </c>
      <c r="F273" s="11" t="s">
        <v>29</v>
      </c>
      <c r="G273" s="11" t="s">
        <v>168</v>
      </c>
      <c r="H273" s="12">
        <v>46123</v>
      </c>
      <c r="I273" s="12" t="str">
        <f t="shared" si="4"/>
        <v>April</v>
      </c>
      <c r="J273" s="24">
        <v>0.42291666666666666</v>
      </c>
      <c r="K273" s="19">
        <v>24</v>
      </c>
      <c r="L273" s="12">
        <v>46124</v>
      </c>
      <c r="M273" s="24">
        <v>0.63124999999999998</v>
      </c>
      <c r="N273" s="11">
        <v>29</v>
      </c>
      <c r="O273" s="11" t="s">
        <v>34</v>
      </c>
      <c r="P273" s="11" t="s">
        <v>270</v>
      </c>
      <c r="Q273" s="11" t="s">
        <v>271</v>
      </c>
      <c r="R273" s="11" t="s">
        <v>36</v>
      </c>
      <c r="S273" s="19">
        <v>50</v>
      </c>
      <c r="T273" s="11" t="s">
        <v>49</v>
      </c>
      <c r="U273" s="11" t="s">
        <v>164</v>
      </c>
      <c r="V273" s="11">
        <v>1</v>
      </c>
      <c r="W273" s="11" t="s">
        <v>89</v>
      </c>
      <c r="X273" s="11" t="s">
        <v>51</v>
      </c>
      <c r="Y273" s="11" t="s">
        <v>41</v>
      </c>
      <c r="Z273" s="11" t="s">
        <v>53</v>
      </c>
      <c r="AA273" s="11" t="s">
        <v>3254</v>
      </c>
    </row>
    <row r="274" spans="1:27">
      <c r="A274" s="11" t="s">
        <v>1206</v>
      </c>
      <c r="B274" s="11" t="s">
        <v>1207</v>
      </c>
      <c r="C274" s="11" t="s">
        <v>27</v>
      </c>
      <c r="D274" s="19">
        <v>46</v>
      </c>
      <c r="E274" s="11" t="s">
        <v>173</v>
      </c>
      <c r="F274" s="11" t="s">
        <v>29</v>
      </c>
      <c r="G274" s="11" t="s">
        <v>168</v>
      </c>
      <c r="H274" s="12">
        <v>46186</v>
      </c>
      <c r="I274" s="12" t="str">
        <f t="shared" si="4"/>
        <v>June</v>
      </c>
      <c r="J274" s="24">
        <v>0.49930555555555556</v>
      </c>
      <c r="K274" s="19">
        <v>4</v>
      </c>
      <c r="L274" s="12">
        <v>46186</v>
      </c>
      <c r="M274" s="24">
        <v>0.99930555555555556</v>
      </c>
      <c r="N274" s="11">
        <v>12</v>
      </c>
      <c r="O274" s="11" t="s">
        <v>34</v>
      </c>
      <c r="P274" s="11" t="s">
        <v>35</v>
      </c>
      <c r="Q274" s="11"/>
      <c r="R274" s="11" t="s">
        <v>36</v>
      </c>
      <c r="S274" s="19">
        <v>25</v>
      </c>
      <c r="T274" s="11" t="s">
        <v>37</v>
      </c>
      <c r="U274" s="11" t="s">
        <v>96</v>
      </c>
      <c r="V274" s="11">
        <v>2</v>
      </c>
      <c r="W274" s="11" t="s">
        <v>39</v>
      </c>
      <c r="X274" s="11" t="s">
        <v>51</v>
      </c>
      <c r="Y274" s="11" t="s">
        <v>109</v>
      </c>
      <c r="Z274" s="11" t="s">
        <v>71</v>
      </c>
      <c r="AA274" s="11" t="s">
        <v>3234</v>
      </c>
    </row>
    <row r="275" spans="1:27">
      <c r="A275" s="11" t="s">
        <v>1209</v>
      </c>
      <c r="B275" s="11" t="s">
        <v>1210</v>
      </c>
      <c r="C275" s="11" t="s">
        <v>56</v>
      </c>
      <c r="D275" s="19">
        <v>53</v>
      </c>
      <c r="E275" s="11" t="s">
        <v>57</v>
      </c>
      <c r="F275" s="11" t="s">
        <v>29</v>
      </c>
      <c r="G275" s="11" t="s">
        <v>58</v>
      </c>
      <c r="H275" s="12">
        <v>46107</v>
      </c>
      <c r="I275" s="12" t="str">
        <f t="shared" si="4"/>
        <v>March</v>
      </c>
      <c r="J275" s="24">
        <v>0.53333333333333333</v>
      </c>
      <c r="K275" s="19">
        <v>3</v>
      </c>
      <c r="L275" s="12">
        <v>46107</v>
      </c>
      <c r="M275" s="24">
        <v>0.95</v>
      </c>
      <c r="N275" s="11">
        <v>10</v>
      </c>
      <c r="O275" s="11" t="s">
        <v>34</v>
      </c>
      <c r="P275" s="11" t="s">
        <v>35</v>
      </c>
      <c r="Q275" s="11"/>
      <c r="R275" s="11" t="s">
        <v>36</v>
      </c>
      <c r="S275" s="19">
        <v>15</v>
      </c>
      <c r="T275" s="11" t="s">
        <v>49</v>
      </c>
      <c r="U275" s="11" t="s">
        <v>38</v>
      </c>
      <c r="V275" s="11">
        <v>3</v>
      </c>
      <c r="W275" s="11" t="s">
        <v>89</v>
      </c>
      <c r="X275" s="11" t="s">
        <v>3325</v>
      </c>
      <c r="Y275" s="11" t="s">
        <v>52</v>
      </c>
      <c r="Z275" s="11" t="s">
        <v>42</v>
      </c>
      <c r="AA275" s="11"/>
    </row>
    <row r="276" spans="1:27">
      <c r="A276" s="11" t="s">
        <v>1211</v>
      </c>
      <c r="B276" s="11" t="s">
        <v>1212</v>
      </c>
      <c r="C276" s="11" t="s">
        <v>56</v>
      </c>
      <c r="D276" s="19">
        <v>30</v>
      </c>
      <c r="E276" s="11" t="s">
        <v>173</v>
      </c>
      <c r="F276" s="11" t="s">
        <v>29</v>
      </c>
      <c r="G276" s="11" t="s">
        <v>83</v>
      </c>
      <c r="H276" s="12">
        <v>46106</v>
      </c>
      <c r="I276" s="12" t="str">
        <f t="shared" si="4"/>
        <v>March</v>
      </c>
      <c r="J276" s="24">
        <v>0.41388888888888886</v>
      </c>
      <c r="K276" s="19">
        <v>4</v>
      </c>
      <c r="L276" s="12">
        <v>46106</v>
      </c>
      <c r="M276" s="24">
        <v>0.7055555555555556</v>
      </c>
      <c r="N276" s="11">
        <v>7</v>
      </c>
      <c r="O276" s="11" t="s">
        <v>34</v>
      </c>
      <c r="P276" s="11" t="s">
        <v>35</v>
      </c>
      <c r="Q276" s="11"/>
      <c r="R276" s="11" t="s">
        <v>36</v>
      </c>
      <c r="S276" s="19">
        <v>25</v>
      </c>
      <c r="T276" s="11" t="s">
        <v>49</v>
      </c>
      <c r="U276" s="11" t="s">
        <v>96</v>
      </c>
      <c r="V276" s="11">
        <v>1</v>
      </c>
      <c r="W276" s="11" t="s">
        <v>89</v>
      </c>
      <c r="X276" s="11" t="s">
        <v>3334</v>
      </c>
      <c r="Y276" s="11" t="s">
        <v>52</v>
      </c>
      <c r="Z276" s="11" t="s">
        <v>42</v>
      </c>
      <c r="AA276" s="11" t="s">
        <v>3234</v>
      </c>
    </row>
    <row r="277" spans="1:27">
      <c r="A277" s="11" t="s">
        <v>1215</v>
      </c>
      <c r="B277" s="11" t="s">
        <v>1216</v>
      </c>
      <c r="C277" s="11" t="s">
        <v>27</v>
      </c>
      <c r="D277" s="19">
        <v>76</v>
      </c>
      <c r="E277" s="11" t="s">
        <v>28</v>
      </c>
      <c r="F277" s="11" t="s">
        <v>29</v>
      </c>
      <c r="G277" s="11" t="s">
        <v>30</v>
      </c>
      <c r="H277" s="12">
        <v>46036</v>
      </c>
      <c r="I277" s="12" t="str">
        <f t="shared" si="4"/>
        <v>January</v>
      </c>
      <c r="J277" s="24">
        <v>0.32916666666666666</v>
      </c>
      <c r="K277" s="19">
        <v>5</v>
      </c>
      <c r="L277" s="12">
        <v>46036</v>
      </c>
      <c r="M277" s="24">
        <v>0.70416666666666672</v>
      </c>
      <c r="N277" s="11">
        <v>9</v>
      </c>
      <c r="O277" s="11" t="s">
        <v>34</v>
      </c>
      <c r="P277" s="11" t="s">
        <v>270</v>
      </c>
      <c r="Q277" s="11" t="s">
        <v>620</v>
      </c>
      <c r="R277" s="11" t="s">
        <v>36</v>
      </c>
      <c r="S277" s="19">
        <v>35</v>
      </c>
      <c r="T277" s="11" t="s">
        <v>49</v>
      </c>
      <c r="U277" s="11" t="s">
        <v>38</v>
      </c>
      <c r="V277" s="11">
        <v>4</v>
      </c>
      <c r="W277" s="11" t="s">
        <v>62</v>
      </c>
      <c r="X277" s="11" t="s">
        <v>3334</v>
      </c>
      <c r="Y277" s="11" t="s">
        <v>109</v>
      </c>
      <c r="Z277" s="11" t="s">
        <v>53</v>
      </c>
      <c r="AA277" s="11" t="s">
        <v>3251</v>
      </c>
    </row>
    <row r="278" spans="1:27">
      <c r="A278" s="11" t="s">
        <v>1219</v>
      </c>
      <c r="B278" s="11" t="s">
        <v>1220</v>
      </c>
      <c r="C278" s="11" t="s">
        <v>56</v>
      </c>
      <c r="D278" s="19">
        <v>5</v>
      </c>
      <c r="E278" s="11" t="s">
        <v>28</v>
      </c>
      <c r="F278" s="11" t="s">
        <v>29</v>
      </c>
      <c r="G278" s="11" t="s">
        <v>93</v>
      </c>
      <c r="H278" s="12">
        <v>46157</v>
      </c>
      <c r="I278" s="12" t="str">
        <f t="shared" si="4"/>
        <v>May</v>
      </c>
      <c r="J278" s="24">
        <v>0.56736111111111109</v>
      </c>
      <c r="K278" s="19">
        <v>5</v>
      </c>
      <c r="L278" s="12">
        <v>46157</v>
      </c>
      <c r="M278" s="24">
        <v>0.73402777777777772</v>
      </c>
      <c r="N278" s="11">
        <v>4</v>
      </c>
      <c r="O278" s="11" t="s">
        <v>68</v>
      </c>
      <c r="P278" s="11" t="s">
        <v>35</v>
      </c>
      <c r="Q278" s="11"/>
      <c r="R278" s="11" t="s">
        <v>36</v>
      </c>
      <c r="S278" s="19">
        <v>35</v>
      </c>
      <c r="T278" s="11" t="s">
        <v>37</v>
      </c>
      <c r="U278" s="11" t="s">
        <v>38</v>
      </c>
      <c r="V278" s="11">
        <v>4</v>
      </c>
      <c r="W278" s="11" t="s">
        <v>39</v>
      </c>
      <c r="X278" s="11" t="s">
        <v>3325</v>
      </c>
      <c r="Y278" s="11" t="s">
        <v>109</v>
      </c>
      <c r="Z278" s="11" t="s">
        <v>53</v>
      </c>
      <c r="AA278" s="11" t="s">
        <v>3234</v>
      </c>
    </row>
    <row r="279" spans="1:27">
      <c r="A279" s="11" t="s">
        <v>1223</v>
      </c>
      <c r="B279" s="11" t="s">
        <v>1224</v>
      </c>
      <c r="C279" s="11" t="s">
        <v>56</v>
      </c>
      <c r="D279" s="19">
        <v>57</v>
      </c>
      <c r="E279" s="11" t="s">
        <v>92</v>
      </c>
      <c r="F279" s="11" t="s">
        <v>29</v>
      </c>
      <c r="G279" s="11" t="s">
        <v>93</v>
      </c>
      <c r="H279" s="12">
        <v>46082</v>
      </c>
      <c r="I279" s="12" t="str">
        <f t="shared" si="4"/>
        <v>March</v>
      </c>
      <c r="J279" s="24">
        <v>0.44930555555555557</v>
      </c>
      <c r="K279" s="19">
        <v>24</v>
      </c>
      <c r="L279" s="12">
        <v>46083</v>
      </c>
      <c r="M279" s="24">
        <v>0.65763888888888888</v>
      </c>
      <c r="N279" s="11">
        <v>29</v>
      </c>
      <c r="O279" s="11" t="s">
        <v>34</v>
      </c>
      <c r="P279" s="11" t="s">
        <v>35</v>
      </c>
      <c r="Q279" s="11"/>
      <c r="R279" s="11" t="s">
        <v>36</v>
      </c>
      <c r="S279" s="19">
        <v>50</v>
      </c>
      <c r="T279" s="11" t="s">
        <v>49</v>
      </c>
      <c r="U279" s="11" t="s">
        <v>96</v>
      </c>
      <c r="V279" s="11">
        <v>4</v>
      </c>
      <c r="W279" s="11" t="s">
        <v>39</v>
      </c>
      <c r="X279" s="11" t="s">
        <v>3325</v>
      </c>
      <c r="Y279" s="11" t="s">
        <v>52</v>
      </c>
      <c r="Z279" s="11" t="s">
        <v>53</v>
      </c>
      <c r="AA279" s="11" t="s">
        <v>3229</v>
      </c>
    </row>
    <row r="280" spans="1:27">
      <c r="A280" s="11" t="s">
        <v>1226</v>
      </c>
      <c r="B280" s="11" t="s">
        <v>1227</v>
      </c>
      <c r="C280" s="11" t="s">
        <v>56</v>
      </c>
      <c r="D280" s="19">
        <v>44</v>
      </c>
      <c r="E280" s="11" t="s">
        <v>28</v>
      </c>
      <c r="F280" s="11" t="s">
        <v>29</v>
      </c>
      <c r="G280" s="11" t="s">
        <v>168</v>
      </c>
      <c r="H280" s="12">
        <v>46060</v>
      </c>
      <c r="I280" s="12" t="str">
        <f t="shared" si="4"/>
        <v>February</v>
      </c>
      <c r="J280" s="24">
        <v>0.3347222222222222</v>
      </c>
      <c r="K280" s="19">
        <v>5</v>
      </c>
      <c r="L280" s="12">
        <v>46060</v>
      </c>
      <c r="M280" s="24">
        <v>0.50138888888888888</v>
      </c>
      <c r="N280" s="11">
        <v>4</v>
      </c>
      <c r="O280" s="11" t="s">
        <v>68</v>
      </c>
      <c r="P280" s="11" t="s">
        <v>35</v>
      </c>
      <c r="Q280" s="11"/>
      <c r="R280" s="11" t="s">
        <v>36</v>
      </c>
      <c r="S280" s="19">
        <v>35</v>
      </c>
      <c r="T280" s="11" t="s">
        <v>37</v>
      </c>
      <c r="U280" s="11" t="s">
        <v>38</v>
      </c>
      <c r="V280" s="11">
        <v>4</v>
      </c>
      <c r="W280" s="11" t="s">
        <v>39</v>
      </c>
      <c r="X280" s="11" t="s">
        <v>51</v>
      </c>
      <c r="Y280" s="11" t="s">
        <v>109</v>
      </c>
      <c r="Z280" s="11" t="s">
        <v>42</v>
      </c>
      <c r="AA280" s="11" t="s">
        <v>3234</v>
      </c>
    </row>
    <row r="281" spans="1:27">
      <c r="A281" s="11" t="s">
        <v>1230</v>
      </c>
      <c r="B281" s="11" t="s">
        <v>1231</v>
      </c>
      <c r="C281" s="11" t="s">
        <v>27</v>
      </c>
      <c r="D281" s="19">
        <v>29</v>
      </c>
      <c r="E281" s="11" t="s">
        <v>57</v>
      </c>
      <c r="F281" s="11" t="s">
        <v>29</v>
      </c>
      <c r="G281" s="11" t="s">
        <v>93</v>
      </c>
      <c r="H281" s="12">
        <v>46132</v>
      </c>
      <c r="I281" s="12" t="str">
        <f t="shared" si="4"/>
        <v>April</v>
      </c>
      <c r="J281" s="24">
        <v>0.35</v>
      </c>
      <c r="K281" s="19">
        <v>3</v>
      </c>
      <c r="L281" s="12">
        <v>46132</v>
      </c>
      <c r="M281" s="24">
        <v>0.68333333333333335</v>
      </c>
      <c r="N281" s="11">
        <v>8</v>
      </c>
      <c r="O281" s="11" t="s">
        <v>34</v>
      </c>
      <c r="P281" s="11" t="s">
        <v>35</v>
      </c>
      <c r="Q281" s="11"/>
      <c r="R281" s="11" t="s">
        <v>36</v>
      </c>
      <c r="S281" s="19">
        <v>15</v>
      </c>
      <c r="T281" s="11" t="s">
        <v>37</v>
      </c>
      <c r="U281" s="11" t="s">
        <v>164</v>
      </c>
      <c r="V281" s="11">
        <v>2</v>
      </c>
      <c r="W281" s="11" t="s">
        <v>39</v>
      </c>
      <c r="X281" s="11" t="s">
        <v>3325</v>
      </c>
      <c r="Y281" s="11" t="s">
        <v>41</v>
      </c>
      <c r="Z281" s="11" t="s">
        <v>53</v>
      </c>
      <c r="AA281" s="11" t="s">
        <v>3234</v>
      </c>
    </row>
    <row r="282" spans="1:27">
      <c r="A282" s="11" t="s">
        <v>1233</v>
      </c>
      <c r="B282" s="11" t="s">
        <v>1234</v>
      </c>
      <c r="C282" s="11" t="s">
        <v>27</v>
      </c>
      <c r="D282" s="19">
        <v>34</v>
      </c>
      <c r="E282" s="11" t="s">
        <v>173</v>
      </c>
      <c r="F282" s="11" t="s">
        <v>29</v>
      </c>
      <c r="G282" s="11" t="s">
        <v>83</v>
      </c>
      <c r="H282" s="12">
        <v>46178</v>
      </c>
      <c r="I282" s="12" t="str">
        <f t="shared" si="4"/>
        <v>June</v>
      </c>
      <c r="J282" s="24">
        <v>0.51666666666666672</v>
      </c>
      <c r="K282" s="19">
        <v>4</v>
      </c>
      <c r="L282" s="12">
        <v>46179</v>
      </c>
      <c r="M282" s="24">
        <v>1.6666666666666666E-2</v>
      </c>
      <c r="N282" s="11">
        <v>12</v>
      </c>
      <c r="O282" s="11" t="s">
        <v>34</v>
      </c>
      <c r="P282" s="11" t="s">
        <v>35</v>
      </c>
      <c r="Q282" s="11"/>
      <c r="R282" s="11" t="s">
        <v>36</v>
      </c>
      <c r="S282" s="19">
        <v>25</v>
      </c>
      <c r="T282" s="11" t="s">
        <v>49</v>
      </c>
      <c r="U282" s="11" t="s">
        <v>96</v>
      </c>
      <c r="V282" s="11">
        <v>4</v>
      </c>
      <c r="W282" s="11" t="s">
        <v>89</v>
      </c>
      <c r="X282" s="11" t="s">
        <v>3333</v>
      </c>
      <c r="Y282" s="11" t="s">
        <v>41</v>
      </c>
      <c r="Z282" s="11" t="s">
        <v>42</v>
      </c>
      <c r="AA282" s="11" t="s">
        <v>3234</v>
      </c>
    </row>
    <row r="283" spans="1:27">
      <c r="A283" s="11" t="s">
        <v>1238</v>
      </c>
      <c r="B283" s="11" t="s">
        <v>1239</v>
      </c>
      <c r="C283" s="11" t="s">
        <v>27</v>
      </c>
      <c r="D283" s="19">
        <v>21</v>
      </c>
      <c r="E283" s="11" t="s">
        <v>28</v>
      </c>
      <c r="F283" s="11" t="s">
        <v>29</v>
      </c>
      <c r="G283" s="11" t="s">
        <v>83</v>
      </c>
      <c r="H283" s="12">
        <v>46071</v>
      </c>
      <c r="I283" s="12" t="str">
        <f t="shared" si="4"/>
        <v>February</v>
      </c>
      <c r="J283" s="24">
        <v>0.64166666666666672</v>
      </c>
      <c r="K283" s="19">
        <v>5</v>
      </c>
      <c r="L283" s="12">
        <v>46072</v>
      </c>
      <c r="M283" s="24">
        <v>1.6666666666666666E-2</v>
      </c>
      <c r="N283" s="11">
        <v>9</v>
      </c>
      <c r="O283" s="11" t="s">
        <v>34</v>
      </c>
      <c r="P283" s="11" t="s">
        <v>35</v>
      </c>
      <c r="Q283" s="11"/>
      <c r="R283" s="11" t="s">
        <v>36</v>
      </c>
      <c r="S283" s="19">
        <v>35</v>
      </c>
      <c r="T283" s="11" t="s">
        <v>49</v>
      </c>
      <c r="U283" s="11" t="s">
        <v>38</v>
      </c>
      <c r="V283" s="11">
        <v>2</v>
      </c>
      <c r="W283" s="11" t="s">
        <v>39</v>
      </c>
      <c r="X283" s="11" t="s">
        <v>3334</v>
      </c>
      <c r="Y283" s="11" t="s">
        <v>109</v>
      </c>
      <c r="Z283" s="11" t="s">
        <v>42</v>
      </c>
      <c r="AA283" s="11" t="s">
        <v>3234</v>
      </c>
    </row>
    <row r="284" spans="1:27">
      <c r="A284" s="11" t="s">
        <v>1242</v>
      </c>
      <c r="B284" s="11" t="s">
        <v>1243</v>
      </c>
      <c r="C284" s="11" t="s">
        <v>27</v>
      </c>
      <c r="D284" s="19">
        <v>17</v>
      </c>
      <c r="E284" s="11" t="s">
        <v>28</v>
      </c>
      <c r="F284" s="11" t="s">
        <v>29</v>
      </c>
      <c r="G284" s="11" t="s">
        <v>30</v>
      </c>
      <c r="H284" s="12">
        <v>46070</v>
      </c>
      <c r="I284" s="12" t="str">
        <f t="shared" si="4"/>
        <v>February</v>
      </c>
      <c r="J284" s="24">
        <v>0.37777777777777777</v>
      </c>
      <c r="K284" s="19">
        <v>5</v>
      </c>
      <c r="L284" s="12">
        <v>46070</v>
      </c>
      <c r="M284" s="24">
        <v>0.7944444444444444</v>
      </c>
      <c r="N284" s="11">
        <v>10</v>
      </c>
      <c r="O284" s="11" t="s">
        <v>34</v>
      </c>
      <c r="P284" s="11" t="s">
        <v>35</v>
      </c>
      <c r="Q284" s="11"/>
      <c r="R284" s="11" t="s">
        <v>36</v>
      </c>
      <c r="S284" s="19">
        <v>35</v>
      </c>
      <c r="T284" s="11" t="s">
        <v>49</v>
      </c>
      <c r="U284" s="11" t="s">
        <v>38</v>
      </c>
      <c r="V284" s="11">
        <v>1</v>
      </c>
      <c r="W284" s="11" t="s">
        <v>70</v>
      </c>
      <c r="X284" s="11" t="s">
        <v>3333</v>
      </c>
      <c r="Y284" s="11" t="s">
        <v>109</v>
      </c>
      <c r="Z284" s="11" t="s">
        <v>42</v>
      </c>
      <c r="AA284" s="11" t="str">
        <f>IF(A284=" ", "Missing Value", " ")</f>
        <v xml:space="preserve"> </v>
      </c>
    </row>
    <row r="285" spans="1:27">
      <c r="A285" s="11" t="s">
        <v>1246</v>
      </c>
      <c r="B285" s="11" t="s">
        <v>1247</v>
      </c>
      <c r="C285" s="11" t="s">
        <v>56</v>
      </c>
      <c r="D285" s="19">
        <v>30</v>
      </c>
      <c r="E285" s="11" t="s">
        <v>57</v>
      </c>
      <c r="F285" s="11" t="s">
        <v>29</v>
      </c>
      <c r="G285" s="11" t="s">
        <v>58</v>
      </c>
      <c r="H285" s="12">
        <v>46049</v>
      </c>
      <c r="I285" s="12" t="str">
        <f t="shared" si="4"/>
        <v>January</v>
      </c>
      <c r="J285" s="24">
        <v>0.59513888888888888</v>
      </c>
      <c r="K285" s="19">
        <v>3</v>
      </c>
      <c r="L285" s="12">
        <v>46049</v>
      </c>
      <c r="M285" s="24">
        <v>0.72013888888888888</v>
      </c>
      <c r="N285" s="11">
        <v>3</v>
      </c>
      <c r="O285" s="11" t="s">
        <v>68</v>
      </c>
      <c r="P285" s="11" t="s">
        <v>35</v>
      </c>
      <c r="Q285" s="11"/>
      <c r="R285" s="11" t="s">
        <v>36</v>
      </c>
      <c r="S285" s="19">
        <v>15</v>
      </c>
      <c r="T285" s="11" t="s">
        <v>49</v>
      </c>
      <c r="U285" s="11" t="s">
        <v>38</v>
      </c>
      <c r="V285" s="11">
        <v>4</v>
      </c>
      <c r="W285" s="11" t="s">
        <v>39</v>
      </c>
      <c r="X285" s="11" t="s">
        <v>3325</v>
      </c>
      <c r="Y285" s="11" t="s">
        <v>52</v>
      </c>
      <c r="Z285" s="11" t="s">
        <v>71</v>
      </c>
      <c r="AA285" s="11"/>
    </row>
    <row r="286" spans="1:27">
      <c r="A286" s="11" t="s">
        <v>1250</v>
      </c>
      <c r="B286" s="11" t="s">
        <v>1251</v>
      </c>
      <c r="C286" s="11" t="s">
        <v>27</v>
      </c>
      <c r="D286" s="19">
        <v>74</v>
      </c>
      <c r="E286" s="11" t="s">
        <v>81</v>
      </c>
      <c r="F286" s="11" t="s">
        <v>82</v>
      </c>
      <c r="G286" s="11" t="s">
        <v>83</v>
      </c>
      <c r="H286" s="12">
        <v>46087</v>
      </c>
      <c r="I286" s="12" t="str">
        <f t="shared" si="4"/>
        <v>March</v>
      </c>
      <c r="J286" s="24">
        <v>0.7006944444444444</v>
      </c>
      <c r="K286" s="19">
        <v>8</v>
      </c>
      <c r="L286" s="12">
        <v>46088</v>
      </c>
      <c r="M286" s="24">
        <v>0.11736111111111111</v>
      </c>
      <c r="N286" s="11">
        <v>10</v>
      </c>
      <c r="O286" s="11" t="s">
        <v>34</v>
      </c>
      <c r="P286" s="11" t="s">
        <v>35</v>
      </c>
      <c r="Q286" s="11"/>
      <c r="R286" s="11" t="s">
        <v>36</v>
      </c>
      <c r="S286" s="19">
        <v>20</v>
      </c>
      <c r="T286" s="11" t="s">
        <v>49</v>
      </c>
      <c r="U286" s="11" t="s">
        <v>96</v>
      </c>
      <c r="V286" s="11">
        <v>3</v>
      </c>
      <c r="W286" s="11" t="s">
        <v>39</v>
      </c>
      <c r="X286" s="11" t="s">
        <v>3325</v>
      </c>
      <c r="Y286" s="11" t="s">
        <v>109</v>
      </c>
      <c r="Z286" s="11" t="s">
        <v>53</v>
      </c>
      <c r="AA286" s="11" t="str">
        <f>IF(A286=" ", "Missing Value", " ")</f>
        <v xml:space="preserve"> </v>
      </c>
    </row>
    <row r="287" spans="1:27">
      <c r="A287" s="11" t="s">
        <v>1253</v>
      </c>
      <c r="B287" s="11" t="s">
        <v>1254</v>
      </c>
      <c r="C287" s="11" t="s">
        <v>27</v>
      </c>
      <c r="D287" s="19">
        <v>10</v>
      </c>
      <c r="E287" s="11" t="s">
        <v>149</v>
      </c>
      <c r="F287" s="11" t="s">
        <v>29</v>
      </c>
      <c r="G287" s="11" t="s">
        <v>30</v>
      </c>
      <c r="H287" s="12">
        <v>46145</v>
      </c>
      <c r="I287" s="12" t="str">
        <f t="shared" si="4"/>
        <v>May</v>
      </c>
      <c r="J287" s="24">
        <v>0.41319444444444442</v>
      </c>
      <c r="K287" s="19">
        <v>6</v>
      </c>
      <c r="L287" s="12">
        <v>46145</v>
      </c>
      <c r="M287" s="24">
        <v>0.87152777777777779</v>
      </c>
      <c r="N287" s="11">
        <v>11</v>
      </c>
      <c r="O287" s="11" t="s">
        <v>34</v>
      </c>
      <c r="P287" s="11" t="s">
        <v>35</v>
      </c>
      <c r="Q287" s="11"/>
      <c r="R287" s="11" t="s">
        <v>36</v>
      </c>
      <c r="S287" s="19">
        <v>40</v>
      </c>
      <c r="T287" s="11" t="s">
        <v>37</v>
      </c>
      <c r="U287" s="11" t="s">
        <v>96</v>
      </c>
      <c r="V287" s="11">
        <v>3</v>
      </c>
      <c r="W287" s="11" t="s">
        <v>89</v>
      </c>
      <c r="X287" s="11" t="s">
        <v>3334</v>
      </c>
      <c r="Y287" s="11" t="s">
        <v>109</v>
      </c>
      <c r="Z287" s="11" t="s">
        <v>71</v>
      </c>
      <c r="AA287" s="11" t="str">
        <f>IF(A287=" ", "Missing Value", " ")</f>
        <v xml:space="preserve"> </v>
      </c>
    </row>
    <row r="288" spans="1:27">
      <c r="A288" s="11" t="s">
        <v>1257</v>
      </c>
      <c r="B288" s="11" t="s">
        <v>1258</v>
      </c>
      <c r="C288" s="11" t="s">
        <v>27</v>
      </c>
      <c r="D288" s="19">
        <v>14</v>
      </c>
      <c r="E288" s="11" t="s">
        <v>57</v>
      </c>
      <c r="F288" s="11" t="s">
        <v>29</v>
      </c>
      <c r="G288" s="11" t="s">
        <v>168</v>
      </c>
      <c r="H288" s="12">
        <v>46070</v>
      </c>
      <c r="I288" s="12" t="str">
        <f t="shared" si="4"/>
        <v>February</v>
      </c>
      <c r="J288" s="24">
        <v>0.29722222222222222</v>
      </c>
      <c r="K288" s="19">
        <v>3</v>
      </c>
      <c r="L288" s="12">
        <v>46070</v>
      </c>
      <c r="M288" s="24">
        <v>0.67222222222222228</v>
      </c>
      <c r="N288" s="11">
        <v>9</v>
      </c>
      <c r="O288" s="11" t="s">
        <v>34</v>
      </c>
      <c r="P288" s="11" t="s">
        <v>35</v>
      </c>
      <c r="Q288" s="11"/>
      <c r="R288" s="11" t="s">
        <v>36</v>
      </c>
      <c r="S288" s="19">
        <v>15</v>
      </c>
      <c r="T288" s="11" t="s">
        <v>49</v>
      </c>
      <c r="U288" s="11" t="s">
        <v>164</v>
      </c>
      <c r="V288" s="11">
        <v>1</v>
      </c>
      <c r="W288" s="11" t="s">
        <v>39</v>
      </c>
      <c r="X288" s="11" t="s">
        <v>3325</v>
      </c>
      <c r="Y288" s="11" t="s">
        <v>52</v>
      </c>
      <c r="Z288" s="11" t="s">
        <v>71</v>
      </c>
      <c r="AA288" s="11" t="s">
        <v>3234</v>
      </c>
    </row>
    <row r="289" spans="1:27">
      <c r="A289" s="11" t="s">
        <v>1260</v>
      </c>
      <c r="B289" s="11" t="s">
        <v>1261</v>
      </c>
      <c r="C289" s="11" t="s">
        <v>27</v>
      </c>
      <c r="D289" s="19">
        <v>3</v>
      </c>
      <c r="E289" s="11" t="s">
        <v>28</v>
      </c>
      <c r="F289" s="11" t="s">
        <v>29</v>
      </c>
      <c r="G289" s="11" t="s">
        <v>58</v>
      </c>
      <c r="H289" s="12">
        <v>46103</v>
      </c>
      <c r="I289" s="12" t="str">
        <f t="shared" si="4"/>
        <v>March</v>
      </c>
      <c r="J289" s="24">
        <v>0.68888888888888888</v>
      </c>
      <c r="K289" s="19">
        <v>5</v>
      </c>
      <c r="L289" s="12">
        <v>46104</v>
      </c>
      <c r="M289" s="24">
        <v>0.14722222222222223</v>
      </c>
      <c r="N289" s="11">
        <v>11</v>
      </c>
      <c r="O289" s="11" t="s">
        <v>34</v>
      </c>
      <c r="P289" s="11" t="s">
        <v>35</v>
      </c>
      <c r="Q289" s="11"/>
      <c r="R289" s="11" t="s">
        <v>36</v>
      </c>
      <c r="S289" s="19">
        <v>35</v>
      </c>
      <c r="T289" s="11" t="s">
        <v>37</v>
      </c>
      <c r="U289" s="11" t="s">
        <v>38</v>
      </c>
      <c r="V289" s="11">
        <v>3</v>
      </c>
      <c r="W289" s="11" t="s">
        <v>70</v>
      </c>
      <c r="X289" s="11" t="s">
        <v>3325</v>
      </c>
      <c r="Y289" s="11" t="s">
        <v>52</v>
      </c>
      <c r="Z289" s="11" t="s">
        <v>71</v>
      </c>
      <c r="AA289" s="11" t="s">
        <v>3234</v>
      </c>
    </row>
    <row r="290" spans="1:27">
      <c r="A290" s="11" t="s">
        <v>1264</v>
      </c>
      <c r="B290" s="11" t="s">
        <v>1265</v>
      </c>
      <c r="C290" s="11" t="s">
        <v>27</v>
      </c>
      <c r="D290" s="19">
        <v>12</v>
      </c>
      <c r="E290" s="11" t="s">
        <v>173</v>
      </c>
      <c r="F290" s="11" t="s">
        <v>29</v>
      </c>
      <c r="G290" s="11" t="s">
        <v>83</v>
      </c>
      <c r="H290" s="12">
        <v>46155</v>
      </c>
      <c r="I290" s="12" t="str">
        <f t="shared" si="4"/>
        <v>May</v>
      </c>
      <c r="J290" s="24">
        <v>0.62083333333333335</v>
      </c>
      <c r="K290" s="19">
        <v>4</v>
      </c>
      <c r="L290" s="12">
        <v>46155</v>
      </c>
      <c r="M290" s="24">
        <v>0.74583333333333335</v>
      </c>
      <c r="N290" s="11">
        <v>3</v>
      </c>
      <c r="O290" s="11" t="s">
        <v>68</v>
      </c>
      <c r="P290" s="11" t="s">
        <v>35</v>
      </c>
      <c r="Q290" s="11"/>
      <c r="R290" s="11" t="s">
        <v>36</v>
      </c>
      <c r="S290" s="19">
        <v>25</v>
      </c>
      <c r="T290" s="11" t="s">
        <v>49</v>
      </c>
      <c r="U290" s="11" t="s">
        <v>164</v>
      </c>
      <c r="V290" s="11">
        <v>3</v>
      </c>
      <c r="W290" s="11" t="s">
        <v>70</v>
      </c>
      <c r="X290" s="11" t="s">
        <v>3325</v>
      </c>
      <c r="Y290" s="11" t="s">
        <v>52</v>
      </c>
      <c r="Z290" s="11" t="s">
        <v>42</v>
      </c>
      <c r="AA290" s="11" t="s">
        <v>3234</v>
      </c>
    </row>
    <row r="291" spans="1:27">
      <c r="A291" s="11" t="s">
        <v>1268</v>
      </c>
      <c r="B291" s="11" t="s">
        <v>1269</v>
      </c>
      <c r="C291" s="11" t="s">
        <v>56</v>
      </c>
      <c r="D291" s="19">
        <v>27</v>
      </c>
      <c r="E291" s="11" t="s">
        <v>81</v>
      </c>
      <c r="F291" s="11" t="s">
        <v>82</v>
      </c>
      <c r="G291" s="11" t="s">
        <v>83</v>
      </c>
      <c r="H291" s="12">
        <v>46126</v>
      </c>
      <c r="I291" s="12" t="str">
        <f t="shared" si="4"/>
        <v>April</v>
      </c>
      <c r="J291" s="24">
        <v>0.37986111111111109</v>
      </c>
      <c r="K291" s="19">
        <v>8</v>
      </c>
      <c r="L291" s="12">
        <v>46126</v>
      </c>
      <c r="M291" s="24">
        <v>0.67152777777777772</v>
      </c>
      <c r="N291" s="11">
        <v>7</v>
      </c>
      <c r="O291" s="11" t="s">
        <v>68</v>
      </c>
      <c r="P291" s="11" t="s">
        <v>35</v>
      </c>
      <c r="Q291" s="11"/>
      <c r="R291" s="11" t="s">
        <v>36</v>
      </c>
      <c r="S291" s="19">
        <v>20</v>
      </c>
      <c r="T291" s="11" t="s">
        <v>37</v>
      </c>
      <c r="U291" s="11" t="s">
        <v>38</v>
      </c>
      <c r="V291" s="11">
        <v>2</v>
      </c>
      <c r="W291" s="11" t="s">
        <v>39</v>
      </c>
      <c r="X291" s="11" t="s">
        <v>51</v>
      </c>
      <c r="Y291" s="11" t="s">
        <v>41</v>
      </c>
      <c r="Z291" s="11" t="s">
        <v>42</v>
      </c>
      <c r="AA291" s="11" t="str">
        <f>IF(A291=" ", "Missing Value", " ")</f>
        <v xml:space="preserve"> </v>
      </c>
    </row>
    <row r="292" spans="1:27">
      <c r="A292" s="11" t="s">
        <v>1272</v>
      </c>
      <c r="B292" s="11" t="s">
        <v>1273</v>
      </c>
      <c r="C292" s="11" t="s">
        <v>56</v>
      </c>
      <c r="D292" s="19">
        <v>86</v>
      </c>
      <c r="E292" s="11" t="s">
        <v>92</v>
      </c>
      <c r="F292" s="11" t="s">
        <v>29</v>
      </c>
      <c r="G292" s="11" t="s">
        <v>58</v>
      </c>
      <c r="H292" s="12">
        <v>46109</v>
      </c>
      <c r="I292" s="12" t="str">
        <f t="shared" si="4"/>
        <v>March</v>
      </c>
      <c r="J292" s="24">
        <v>0.55625000000000002</v>
      </c>
      <c r="K292" s="19">
        <v>24</v>
      </c>
      <c r="L292" s="12">
        <v>46110</v>
      </c>
      <c r="M292" s="24">
        <v>0.51458333333333328</v>
      </c>
      <c r="N292" s="11">
        <v>23</v>
      </c>
      <c r="O292" s="11" t="s">
        <v>68</v>
      </c>
      <c r="P292" s="11" t="s">
        <v>35</v>
      </c>
      <c r="Q292" s="11"/>
      <c r="R292" s="11" t="s">
        <v>36</v>
      </c>
      <c r="S292" s="19">
        <v>50</v>
      </c>
      <c r="T292" s="11" t="s">
        <v>49</v>
      </c>
      <c r="U292" s="11" t="s">
        <v>38</v>
      </c>
      <c r="V292" s="11">
        <v>3</v>
      </c>
      <c r="W292" s="11" t="s">
        <v>89</v>
      </c>
      <c r="X292" s="11" t="s">
        <v>3333</v>
      </c>
      <c r="Y292" s="11" t="s">
        <v>41</v>
      </c>
      <c r="Z292" s="11" t="s">
        <v>71</v>
      </c>
      <c r="AA292" s="11" t="s">
        <v>3242</v>
      </c>
    </row>
    <row r="293" spans="1:27">
      <c r="A293" s="11" t="s">
        <v>1275</v>
      </c>
      <c r="B293" s="11" t="s">
        <v>1276</v>
      </c>
      <c r="C293" s="11" t="s">
        <v>27</v>
      </c>
      <c r="D293" s="19">
        <v>33</v>
      </c>
      <c r="E293" s="11" t="s">
        <v>57</v>
      </c>
      <c r="F293" s="11" t="s">
        <v>29</v>
      </c>
      <c r="G293" s="11" t="s">
        <v>58</v>
      </c>
      <c r="H293" s="12">
        <v>46023</v>
      </c>
      <c r="I293" s="12" t="str">
        <f t="shared" si="4"/>
        <v>January</v>
      </c>
      <c r="J293" s="24">
        <v>0.6333333333333333</v>
      </c>
      <c r="K293" s="19">
        <v>3</v>
      </c>
      <c r="L293" s="12">
        <v>46023</v>
      </c>
      <c r="M293" s="24">
        <v>0.8833333333333333</v>
      </c>
      <c r="N293" s="11">
        <v>6</v>
      </c>
      <c r="O293" s="11" t="s">
        <v>34</v>
      </c>
      <c r="P293" s="11" t="s">
        <v>35</v>
      </c>
      <c r="Q293" s="11"/>
      <c r="R293" s="11" t="s">
        <v>36</v>
      </c>
      <c r="S293" s="19">
        <v>15</v>
      </c>
      <c r="T293" s="11" t="s">
        <v>37</v>
      </c>
      <c r="U293" s="11" t="s">
        <v>164</v>
      </c>
      <c r="V293" s="11">
        <v>5</v>
      </c>
      <c r="W293" s="11" t="s">
        <v>89</v>
      </c>
      <c r="X293" s="11" t="s">
        <v>51</v>
      </c>
      <c r="Y293" s="11" t="s">
        <v>41</v>
      </c>
      <c r="Z293" s="11" t="s">
        <v>71</v>
      </c>
      <c r="AA293" s="11"/>
    </row>
    <row r="294" spans="1:27">
      <c r="A294" s="11" t="s">
        <v>1278</v>
      </c>
      <c r="B294" s="11" t="s">
        <v>1279</v>
      </c>
      <c r="C294" s="11" t="s">
        <v>56</v>
      </c>
      <c r="D294" s="19">
        <v>65</v>
      </c>
      <c r="E294" s="11" t="s">
        <v>92</v>
      </c>
      <c r="F294" s="11" t="s">
        <v>29</v>
      </c>
      <c r="G294" s="11" t="s">
        <v>93</v>
      </c>
      <c r="H294" s="12">
        <v>46054</v>
      </c>
      <c r="I294" s="12" t="str">
        <f t="shared" si="4"/>
        <v>February</v>
      </c>
      <c r="J294" s="24">
        <v>0.36666666666666664</v>
      </c>
      <c r="K294" s="19">
        <v>24</v>
      </c>
      <c r="L294" s="12">
        <v>46055</v>
      </c>
      <c r="M294" s="24">
        <v>0.36666666666666664</v>
      </c>
      <c r="N294" s="11">
        <v>24</v>
      </c>
      <c r="O294" s="11" t="s">
        <v>68</v>
      </c>
      <c r="P294" s="11" t="s">
        <v>35</v>
      </c>
      <c r="Q294" s="11"/>
      <c r="R294" s="11" t="s">
        <v>36</v>
      </c>
      <c r="S294" s="19">
        <v>50</v>
      </c>
      <c r="T294" s="11" t="s">
        <v>49</v>
      </c>
      <c r="U294" s="11" t="s">
        <v>96</v>
      </c>
      <c r="V294" s="11">
        <v>2</v>
      </c>
      <c r="W294" s="11" t="s">
        <v>62</v>
      </c>
      <c r="X294" s="11" t="s">
        <v>3325</v>
      </c>
      <c r="Y294" s="11" t="s">
        <v>109</v>
      </c>
      <c r="Z294" s="11" t="s">
        <v>71</v>
      </c>
      <c r="AA294" s="11" t="s">
        <v>3229</v>
      </c>
    </row>
    <row r="295" spans="1:27">
      <c r="A295" s="11" t="s">
        <v>1281</v>
      </c>
      <c r="B295" s="11" t="s">
        <v>1282</v>
      </c>
      <c r="C295" s="11" t="s">
        <v>27</v>
      </c>
      <c r="D295" s="19">
        <v>36</v>
      </c>
      <c r="E295" s="11" t="s">
        <v>92</v>
      </c>
      <c r="F295" s="11" t="s">
        <v>29</v>
      </c>
      <c r="G295" s="11" t="s">
        <v>58</v>
      </c>
      <c r="H295" s="12">
        <v>46102</v>
      </c>
      <c r="I295" s="12" t="str">
        <f t="shared" si="4"/>
        <v>March</v>
      </c>
      <c r="J295" s="24">
        <v>0.44930555555555557</v>
      </c>
      <c r="K295" s="19">
        <v>24</v>
      </c>
      <c r="L295" s="12">
        <v>46103</v>
      </c>
      <c r="M295" s="24">
        <v>0.78263888888888888</v>
      </c>
      <c r="N295" s="11">
        <v>32</v>
      </c>
      <c r="O295" s="11" t="s">
        <v>34</v>
      </c>
      <c r="P295" s="11" t="s">
        <v>270</v>
      </c>
      <c r="Q295" s="11" t="s">
        <v>620</v>
      </c>
      <c r="R295" s="11" t="s">
        <v>36</v>
      </c>
      <c r="S295" s="19">
        <v>50</v>
      </c>
      <c r="T295" s="11" t="s">
        <v>37</v>
      </c>
      <c r="U295" s="11" t="s">
        <v>96</v>
      </c>
      <c r="V295" s="11">
        <v>4</v>
      </c>
      <c r="W295" s="11" t="s">
        <v>70</v>
      </c>
      <c r="X295" s="11" t="s">
        <v>3334</v>
      </c>
      <c r="Y295" s="11" t="s">
        <v>52</v>
      </c>
      <c r="Z295" s="11" t="s">
        <v>53</v>
      </c>
      <c r="AA295" s="11" t="s">
        <v>3254</v>
      </c>
    </row>
    <row r="296" spans="1:27">
      <c r="A296" s="11" t="s">
        <v>1285</v>
      </c>
      <c r="B296" s="11" t="s">
        <v>1286</v>
      </c>
      <c r="C296" s="11" t="s">
        <v>56</v>
      </c>
      <c r="D296" s="19">
        <v>33</v>
      </c>
      <c r="E296" s="11" t="s">
        <v>92</v>
      </c>
      <c r="F296" s="11" t="s">
        <v>29</v>
      </c>
      <c r="G296" s="11" t="s">
        <v>93</v>
      </c>
      <c r="H296" s="12">
        <v>46187</v>
      </c>
      <c r="I296" s="12" t="str">
        <f t="shared" si="4"/>
        <v>June</v>
      </c>
      <c r="J296" s="24">
        <v>0.54166666666666663</v>
      </c>
      <c r="K296" s="19">
        <v>24</v>
      </c>
      <c r="L296" s="12">
        <v>46188</v>
      </c>
      <c r="M296" s="24">
        <v>0.79166666666666663</v>
      </c>
      <c r="N296" s="11">
        <v>30</v>
      </c>
      <c r="O296" s="11" t="s">
        <v>34</v>
      </c>
      <c r="P296" s="11" t="s">
        <v>35</v>
      </c>
      <c r="Q296" s="11"/>
      <c r="R296" s="11" t="s">
        <v>36</v>
      </c>
      <c r="S296" s="19">
        <v>50</v>
      </c>
      <c r="T296" s="11" t="s">
        <v>37</v>
      </c>
      <c r="U296" s="11" t="s">
        <v>164</v>
      </c>
      <c r="V296" s="11">
        <v>1</v>
      </c>
      <c r="W296" s="11" t="s">
        <v>62</v>
      </c>
      <c r="X296" s="11" t="s">
        <v>3325</v>
      </c>
      <c r="Y296" s="11" t="s">
        <v>109</v>
      </c>
      <c r="Z296" s="11" t="s">
        <v>71</v>
      </c>
      <c r="AA296" s="11" t="s">
        <v>3229</v>
      </c>
    </row>
    <row r="297" spans="1:27">
      <c r="A297" s="11" t="s">
        <v>1288</v>
      </c>
      <c r="B297" s="11" t="s">
        <v>1289</v>
      </c>
      <c r="C297" s="11" t="s">
        <v>56</v>
      </c>
      <c r="D297" s="19">
        <v>68</v>
      </c>
      <c r="E297" s="11" t="s">
        <v>28</v>
      </c>
      <c r="F297" s="11" t="s">
        <v>29</v>
      </c>
      <c r="G297" s="11" t="s">
        <v>58</v>
      </c>
      <c r="H297" s="12">
        <v>46145</v>
      </c>
      <c r="I297" s="12" t="str">
        <f t="shared" si="4"/>
        <v>May</v>
      </c>
      <c r="J297" s="24">
        <v>0.40416666666666667</v>
      </c>
      <c r="K297" s="19">
        <v>5</v>
      </c>
      <c r="L297" s="12">
        <v>46145</v>
      </c>
      <c r="M297" s="24">
        <v>0.73750000000000004</v>
      </c>
      <c r="N297" s="11">
        <v>8</v>
      </c>
      <c r="O297" s="11" t="s">
        <v>34</v>
      </c>
      <c r="P297" s="11" t="s">
        <v>35</v>
      </c>
      <c r="Q297" s="11"/>
      <c r="R297" s="11" t="s">
        <v>36</v>
      </c>
      <c r="S297" s="19">
        <v>35</v>
      </c>
      <c r="T297" s="11" t="s">
        <v>49</v>
      </c>
      <c r="U297" s="11" t="s">
        <v>96</v>
      </c>
      <c r="V297" s="11">
        <v>2</v>
      </c>
      <c r="W297" s="11" t="s">
        <v>62</v>
      </c>
      <c r="X297" s="11" t="s">
        <v>3325</v>
      </c>
      <c r="Y297" s="11" t="s">
        <v>109</v>
      </c>
      <c r="Z297" s="11" t="s">
        <v>53</v>
      </c>
      <c r="AA297" s="11" t="s">
        <v>3234</v>
      </c>
    </row>
    <row r="298" spans="1:27">
      <c r="A298" s="11" t="s">
        <v>1291</v>
      </c>
      <c r="B298" s="11" t="s">
        <v>1292</v>
      </c>
      <c r="C298" s="11" t="s">
        <v>27</v>
      </c>
      <c r="D298" s="19">
        <v>51</v>
      </c>
      <c r="E298" s="11" t="s">
        <v>149</v>
      </c>
      <c r="F298" s="11" t="s">
        <v>29</v>
      </c>
      <c r="G298" s="11" t="s">
        <v>30</v>
      </c>
      <c r="H298" s="12">
        <v>46142</v>
      </c>
      <c r="I298" s="12" t="str">
        <f t="shared" si="4"/>
        <v>April</v>
      </c>
      <c r="J298" s="24">
        <v>0.41180555555555554</v>
      </c>
      <c r="K298" s="19">
        <v>6</v>
      </c>
      <c r="L298" s="12">
        <v>46142</v>
      </c>
      <c r="M298" s="24">
        <v>0.91180555555555554</v>
      </c>
      <c r="N298" s="11">
        <v>12</v>
      </c>
      <c r="O298" s="11" t="s">
        <v>34</v>
      </c>
      <c r="P298" s="11" t="s">
        <v>35</v>
      </c>
      <c r="Q298" s="11"/>
      <c r="R298" s="11" t="s">
        <v>132</v>
      </c>
      <c r="S298" s="19">
        <v>40</v>
      </c>
      <c r="T298" s="11" t="s">
        <v>37</v>
      </c>
      <c r="U298" s="11" t="s">
        <v>96</v>
      </c>
      <c r="V298" s="11">
        <v>2</v>
      </c>
      <c r="W298" s="11" t="s">
        <v>62</v>
      </c>
      <c r="X298" s="11" t="s">
        <v>3325</v>
      </c>
      <c r="Y298" s="11" t="s">
        <v>41</v>
      </c>
      <c r="Z298" s="11" t="s">
        <v>53</v>
      </c>
      <c r="AA298" s="11" t="s">
        <v>3262</v>
      </c>
    </row>
    <row r="299" spans="1:27">
      <c r="A299" s="11" t="s">
        <v>1294</v>
      </c>
      <c r="B299" s="11" t="s">
        <v>1295</v>
      </c>
      <c r="C299" s="11" t="s">
        <v>56</v>
      </c>
      <c r="D299" s="19">
        <v>77</v>
      </c>
      <c r="E299" s="11" t="s">
        <v>81</v>
      </c>
      <c r="F299" s="11" t="s">
        <v>82</v>
      </c>
      <c r="G299" s="11" t="s">
        <v>83</v>
      </c>
      <c r="H299" s="12">
        <v>46073</v>
      </c>
      <c r="I299" s="12" t="str">
        <f t="shared" si="4"/>
        <v>February</v>
      </c>
      <c r="J299" s="24">
        <v>0.62430555555555556</v>
      </c>
      <c r="K299" s="19">
        <v>8</v>
      </c>
      <c r="L299" s="12">
        <v>46073</v>
      </c>
      <c r="M299" s="24">
        <v>0.99930555555555556</v>
      </c>
      <c r="N299" s="11">
        <v>9</v>
      </c>
      <c r="O299" s="11" t="s">
        <v>34</v>
      </c>
      <c r="P299" s="11" t="s">
        <v>35</v>
      </c>
      <c r="Q299" s="11"/>
      <c r="R299" s="11" t="s">
        <v>36</v>
      </c>
      <c r="S299" s="19">
        <v>20</v>
      </c>
      <c r="T299" s="11" t="s">
        <v>37</v>
      </c>
      <c r="U299" s="11" t="s">
        <v>96</v>
      </c>
      <c r="V299" s="11">
        <v>3</v>
      </c>
      <c r="W299" s="11" t="s">
        <v>39</v>
      </c>
      <c r="X299" s="11" t="s">
        <v>51</v>
      </c>
      <c r="Y299" s="11" t="s">
        <v>52</v>
      </c>
      <c r="Z299" s="11" t="s">
        <v>53</v>
      </c>
      <c r="AA299" s="11" t="str">
        <f>IF(A299=" ", "Missing Value", " ")</f>
        <v xml:space="preserve"> </v>
      </c>
    </row>
    <row r="300" spans="1:27">
      <c r="A300" s="11" t="s">
        <v>1297</v>
      </c>
      <c r="B300" s="11" t="s">
        <v>1298</v>
      </c>
      <c r="C300" s="11" t="s">
        <v>56</v>
      </c>
      <c r="D300" s="19">
        <v>150</v>
      </c>
      <c r="E300" s="11" t="s">
        <v>57</v>
      </c>
      <c r="F300" s="11" t="s">
        <v>29</v>
      </c>
      <c r="G300" s="11" t="s">
        <v>58</v>
      </c>
      <c r="H300" s="12">
        <v>46069</v>
      </c>
      <c r="I300" s="12" t="str">
        <f t="shared" si="4"/>
        <v>February</v>
      </c>
      <c r="J300" s="24">
        <v>0.40694444444444444</v>
      </c>
      <c r="K300" s="19">
        <v>3</v>
      </c>
      <c r="L300" s="12">
        <v>46069</v>
      </c>
      <c r="M300" s="24">
        <v>0.65694444444444444</v>
      </c>
      <c r="N300" s="11">
        <v>6</v>
      </c>
      <c r="O300" s="11" t="s">
        <v>34</v>
      </c>
      <c r="P300" s="11" t="s">
        <v>35</v>
      </c>
      <c r="Q300" s="11"/>
      <c r="R300" s="11" t="s">
        <v>36</v>
      </c>
      <c r="S300" s="19">
        <v>15</v>
      </c>
      <c r="T300" s="11" t="s">
        <v>49</v>
      </c>
      <c r="U300" s="11" t="s">
        <v>38</v>
      </c>
      <c r="V300" s="11">
        <v>4</v>
      </c>
      <c r="W300" s="11" t="s">
        <v>70</v>
      </c>
      <c r="X300" s="11" t="s">
        <v>3325</v>
      </c>
      <c r="Y300" s="11" t="s">
        <v>109</v>
      </c>
      <c r="Z300" s="11" t="s">
        <v>53</v>
      </c>
      <c r="AA300" s="11" t="s">
        <v>3230</v>
      </c>
    </row>
    <row r="301" spans="1:27">
      <c r="A301" s="11" t="s">
        <v>1300</v>
      </c>
      <c r="B301" s="11" t="s">
        <v>1301</v>
      </c>
      <c r="C301" s="11" t="s">
        <v>56</v>
      </c>
      <c r="D301" s="19">
        <v>89</v>
      </c>
      <c r="E301" s="11" t="s">
        <v>28</v>
      </c>
      <c r="F301" s="11" t="s">
        <v>29</v>
      </c>
      <c r="G301" s="11" t="s">
        <v>93</v>
      </c>
      <c r="H301" s="12">
        <v>46195</v>
      </c>
      <c r="I301" s="12" t="str">
        <f t="shared" si="4"/>
        <v>June</v>
      </c>
      <c r="J301" s="24">
        <v>0.68541666666666667</v>
      </c>
      <c r="K301" s="19">
        <v>5</v>
      </c>
      <c r="L301" s="12">
        <v>46195</v>
      </c>
      <c r="M301" s="24">
        <v>0.89375000000000004</v>
      </c>
      <c r="N301" s="11">
        <v>5</v>
      </c>
      <c r="O301" s="11" t="s">
        <v>68</v>
      </c>
      <c r="P301" s="11" t="s">
        <v>35</v>
      </c>
      <c r="Q301" s="11"/>
      <c r="R301" s="11" t="s">
        <v>36</v>
      </c>
      <c r="S301" s="19">
        <v>35</v>
      </c>
      <c r="T301" s="11" t="s">
        <v>37</v>
      </c>
      <c r="U301" s="11" t="s">
        <v>96</v>
      </c>
      <c r="V301" s="11">
        <v>3</v>
      </c>
      <c r="W301" s="11" t="s">
        <v>70</v>
      </c>
      <c r="X301" s="11" t="s">
        <v>3334</v>
      </c>
      <c r="Y301" s="11" t="s">
        <v>52</v>
      </c>
      <c r="Z301" s="11" t="s">
        <v>71</v>
      </c>
      <c r="AA301" s="11" t="s">
        <v>3234</v>
      </c>
    </row>
    <row r="302" spans="1:27">
      <c r="A302" s="11" t="s">
        <v>1303</v>
      </c>
      <c r="B302" s="11" t="s">
        <v>1304</v>
      </c>
      <c r="C302" s="11" t="s">
        <v>56</v>
      </c>
      <c r="D302" s="19">
        <v>44</v>
      </c>
      <c r="E302" s="11" t="s">
        <v>149</v>
      </c>
      <c r="F302" s="11" t="s">
        <v>29</v>
      </c>
      <c r="G302" s="11" t="s">
        <v>30</v>
      </c>
      <c r="H302" s="12">
        <v>46130</v>
      </c>
      <c r="I302" s="12" t="str">
        <f t="shared" si="4"/>
        <v>April</v>
      </c>
      <c r="J302" s="24">
        <v>0.35486111111111113</v>
      </c>
      <c r="K302" s="19">
        <v>6</v>
      </c>
      <c r="L302" s="12">
        <v>46130</v>
      </c>
      <c r="M302" s="24">
        <v>0.68819444444444444</v>
      </c>
      <c r="N302" s="11">
        <v>8</v>
      </c>
      <c r="O302" s="11" t="s">
        <v>34</v>
      </c>
      <c r="P302" s="11" t="s">
        <v>35</v>
      </c>
      <c r="Q302" s="11"/>
      <c r="R302" s="11" t="s">
        <v>36</v>
      </c>
      <c r="S302" s="19">
        <v>40</v>
      </c>
      <c r="T302" s="11" t="s">
        <v>49</v>
      </c>
      <c r="U302" s="11" t="s">
        <v>38</v>
      </c>
      <c r="V302" s="11">
        <v>5</v>
      </c>
      <c r="W302" s="11" t="s">
        <v>70</v>
      </c>
      <c r="X302" s="11" t="s">
        <v>51</v>
      </c>
      <c r="Y302" s="11" t="s">
        <v>41</v>
      </c>
      <c r="Z302" s="11" t="s">
        <v>42</v>
      </c>
      <c r="AA302" s="11" t="str">
        <f>IF(A302=" ", "Missing Value", " ")</f>
        <v xml:space="preserve"> </v>
      </c>
    </row>
    <row r="303" spans="1:27">
      <c r="A303" s="11" t="s">
        <v>1305</v>
      </c>
      <c r="B303" s="11" t="s">
        <v>1306</v>
      </c>
      <c r="C303" s="11" t="s">
        <v>56</v>
      </c>
      <c r="D303" s="19">
        <v>78</v>
      </c>
      <c r="E303" s="11" t="s">
        <v>173</v>
      </c>
      <c r="F303" s="11" t="s">
        <v>29</v>
      </c>
      <c r="G303" s="11" t="s">
        <v>93</v>
      </c>
      <c r="H303" s="12">
        <v>46090</v>
      </c>
      <c r="I303" s="12" t="str">
        <f t="shared" si="4"/>
        <v>March</v>
      </c>
      <c r="J303" s="24">
        <v>0.3840277777777778</v>
      </c>
      <c r="K303" s="19">
        <v>4</v>
      </c>
      <c r="L303" s="12">
        <v>46090</v>
      </c>
      <c r="M303" s="24">
        <v>0.84236111111111112</v>
      </c>
      <c r="N303" s="11">
        <v>11</v>
      </c>
      <c r="O303" s="11" t="s">
        <v>34</v>
      </c>
      <c r="P303" s="11" t="s">
        <v>35</v>
      </c>
      <c r="Q303" s="11"/>
      <c r="R303" s="11" t="s">
        <v>36</v>
      </c>
      <c r="S303" s="19">
        <v>25</v>
      </c>
      <c r="T303" s="11" t="s">
        <v>37</v>
      </c>
      <c r="U303" s="11" t="s">
        <v>96</v>
      </c>
      <c r="V303" s="11">
        <v>2</v>
      </c>
      <c r="W303" s="11" t="s">
        <v>62</v>
      </c>
      <c r="X303" s="11" t="s">
        <v>3325</v>
      </c>
      <c r="Y303" s="11" t="s">
        <v>41</v>
      </c>
      <c r="Z303" s="11" t="s">
        <v>42</v>
      </c>
      <c r="AA303" s="11" t="s">
        <v>3234</v>
      </c>
    </row>
    <row r="304" spans="1:27">
      <c r="A304" s="11" t="s">
        <v>1308</v>
      </c>
      <c r="B304" s="11" t="s">
        <v>1309</v>
      </c>
      <c r="C304" s="11" t="s">
        <v>56</v>
      </c>
      <c r="D304" s="19">
        <v>12</v>
      </c>
      <c r="E304" s="11" t="s">
        <v>28</v>
      </c>
      <c r="F304" s="11" t="s">
        <v>29</v>
      </c>
      <c r="G304" s="11" t="s">
        <v>30</v>
      </c>
      <c r="H304" s="12">
        <v>46138</v>
      </c>
      <c r="I304" s="12" t="str">
        <f t="shared" si="4"/>
        <v>April</v>
      </c>
      <c r="J304" s="24">
        <v>0.39027777777777778</v>
      </c>
      <c r="K304" s="19">
        <v>5</v>
      </c>
      <c r="L304" s="12">
        <v>46138</v>
      </c>
      <c r="M304" s="24">
        <v>0.55694444444444446</v>
      </c>
      <c r="N304" s="11">
        <v>4</v>
      </c>
      <c r="O304" s="11" t="s">
        <v>68</v>
      </c>
      <c r="P304" s="11" t="s">
        <v>35</v>
      </c>
      <c r="Q304" s="11"/>
      <c r="R304" s="11" t="s">
        <v>36</v>
      </c>
      <c r="S304" s="19">
        <v>35</v>
      </c>
      <c r="T304" s="11" t="s">
        <v>49</v>
      </c>
      <c r="U304" s="11" t="s">
        <v>164</v>
      </c>
      <c r="V304" s="11">
        <v>2</v>
      </c>
      <c r="W304" s="11" t="s">
        <v>62</v>
      </c>
      <c r="X304" s="11" t="s">
        <v>3325</v>
      </c>
      <c r="Y304" s="11" t="s">
        <v>109</v>
      </c>
      <c r="Z304" s="11" t="s">
        <v>71</v>
      </c>
      <c r="AA304" s="11" t="str">
        <f>IF(A304=" ", "Missing Value", " ")</f>
        <v xml:space="preserve"> </v>
      </c>
    </row>
    <row r="305" spans="1:27">
      <c r="A305" s="11" t="s">
        <v>1310</v>
      </c>
      <c r="B305" s="11" t="s">
        <v>1311</v>
      </c>
      <c r="C305" s="11" t="s">
        <v>56</v>
      </c>
      <c r="D305" s="19">
        <v>72</v>
      </c>
      <c r="E305" s="11" t="s">
        <v>92</v>
      </c>
      <c r="F305" s="11" t="s">
        <v>29</v>
      </c>
      <c r="G305" s="11" t="s">
        <v>30</v>
      </c>
      <c r="H305" s="12">
        <v>46023</v>
      </c>
      <c r="I305" s="12" t="str">
        <f t="shared" si="4"/>
        <v>January</v>
      </c>
      <c r="J305" s="24">
        <v>0.69930555555555551</v>
      </c>
      <c r="K305" s="19">
        <v>24</v>
      </c>
      <c r="L305" s="12">
        <v>46024</v>
      </c>
      <c r="M305" s="24">
        <v>0.90763888888888888</v>
      </c>
      <c r="N305" s="11">
        <v>29</v>
      </c>
      <c r="O305" s="11" t="s">
        <v>34</v>
      </c>
      <c r="P305" s="11" t="s">
        <v>35</v>
      </c>
      <c r="Q305" s="11"/>
      <c r="R305" s="11" t="s">
        <v>36</v>
      </c>
      <c r="S305" s="19">
        <v>50</v>
      </c>
      <c r="T305" s="11" t="s">
        <v>49</v>
      </c>
      <c r="U305" s="11" t="s">
        <v>164</v>
      </c>
      <c r="V305" s="11">
        <v>2</v>
      </c>
      <c r="W305" s="11" t="s">
        <v>62</v>
      </c>
      <c r="X305" s="11" t="s">
        <v>51</v>
      </c>
      <c r="Y305" s="11" t="s">
        <v>109</v>
      </c>
      <c r="Z305" s="11" t="s">
        <v>53</v>
      </c>
      <c r="AA305" s="11" t="s">
        <v>3235</v>
      </c>
    </row>
    <row r="306" spans="1:27">
      <c r="A306" s="11" t="s">
        <v>1313</v>
      </c>
      <c r="B306" s="11" t="s">
        <v>1314</v>
      </c>
      <c r="C306" s="11" t="s">
        <v>56</v>
      </c>
      <c r="D306" s="19">
        <v>40</v>
      </c>
      <c r="E306" s="11" t="s">
        <v>81</v>
      </c>
      <c r="F306" s="11" t="s">
        <v>82</v>
      </c>
      <c r="G306" s="11" t="s">
        <v>83</v>
      </c>
      <c r="H306" s="12">
        <v>46156</v>
      </c>
      <c r="I306" s="12" t="str">
        <f t="shared" si="4"/>
        <v>May</v>
      </c>
      <c r="J306" s="24">
        <v>0.38541666666666669</v>
      </c>
      <c r="K306" s="19">
        <v>8</v>
      </c>
      <c r="L306" s="12">
        <v>46157</v>
      </c>
      <c r="M306" s="24">
        <v>1.0416666666666666E-2</v>
      </c>
      <c r="N306" s="11">
        <v>15</v>
      </c>
      <c r="O306" s="11" t="s">
        <v>34</v>
      </c>
      <c r="P306" s="11" t="s">
        <v>35</v>
      </c>
      <c r="Q306" s="11"/>
      <c r="R306" s="11" t="s">
        <v>36</v>
      </c>
      <c r="S306" s="19">
        <v>20</v>
      </c>
      <c r="T306" s="11" t="s">
        <v>37</v>
      </c>
      <c r="U306" s="11" t="s">
        <v>96</v>
      </c>
      <c r="V306" s="11">
        <v>1</v>
      </c>
      <c r="W306" s="11" t="s">
        <v>39</v>
      </c>
      <c r="X306" s="11" t="s">
        <v>3325</v>
      </c>
      <c r="Y306" s="11" t="s">
        <v>109</v>
      </c>
      <c r="Z306" s="11" t="s">
        <v>71</v>
      </c>
      <c r="AA306" s="11" t="str">
        <f>IF(A306=" ", "Missing Value", " ")</f>
        <v xml:space="preserve"> </v>
      </c>
    </row>
    <row r="307" spans="1:27">
      <c r="A307" s="11" t="s">
        <v>1317</v>
      </c>
      <c r="B307" s="11" t="s">
        <v>1318</v>
      </c>
      <c r="C307" s="11" t="s">
        <v>56</v>
      </c>
      <c r="D307" s="19">
        <v>34</v>
      </c>
      <c r="E307" s="11" t="s">
        <v>173</v>
      </c>
      <c r="F307" s="11" t="s">
        <v>29</v>
      </c>
      <c r="G307" s="11" t="s">
        <v>30</v>
      </c>
      <c r="H307" s="12">
        <v>46198</v>
      </c>
      <c r="I307" s="12" t="str">
        <f t="shared" si="4"/>
        <v>June</v>
      </c>
      <c r="J307" s="24">
        <v>0.56388888888888888</v>
      </c>
      <c r="K307" s="19">
        <v>4</v>
      </c>
      <c r="L307" s="12">
        <v>46198</v>
      </c>
      <c r="M307" s="24">
        <v>0.85555555555555551</v>
      </c>
      <c r="N307" s="11">
        <v>7</v>
      </c>
      <c r="O307" s="11" t="s">
        <v>34</v>
      </c>
      <c r="P307" s="11" t="s">
        <v>35</v>
      </c>
      <c r="Q307" s="11"/>
      <c r="R307" s="11" t="s">
        <v>36</v>
      </c>
      <c r="S307" s="19">
        <v>25</v>
      </c>
      <c r="T307" s="11" t="s">
        <v>37</v>
      </c>
      <c r="U307" s="11" t="s">
        <v>96</v>
      </c>
      <c r="V307" s="11">
        <v>4</v>
      </c>
      <c r="W307" s="11" t="s">
        <v>89</v>
      </c>
      <c r="X307" s="11" t="s">
        <v>3325</v>
      </c>
      <c r="Y307" s="11" t="s">
        <v>52</v>
      </c>
      <c r="Z307" s="11" t="s">
        <v>42</v>
      </c>
      <c r="AA307" s="11" t="s">
        <v>3234</v>
      </c>
    </row>
    <row r="308" spans="1:27">
      <c r="A308" s="11" t="s">
        <v>1321</v>
      </c>
      <c r="B308" s="11" t="s">
        <v>1322</v>
      </c>
      <c r="C308" s="11" t="s">
        <v>56</v>
      </c>
      <c r="D308" s="19">
        <v>15</v>
      </c>
      <c r="E308" s="11" t="s">
        <v>149</v>
      </c>
      <c r="F308" s="11" t="s">
        <v>29</v>
      </c>
      <c r="G308" s="11" t="s">
        <v>83</v>
      </c>
      <c r="H308" s="12">
        <v>46154</v>
      </c>
      <c r="I308" s="12" t="str">
        <f t="shared" si="4"/>
        <v>May</v>
      </c>
      <c r="J308" s="24">
        <v>0.46805555555555556</v>
      </c>
      <c r="K308" s="19">
        <v>6</v>
      </c>
      <c r="L308" s="12">
        <v>46154</v>
      </c>
      <c r="M308" s="24">
        <v>0.67638888888888893</v>
      </c>
      <c r="N308" s="11">
        <v>5</v>
      </c>
      <c r="O308" s="11" t="s">
        <v>68</v>
      </c>
      <c r="P308" s="11" t="s">
        <v>35</v>
      </c>
      <c r="Q308" s="11"/>
      <c r="R308" s="11" t="s">
        <v>36</v>
      </c>
      <c r="S308" s="19">
        <v>40</v>
      </c>
      <c r="T308" s="11" t="s">
        <v>49</v>
      </c>
      <c r="U308" s="11" t="s">
        <v>38</v>
      </c>
      <c r="V308" s="11">
        <v>3</v>
      </c>
      <c r="W308" s="11" t="s">
        <v>70</v>
      </c>
      <c r="X308" s="11" t="s">
        <v>3333</v>
      </c>
      <c r="Y308" s="11" t="s">
        <v>109</v>
      </c>
      <c r="Z308" s="11" t="s">
        <v>71</v>
      </c>
      <c r="AA308" s="11" t="s">
        <v>3234</v>
      </c>
    </row>
    <row r="309" spans="1:27">
      <c r="A309" s="11" t="s">
        <v>1325</v>
      </c>
      <c r="B309" s="11" t="s">
        <v>1326</v>
      </c>
      <c r="C309" s="11" t="s">
        <v>27</v>
      </c>
      <c r="D309" s="19">
        <v>10</v>
      </c>
      <c r="E309" s="11" t="s">
        <v>28</v>
      </c>
      <c r="F309" s="11" t="s">
        <v>29</v>
      </c>
      <c r="G309" s="11" t="s">
        <v>83</v>
      </c>
      <c r="H309" s="12">
        <v>46177</v>
      </c>
      <c r="I309" s="12" t="str">
        <f t="shared" si="4"/>
        <v>June</v>
      </c>
      <c r="J309" s="24">
        <v>0.30208333333333331</v>
      </c>
      <c r="K309" s="19">
        <v>5</v>
      </c>
      <c r="L309" s="12">
        <v>46177</v>
      </c>
      <c r="M309" s="24">
        <v>0.80208333333333337</v>
      </c>
      <c r="N309" s="11">
        <v>12</v>
      </c>
      <c r="O309" s="11" t="s">
        <v>34</v>
      </c>
      <c r="P309" s="11" t="s">
        <v>35</v>
      </c>
      <c r="Q309" s="11"/>
      <c r="R309" s="11" t="s">
        <v>36</v>
      </c>
      <c r="S309" s="19">
        <v>35</v>
      </c>
      <c r="T309" s="11" t="s">
        <v>49</v>
      </c>
      <c r="U309" s="11" t="s">
        <v>38</v>
      </c>
      <c r="V309" s="11">
        <v>3</v>
      </c>
      <c r="W309" s="11" t="s">
        <v>89</v>
      </c>
      <c r="X309" s="11" t="s">
        <v>51</v>
      </c>
      <c r="Y309" s="11" t="s">
        <v>109</v>
      </c>
      <c r="Z309" s="11" t="s">
        <v>42</v>
      </c>
      <c r="AA309" s="11" t="s">
        <v>3234</v>
      </c>
    </row>
    <row r="310" spans="1:27">
      <c r="A310" s="11" t="s">
        <v>1328</v>
      </c>
      <c r="B310" s="11" t="s">
        <v>1329</v>
      </c>
      <c r="C310" s="11" t="s">
        <v>56</v>
      </c>
      <c r="D310" s="19">
        <v>11</v>
      </c>
      <c r="E310" s="11" t="s">
        <v>173</v>
      </c>
      <c r="F310" s="11" t="s">
        <v>29</v>
      </c>
      <c r="G310" s="11" t="s">
        <v>83</v>
      </c>
      <c r="H310" s="12">
        <v>46124</v>
      </c>
      <c r="I310" s="12" t="str">
        <f t="shared" si="4"/>
        <v>April</v>
      </c>
      <c r="J310" s="24">
        <v>0.62569444444444444</v>
      </c>
      <c r="K310" s="19">
        <v>4</v>
      </c>
      <c r="L310" s="12">
        <v>46124</v>
      </c>
      <c r="M310" s="24">
        <v>0.95902777777777781</v>
      </c>
      <c r="N310" s="11">
        <v>8</v>
      </c>
      <c r="O310" s="11" t="s">
        <v>34</v>
      </c>
      <c r="P310" s="11" t="s">
        <v>35</v>
      </c>
      <c r="Q310" s="11"/>
      <c r="R310" s="11" t="s">
        <v>36</v>
      </c>
      <c r="S310" s="19">
        <v>25</v>
      </c>
      <c r="T310" s="11" t="s">
        <v>49</v>
      </c>
      <c r="U310" s="11" t="s">
        <v>164</v>
      </c>
      <c r="V310" s="11">
        <v>2</v>
      </c>
      <c r="W310" s="11" t="s">
        <v>39</v>
      </c>
      <c r="X310" s="11" t="s">
        <v>3325</v>
      </c>
      <c r="Y310" s="11" t="s">
        <v>41</v>
      </c>
      <c r="Z310" s="11" t="s">
        <v>53</v>
      </c>
      <c r="AA310" s="11" t="s">
        <v>3234</v>
      </c>
    </row>
    <row r="311" spans="1:27">
      <c r="A311" s="11" t="s">
        <v>1331</v>
      </c>
      <c r="B311" s="11" t="s">
        <v>1332</v>
      </c>
      <c r="C311" s="11" t="s">
        <v>56</v>
      </c>
      <c r="D311" s="19">
        <v>50</v>
      </c>
      <c r="E311" s="11" t="s">
        <v>92</v>
      </c>
      <c r="F311" s="11" t="s">
        <v>29</v>
      </c>
      <c r="G311" s="11" t="s">
        <v>83</v>
      </c>
      <c r="H311" s="12">
        <v>46044</v>
      </c>
      <c r="I311" s="12" t="str">
        <f t="shared" si="4"/>
        <v>January</v>
      </c>
      <c r="J311" s="24">
        <v>0.33888888888888891</v>
      </c>
      <c r="K311" s="19">
        <v>24</v>
      </c>
      <c r="L311" s="12">
        <v>46045</v>
      </c>
      <c r="M311" s="24">
        <v>0.67222222222222228</v>
      </c>
      <c r="N311" s="11">
        <v>32</v>
      </c>
      <c r="O311" s="11" t="s">
        <v>34</v>
      </c>
      <c r="P311" s="11" t="s">
        <v>35</v>
      </c>
      <c r="Q311" s="11"/>
      <c r="R311" s="11" t="s">
        <v>36</v>
      </c>
      <c r="S311" s="19">
        <v>50</v>
      </c>
      <c r="T311" s="11" t="s">
        <v>49</v>
      </c>
      <c r="U311" s="11" t="s">
        <v>38</v>
      </c>
      <c r="V311" s="11">
        <v>4</v>
      </c>
      <c r="W311" s="11" t="s">
        <v>62</v>
      </c>
      <c r="X311" s="11" t="s">
        <v>3333</v>
      </c>
      <c r="Y311" s="11" t="s">
        <v>52</v>
      </c>
      <c r="Z311" s="11" t="s">
        <v>71</v>
      </c>
      <c r="AA311" s="11" t="s">
        <v>3235</v>
      </c>
    </row>
    <row r="312" spans="1:27">
      <c r="A312" s="11" t="s">
        <v>1333</v>
      </c>
      <c r="B312" s="11" t="s">
        <v>1334</v>
      </c>
      <c r="C312" s="11" t="s">
        <v>56</v>
      </c>
      <c r="D312" s="19">
        <v>10</v>
      </c>
      <c r="E312" s="11" t="s">
        <v>92</v>
      </c>
      <c r="F312" s="11" t="s">
        <v>29</v>
      </c>
      <c r="G312" s="11" t="s">
        <v>93</v>
      </c>
      <c r="H312" s="12">
        <v>46178</v>
      </c>
      <c r="I312" s="12" t="str">
        <f t="shared" si="4"/>
        <v>June</v>
      </c>
      <c r="J312" s="24">
        <v>0.65208333333333335</v>
      </c>
      <c r="K312" s="19">
        <v>24</v>
      </c>
      <c r="L312" s="12">
        <v>46179</v>
      </c>
      <c r="M312" s="24">
        <v>0.94374999999999998</v>
      </c>
      <c r="N312" s="11">
        <v>31</v>
      </c>
      <c r="O312" s="11" t="s">
        <v>34</v>
      </c>
      <c r="P312" s="11" t="s">
        <v>35</v>
      </c>
      <c r="Q312" s="11"/>
      <c r="R312" s="11" t="s">
        <v>36</v>
      </c>
      <c r="S312" s="19">
        <v>50</v>
      </c>
      <c r="T312" s="11" t="s">
        <v>49</v>
      </c>
      <c r="U312" s="11" t="s">
        <v>38</v>
      </c>
      <c r="V312" s="11">
        <v>4</v>
      </c>
      <c r="W312" s="11" t="s">
        <v>39</v>
      </c>
      <c r="X312" s="11" t="s">
        <v>3333</v>
      </c>
      <c r="Y312" s="11" t="s">
        <v>52</v>
      </c>
      <c r="Z312" s="11" t="s">
        <v>42</v>
      </c>
      <c r="AA312" s="11" t="s">
        <v>3232</v>
      </c>
    </row>
    <row r="313" spans="1:27">
      <c r="A313" s="11" t="s">
        <v>1336</v>
      </c>
      <c r="B313" s="11" t="s">
        <v>1337</v>
      </c>
      <c r="C313" s="11" t="s">
        <v>56</v>
      </c>
      <c r="D313" s="19">
        <v>60</v>
      </c>
      <c r="E313" s="11" t="s">
        <v>92</v>
      </c>
      <c r="F313" s="11" t="s">
        <v>29</v>
      </c>
      <c r="G313" s="11" t="s">
        <v>30</v>
      </c>
      <c r="H313" s="12">
        <v>46192</v>
      </c>
      <c r="I313" s="12" t="str">
        <f t="shared" si="4"/>
        <v>June</v>
      </c>
      <c r="J313" s="24">
        <v>0.62777777777777777</v>
      </c>
      <c r="K313" s="19">
        <v>24</v>
      </c>
      <c r="L313" s="12">
        <v>46193</v>
      </c>
      <c r="M313" s="24">
        <v>0.7944444444444444</v>
      </c>
      <c r="N313" s="11">
        <v>28</v>
      </c>
      <c r="O313" s="11" t="s">
        <v>34</v>
      </c>
      <c r="P313" s="11" t="s">
        <v>270</v>
      </c>
      <c r="Q313" s="11" t="s">
        <v>677</v>
      </c>
      <c r="R313" s="11" t="s">
        <v>36</v>
      </c>
      <c r="S313" s="19">
        <v>50</v>
      </c>
      <c r="T313" s="11" t="s">
        <v>37</v>
      </c>
      <c r="U313" s="11" t="s">
        <v>96</v>
      </c>
      <c r="V313" s="11">
        <v>2</v>
      </c>
      <c r="W313" s="11" t="s">
        <v>39</v>
      </c>
      <c r="X313" s="11" t="s">
        <v>3334</v>
      </c>
      <c r="Y313" s="11" t="s">
        <v>109</v>
      </c>
      <c r="Z313" s="11" t="s">
        <v>71</v>
      </c>
      <c r="AA313" s="11" t="s">
        <v>3255</v>
      </c>
    </row>
    <row r="314" spans="1:27">
      <c r="A314" s="11" t="s">
        <v>1340</v>
      </c>
      <c r="B314" s="11" t="s">
        <v>1341</v>
      </c>
      <c r="C314" s="11" t="s">
        <v>56</v>
      </c>
      <c r="D314" s="19">
        <v>15</v>
      </c>
      <c r="E314" s="11" t="s">
        <v>28</v>
      </c>
      <c r="F314" s="11" t="s">
        <v>29</v>
      </c>
      <c r="G314" s="11" t="s">
        <v>58</v>
      </c>
      <c r="H314" s="12">
        <v>46119</v>
      </c>
      <c r="I314" s="12" t="str">
        <f t="shared" si="4"/>
        <v>April</v>
      </c>
      <c r="J314" s="24">
        <v>0.49722222222222223</v>
      </c>
      <c r="K314" s="19">
        <v>5</v>
      </c>
      <c r="L314" s="12">
        <v>46119</v>
      </c>
      <c r="M314" s="24">
        <v>0.7055555555555556</v>
      </c>
      <c r="N314" s="11">
        <v>5</v>
      </c>
      <c r="O314" s="11" t="s">
        <v>68</v>
      </c>
      <c r="P314" s="11" t="s">
        <v>35</v>
      </c>
      <c r="Q314" s="11"/>
      <c r="R314" s="11" t="s">
        <v>36</v>
      </c>
      <c r="S314" s="19">
        <v>35</v>
      </c>
      <c r="T314" s="11" t="s">
        <v>37</v>
      </c>
      <c r="U314" s="11" t="s">
        <v>96</v>
      </c>
      <c r="V314" s="11">
        <v>4</v>
      </c>
      <c r="W314" s="11" t="s">
        <v>62</v>
      </c>
      <c r="X314" s="11" t="s">
        <v>3334</v>
      </c>
      <c r="Y314" s="11" t="s">
        <v>41</v>
      </c>
      <c r="Z314" s="11" t="s">
        <v>71</v>
      </c>
      <c r="AA314" s="11" t="s">
        <v>3234</v>
      </c>
    </row>
    <row r="315" spans="1:27">
      <c r="A315" s="11" t="s">
        <v>1343</v>
      </c>
      <c r="B315" s="11" t="s">
        <v>1344</v>
      </c>
      <c r="C315" s="11" t="s">
        <v>27</v>
      </c>
      <c r="D315" s="19">
        <v>9</v>
      </c>
      <c r="E315" s="11" t="s">
        <v>81</v>
      </c>
      <c r="F315" s="11" t="s">
        <v>82</v>
      </c>
      <c r="G315" s="11" t="s">
        <v>83</v>
      </c>
      <c r="H315" s="12">
        <v>46128</v>
      </c>
      <c r="I315" s="12" t="str">
        <f t="shared" si="4"/>
        <v>April</v>
      </c>
      <c r="J315" s="24">
        <v>0.39652777777777776</v>
      </c>
      <c r="K315" s="19">
        <v>8</v>
      </c>
      <c r="L315" s="12">
        <v>46128</v>
      </c>
      <c r="M315" s="24">
        <v>0.81319444444444444</v>
      </c>
      <c r="N315" s="11">
        <v>10</v>
      </c>
      <c r="O315" s="11" t="s">
        <v>34</v>
      </c>
      <c r="P315" s="11" t="s">
        <v>35</v>
      </c>
      <c r="Q315" s="11"/>
      <c r="R315" s="11" t="s">
        <v>36</v>
      </c>
      <c r="S315" s="19">
        <v>20</v>
      </c>
      <c r="T315" s="11" t="s">
        <v>49</v>
      </c>
      <c r="U315" s="11" t="s">
        <v>96</v>
      </c>
      <c r="V315" s="11">
        <v>2</v>
      </c>
      <c r="W315" s="11" t="s">
        <v>89</v>
      </c>
      <c r="X315" s="11" t="s">
        <v>3333</v>
      </c>
      <c r="Y315" s="11" t="s">
        <v>109</v>
      </c>
      <c r="Z315" s="11" t="s">
        <v>42</v>
      </c>
      <c r="AA315" s="11" t="str">
        <f>IF(A315=" ", "Missing Value", " ")</f>
        <v xml:space="preserve"> </v>
      </c>
    </row>
    <row r="316" spans="1:27">
      <c r="A316" s="11" t="s">
        <v>1345</v>
      </c>
      <c r="B316" s="11" t="s">
        <v>1346</v>
      </c>
      <c r="C316" s="11" t="s">
        <v>27</v>
      </c>
      <c r="D316" s="19">
        <v>52</v>
      </c>
      <c r="E316" s="11" t="s">
        <v>92</v>
      </c>
      <c r="F316" s="11" t="s">
        <v>29</v>
      </c>
      <c r="G316" s="11" t="s">
        <v>83</v>
      </c>
      <c r="H316" s="12">
        <v>46048</v>
      </c>
      <c r="I316" s="12" t="str">
        <f t="shared" si="4"/>
        <v>January</v>
      </c>
      <c r="J316" s="24">
        <v>0.49791666666666667</v>
      </c>
      <c r="K316" s="19">
        <v>24</v>
      </c>
      <c r="L316" s="12">
        <v>46049</v>
      </c>
      <c r="M316" s="24">
        <v>0.62291666666666667</v>
      </c>
      <c r="N316" s="11">
        <v>27</v>
      </c>
      <c r="O316" s="11" t="s">
        <v>34</v>
      </c>
      <c r="P316" s="11" t="s">
        <v>35</v>
      </c>
      <c r="Q316" s="11"/>
      <c r="R316" s="11" t="s">
        <v>36</v>
      </c>
      <c r="S316" s="19">
        <v>50</v>
      </c>
      <c r="T316" s="11" t="s">
        <v>49</v>
      </c>
      <c r="U316" s="11" t="s">
        <v>96</v>
      </c>
      <c r="V316" s="11">
        <v>4</v>
      </c>
      <c r="W316" s="11" t="s">
        <v>70</v>
      </c>
      <c r="X316" s="11" t="s">
        <v>3333</v>
      </c>
      <c r="Y316" s="11" t="s">
        <v>52</v>
      </c>
      <c r="Z316" s="11" t="s">
        <v>42</v>
      </c>
      <c r="AA316" s="11" t="s">
        <v>3234</v>
      </c>
    </row>
    <row r="317" spans="1:27">
      <c r="A317" s="11" t="s">
        <v>1349</v>
      </c>
      <c r="B317" s="11" t="s">
        <v>1350</v>
      </c>
      <c r="C317" s="11" t="s">
        <v>56</v>
      </c>
      <c r="D317" s="19">
        <v>64</v>
      </c>
      <c r="E317" s="11" t="s">
        <v>92</v>
      </c>
      <c r="F317" s="11" t="s">
        <v>29</v>
      </c>
      <c r="G317" s="11" t="s">
        <v>168</v>
      </c>
      <c r="H317" s="12">
        <v>46106</v>
      </c>
      <c r="I317" s="12" t="str">
        <f t="shared" si="4"/>
        <v>March</v>
      </c>
      <c r="J317" s="24">
        <v>0.60555555555555551</v>
      </c>
      <c r="K317" s="19">
        <v>24</v>
      </c>
      <c r="L317" s="12">
        <v>46107</v>
      </c>
      <c r="M317" s="24">
        <v>0.93888888888888888</v>
      </c>
      <c r="N317" s="11">
        <v>32</v>
      </c>
      <c r="O317" s="11" t="s">
        <v>34</v>
      </c>
      <c r="P317" s="11" t="s">
        <v>35</v>
      </c>
      <c r="Q317" s="11"/>
      <c r="R317" s="11" t="s">
        <v>36</v>
      </c>
      <c r="S317" s="19">
        <v>50</v>
      </c>
      <c r="T317" s="11" t="s">
        <v>37</v>
      </c>
      <c r="U317" s="11" t="s">
        <v>38</v>
      </c>
      <c r="V317" s="11">
        <v>3</v>
      </c>
      <c r="W317" s="11" t="s">
        <v>39</v>
      </c>
      <c r="X317" s="11" t="s">
        <v>3333</v>
      </c>
      <c r="Y317" s="11" t="s">
        <v>52</v>
      </c>
      <c r="Z317" s="11" t="s">
        <v>53</v>
      </c>
      <c r="AA317" s="11" t="s">
        <v>3246</v>
      </c>
    </row>
    <row r="318" spans="1:27">
      <c r="A318" s="11" t="s">
        <v>1353</v>
      </c>
      <c r="B318" s="11" t="s">
        <v>1354</v>
      </c>
      <c r="C318" s="11" t="s">
        <v>27</v>
      </c>
      <c r="D318" s="19">
        <v>14</v>
      </c>
      <c r="E318" s="11" t="s">
        <v>149</v>
      </c>
      <c r="F318" s="11" t="s">
        <v>29</v>
      </c>
      <c r="G318" s="11" t="s">
        <v>30</v>
      </c>
      <c r="H318" s="12">
        <v>46099</v>
      </c>
      <c r="I318" s="12" t="str">
        <f t="shared" si="4"/>
        <v>March</v>
      </c>
      <c r="J318" s="24">
        <v>0.41041666666666665</v>
      </c>
      <c r="K318" s="19">
        <v>6</v>
      </c>
      <c r="L318" s="12">
        <v>46099</v>
      </c>
      <c r="M318" s="24">
        <v>0.66041666666666665</v>
      </c>
      <c r="N318" s="11">
        <v>6</v>
      </c>
      <c r="O318" s="11" t="s">
        <v>68</v>
      </c>
      <c r="P318" s="11" t="s">
        <v>35</v>
      </c>
      <c r="Q318" s="11"/>
      <c r="R318" s="11" t="s">
        <v>36</v>
      </c>
      <c r="S318" s="19">
        <v>40</v>
      </c>
      <c r="T318" s="11" t="s">
        <v>49</v>
      </c>
      <c r="U318" s="11" t="s">
        <v>164</v>
      </c>
      <c r="V318" s="11">
        <v>1</v>
      </c>
      <c r="W318" s="11" t="s">
        <v>39</v>
      </c>
      <c r="X318" s="11" t="s">
        <v>51</v>
      </c>
      <c r="Y318" s="11" t="s">
        <v>109</v>
      </c>
      <c r="Z318" s="11" t="s">
        <v>42</v>
      </c>
      <c r="AA318" s="11" t="str">
        <f>IF(A318=" ", "Missing Value", " ")</f>
        <v xml:space="preserve"> </v>
      </c>
    </row>
    <row r="319" spans="1:27">
      <c r="A319" s="11" t="s">
        <v>1356</v>
      </c>
      <c r="B319" s="11" t="s">
        <v>1357</v>
      </c>
      <c r="C319" s="11" t="s">
        <v>27</v>
      </c>
      <c r="D319" s="19">
        <v>23</v>
      </c>
      <c r="E319" s="11" t="s">
        <v>57</v>
      </c>
      <c r="F319" s="11" t="s">
        <v>29</v>
      </c>
      <c r="G319" s="11" t="s">
        <v>58</v>
      </c>
      <c r="H319" s="12">
        <v>46163</v>
      </c>
      <c r="I319" s="12" t="str">
        <f t="shared" si="4"/>
        <v>May</v>
      </c>
      <c r="J319" s="24">
        <v>0.43888888888888888</v>
      </c>
      <c r="K319" s="19">
        <v>3</v>
      </c>
      <c r="L319" s="12">
        <v>46163</v>
      </c>
      <c r="M319" s="24">
        <v>0.73055555555555551</v>
      </c>
      <c r="N319" s="11">
        <v>7</v>
      </c>
      <c r="O319" s="11" t="s">
        <v>34</v>
      </c>
      <c r="P319" s="11" t="s">
        <v>35</v>
      </c>
      <c r="Q319" s="11"/>
      <c r="R319" s="11" t="s">
        <v>36</v>
      </c>
      <c r="S319" s="19">
        <v>15</v>
      </c>
      <c r="T319" s="11" t="s">
        <v>37</v>
      </c>
      <c r="U319" s="11" t="s">
        <v>96</v>
      </c>
      <c r="V319" s="11">
        <v>3</v>
      </c>
      <c r="W319" s="11" t="s">
        <v>62</v>
      </c>
      <c r="X319" s="11" t="s">
        <v>51</v>
      </c>
      <c r="Y319" s="11" t="s">
        <v>109</v>
      </c>
      <c r="Z319" s="11" t="s">
        <v>71</v>
      </c>
      <c r="AA319" s="11"/>
    </row>
    <row r="320" spans="1:27">
      <c r="A320" s="11" t="s">
        <v>1360</v>
      </c>
      <c r="B320" s="11" t="s">
        <v>1361</v>
      </c>
      <c r="C320" s="11" t="s">
        <v>27</v>
      </c>
      <c r="D320" s="19">
        <v>42</v>
      </c>
      <c r="E320" s="11" t="s">
        <v>81</v>
      </c>
      <c r="F320" s="11" t="s">
        <v>82</v>
      </c>
      <c r="G320" s="11" t="s">
        <v>83</v>
      </c>
      <c r="H320" s="12">
        <v>46187</v>
      </c>
      <c r="I320" s="12" t="str">
        <f t="shared" si="4"/>
        <v>June</v>
      </c>
      <c r="J320" s="24">
        <v>0.37152777777777779</v>
      </c>
      <c r="K320" s="19">
        <v>8</v>
      </c>
      <c r="L320" s="12">
        <v>46187</v>
      </c>
      <c r="M320" s="24">
        <v>0.74652777777777779</v>
      </c>
      <c r="N320" s="11">
        <v>9</v>
      </c>
      <c r="O320" s="11" t="s">
        <v>34</v>
      </c>
      <c r="P320" s="11" t="s">
        <v>35</v>
      </c>
      <c r="Q320" s="11"/>
      <c r="R320" s="11" t="s">
        <v>36</v>
      </c>
      <c r="S320" s="19">
        <v>20</v>
      </c>
      <c r="T320" s="11" t="s">
        <v>49</v>
      </c>
      <c r="U320" s="11" t="s">
        <v>38</v>
      </c>
      <c r="V320" s="11">
        <v>2</v>
      </c>
      <c r="W320" s="11" t="s">
        <v>70</v>
      </c>
      <c r="X320" s="11" t="s">
        <v>3333</v>
      </c>
      <c r="Y320" s="11" t="s">
        <v>52</v>
      </c>
      <c r="Z320" s="11" t="s">
        <v>42</v>
      </c>
      <c r="AA320" s="11" t="str">
        <f>IF(A320=" ", "Missing Value", " ")</f>
        <v xml:space="preserve"> </v>
      </c>
    </row>
    <row r="321" spans="1:27">
      <c r="A321" s="11" t="s">
        <v>1364</v>
      </c>
      <c r="B321" s="11" t="s">
        <v>1365</v>
      </c>
      <c r="C321" s="11" t="s">
        <v>56</v>
      </c>
      <c r="D321" s="19">
        <v>41</v>
      </c>
      <c r="E321" s="11" t="s">
        <v>57</v>
      </c>
      <c r="F321" s="11" t="s">
        <v>29</v>
      </c>
      <c r="G321" s="11" t="s">
        <v>168</v>
      </c>
      <c r="H321" s="12">
        <v>46048</v>
      </c>
      <c r="I321" s="12" t="str">
        <f t="shared" si="4"/>
        <v>January</v>
      </c>
      <c r="J321" s="24">
        <v>0.41875000000000001</v>
      </c>
      <c r="K321" s="19">
        <v>3</v>
      </c>
      <c r="L321" s="12">
        <v>46048</v>
      </c>
      <c r="M321" s="24">
        <v>0.75208333333333333</v>
      </c>
      <c r="N321" s="11">
        <v>8</v>
      </c>
      <c r="O321" s="11" t="s">
        <v>34</v>
      </c>
      <c r="P321" s="11" t="s">
        <v>35</v>
      </c>
      <c r="Q321" s="11"/>
      <c r="R321" s="11" t="s">
        <v>36</v>
      </c>
      <c r="S321" s="19">
        <v>15</v>
      </c>
      <c r="T321" s="11" t="s">
        <v>37</v>
      </c>
      <c r="U321" s="11" t="s">
        <v>164</v>
      </c>
      <c r="V321" s="11">
        <v>5</v>
      </c>
      <c r="W321" s="11" t="s">
        <v>62</v>
      </c>
      <c r="X321" s="11" t="s">
        <v>3325</v>
      </c>
      <c r="Y321" s="11" t="s">
        <v>41</v>
      </c>
      <c r="Z321" s="11" t="s">
        <v>71</v>
      </c>
      <c r="AA321" s="11" t="s">
        <v>3234</v>
      </c>
    </row>
    <row r="322" spans="1:27">
      <c r="A322" s="11" t="s">
        <v>1366</v>
      </c>
      <c r="B322" s="11" t="s">
        <v>1367</v>
      </c>
      <c r="C322" s="11" t="s">
        <v>27</v>
      </c>
      <c r="D322" s="19">
        <v>40</v>
      </c>
      <c r="E322" s="11" t="s">
        <v>81</v>
      </c>
      <c r="F322" s="11" t="s">
        <v>82</v>
      </c>
      <c r="G322" s="11" t="s">
        <v>58</v>
      </c>
      <c r="H322" s="12">
        <v>46125</v>
      </c>
      <c r="I322" s="12" t="str">
        <f t="shared" ref="I322:I385" si="5">TEXT(H322, "mmmm")</f>
        <v>April</v>
      </c>
      <c r="J322" s="24">
        <v>0.31597222222222221</v>
      </c>
      <c r="K322" s="19">
        <v>8</v>
      </c>
      <c r="L322" s="12">
        <v>46125</v>
      </c>
      <c r="M322" s="24">
        <v>0.85763888888888884</v>
      </c>
      <c r="N322" s="11">
        <v>13</v>
      </c>
      <c r="O322" s="11" t="s">
        <v>34</v>
      </c>
      <c r="P322" s="11" t="s">
        <v>35</v>
      </c>
      <c r="Q322" s="11"/>
      <c r="R322" s="11" t="s">
        <v>36</v>
      </c>
      <c r="S322" s="19">
        <v>20</v>
      </c>
      <c r="T322" s="11" t="s">
        <v>37</v>
      </c>
      <c r="U322" s="11" t="s">
        <v>38</v>
      </c>
      <c r="V322" s="11">
        <v>4</v>
      </c>
      <c r="W322" s="11" t="s">
        <v>39</v>
      </c>
      <c r="X322" s="11" t="s">
        <v>3334</v>
      </c>
      <c r="Y322" s="11" t="s">
        <v>41</v>
      </c>
      <c r="Z322" s="11" t="s">
        <v>42</v>
      </c>
      <c r="AA322" s="11" t="s">
        <v>3234</v>
      </c>
    </row>
    <row r="323" spans="1:27">
      <c r="A323" s="11" t="s">
        <v>1370</v>
      </c>
      <c r="B323" s="11" t="s">
        <v>1371</v>
      </c>
      <c r="C323" s="11" t="s">
        <v>27</v>
      </c>
      <c r="D323" s="19">
        <v>77</v>
      </c>
      <c r="E323" s="11" t="s">
        <v>81</v>
      </c>
      <c r="F323" s="11" t="s">
        <v>82</v>
      </c>
      <c r="G323" s="11" t="s">
        <v>83</v>
      </c>
      <c r="H323" s="12">
        <v>46145</v>
      </c>
      <c r="I323" s="12" t="str">
        <f t="shared" si="5"/>
        <v>May</v>
      </c>
      <c r="J323" s="24">
        <v>0.5131944444444444</v>
      </c>
      <c r="K323" s="19">
        <v>8</v>
      </c>
      <c r="L323" s="12">
        <v>46146</v>
      </c>
      <c r="M323" s="24">
        <v>1.3194444444444444E-2</v>
      </c>
      <c r="N323" s="11">
        <v>12</v>
      </c>
      <c r="O323" s="11" t="s">
        <v>34</v>
      </c>
      <c r="P323" s="11" t="s">
        <v>35</v>
      </c>
      <c r="Q323" s="11"/>
      <c r="R323" s="11" t="s">
        <v>132</v>
      </c>
      <c r="S323" s="19">
        <v>20</v>
      </c>
      <c r="T323" s="11" t="s">
        <v>49</v>
      </c>
      <c r="U323" s="11" t="s">
        <v>164</v>
      </c>
      <c r="V323" s="11">
        <v>5</v>
      </c>
      <c r="W323" s="11" t="s">
        <v>62</v>
      </c>
      <c r="X323" s="11" t="s">
        <v>3333</v>
      </c>
      <c r="Y323" s="11" t="s">
        <v>109</v>
      </c>
      <c r="Z323" s="11" t="s">
        <v>71</v>
      </c>
      <c r="AA323" s="11" t="s">
        <v>3262</v>
      </c>
    </row>
    <row r="324" spans="1:27">
      <c r="A324" s="11" t="s">
        <v>1373</v>
      </c>
      <c r="B324" s="11" t="s">
        <v>1374</v>
      </c>
      <c r="C324" s="11" t="s">
        <v>27</v>
      </c>
      <c r="D324" s="19">
        <v>46</v>
      </c>
      <c r="E324" s="11" t="s">
        <v>28</v>
      </c>
      <c r="F324" s="11" t="s">
        <v>29</v>
      </c>
      <c r="G324" s="11" t="s">
        <v>58</v>
      </c>
      <c r="H324" s="12">
        <v>46158</v>
      </c>
      <c r="I324" s="12" t="str">
        <f t="shared" si="5"/>
        <v>May</v>
      </c>
      <c r="J324" s="24">
        <v>0.34097222222222223</v>
      </c>
      <c r="K324" s="19">
        <v>5</v>
      </c>
      <c r="L324" s="12">
        <v>46158</v>
      </c>
      <c r="M324" s="24">
        <v>0.84097222222222223</v>
      </c>
      <c r="N324" s="11">
        <v>12</v>
      </c>
      <c r="O324" s="11" t="s">
        <v>34</v>
      </c>
      <c r="P324" s="11" t="s">
        <v>35</v>
      </c>
      <c r="Q324" s="11"/>
      <c r="R324" s="11" t="s">
        <v>132</v>
      </c>
      <c r="S324" s="19">
        <v>35</v>
      </c>
      <c r="T324" s="11" t="s">
        <v>49</v>
      </c>
      <c r="U324" s="11" t="s">
        <v>164</v>
      </c>
      <c r="V324" s="11">
        <v>4</v>
      </c>
      <c r="W324" s="11" t="s">
        <v>89</v>
      </c>
      <c r="X324" s="11" t="s">
        <v>3334</v>
      </c>
      <c r="Y324" s="11" t="s">
        <v>109</v>
      </c>
      <c r="Z324" s="11" t="s">
        <v>71</v>
      </c>
      <c r="AA324" s="11" t="s">
        <v>3264</v>
      </c>
    </row>
    <row r="325" spans="1:27">
      <c r="A325" s="11" t="s">
        <v>1376</v>
      </c>
      <c r="B325" s="11" t="s">
        <v>1377</v>
      </c>
      <c r="C325" s="11" t="s">
        <v>27</v>
      </c>
      <c r="D325" s="19">
        <v>73</v>
      </c>
      <c r="E325" s="11" t="s">
        <v>149</v>
      </c>
      <c r="F325" s="11" t="s">
        <v>29</v>
      </c>
      <c r="G325" s="11" t="s">
        <v>30</v>
      </c>
      <c r="H325" s="12">
        <v>46202</v>
      </c>
      <c r="I325" s="12" t="str">
        <f t="shared" si="5"/>
        <v>June</v>
      </c>
      <c r="J325" s="24">
        <v>0.6381944444444444</v>
      </c>
      <c r="K325" s="19">
        <v>6</v>
      </c>
      <c r="L325" s="12">
        <v>46202</v>
      </c>
      <c r="M325" s="24">
        <v>0.8881944444444444</v>
      </c>
      <c r="N325" s="11">
        <v>6</v>
      </c>
      <c r="O325" s="11" t="s">
        <v>68</v>
      </c>
      <c r="P325" s="11" t="s">
        <v>35</v>
      </c>
      <c r="Q325" s="11"/>
      <c r="R325" s="11" t="s">
        <v>36</v>
      </c>
      <c r="S325" s="19">
        <v>40</v>
      </c>
      <c r="T325" s="11" t="s">
        <v>49</v>
      </c>
      <c r="U325" s="11" t="s">
        <v>38</v>
      </c>
      <c r="V325" s="11">
        <v>3</v>
      </c>
      <c r="W325" s="11" t="s">
        <v>39</v>
      </c>
      <c r="X325" s="11" t="s">
        <v>3333</v>
      </c>
      <c r="Y325" s="11" t="s">
        <v>52</v>
      </c>
      <c r="Z325" s="11" t="s">
        <v>42</v>
      </c>
      <c r="AA325" s="11" t="str">
        <f>IF(A325=" ", "Missing Value", " ")</f>
        <v xml:space="preserve"> </v>
      </c>
    </row>
    <row r="326" spans="1:27">
      <c r="A326" s="11" t="s">
        <v>1380</v>
      </c>
      <c r="B326" s="11" t="s">
        <v>1381</v>
      </c>
      <c r="C326" s="11" t="s">
        <v>56</v>
      </c>
      <c r="D326" s="19">
        <v>63</v>
      </c>
      <c r="E326" s="11" t="s">
        <v>28</v>
      </c>
      <c r="F326" s="11" t="s">
        <v>29</v>
      </c>
      <c r="G326" s="11" t="s">
        <v>30</v>
      </c>
      <c r="H326" s="12">
        <v>46197</v>
      </c>
      <c r="I326" s="12" t="str">
        <f t="shared" si="5"/>
        <v>June</v>
      </c>
      <c r="J326" s="24">
        <v>0.375</v>
      </c>
      <c r="K326" s="19">
        <v>5</v>
      </c>
      <c r="L326" s="12">
        <v>46197</v>
      </c>
      <c r="M326" s="24">
        <v>0.54166666666666663</v>
      </c>
      <c r="N326" s="11">
        <v>4</v>
      </c>
      <c r="O326" s="11" t="s">
        <v>68</v>
      </c>
      <c r="P326" s="11" t="s">
        <v>35</v>
      </c>
      <c r="Q326" s="11"/>
      <c r="R326" s="11" t="s">
        <v>36</v>
      </c>
      <c r="S326" s="19">
        <v>35</v>
      </c>
      <c r="T326" s="11" t="s">
        <v>49</v>
      </c>
      <c r="U326" s="11" t="s">
        <v>38</v>
      </c>
      <c r="V326" s="11">
        <v>5</v>
      </c>
      <c r="W326" s="11" t="s">
        <v>70</v>
      </c>
      <c r="X326" s="11" t="s">
        <v>51</v>
      </c>
      <c r="Y326" s="11" t="s">
        <v>41</v>
      </c>
      <c r="Z326" s="11" t="s">
        <v>42</v>
      </c>
      <c r="AA326" s="11" t="str">
        <f>IF(A326=" ", "Missing Value", " ")</f>
        <v xml:space="preserve"> </v>
      </c>
    </row>
    <row r="327" spans="1:27">
      <c r="A327" s="11" t="s">
        <v>1383</v>
      </c>
      <c r="B327" s="11" t="s">
        <v>1384</v>
      </c>
      <c r="C327" s="11" t="s">
        <v>27</v>
      </c>
      <c r="D327" s="19">
        <v>83</v>
      </c>
      <c r="E327" s="11" t="s">
        <v>28</v>
      </c>
      <c r="F327" s="11" t="s">
        <v>29</v>
      </c>
      <c r="G327" s="11" t="s">
        <v>83</v>
      </c>
      <c r="H327" s="12">
        <v>46138</v>
      </c>
      <c r="I327" s="12" t="str">
        <f t="shared" si="5"/>
        <v>April</v>
      </c>
      <c r="J327" s="24">
        <v>0.68611111111111112</v>
      </c>
      <c r="K327" s="19">
        <v>5</v>
      </c>
      <c r="L327" s="12">
        <v>46139</v>
      </c>
      <c r="M327" s="24">
        <v>1.9444444444444445E-2</v>
      </c>
      <c r="N327" s="11">
        <v>8</v>
      </c>
      <c r="O327" s="11" t="s">
        <v>34</v>
      </c>
      <c r="P327" s="11" t="s">
        <v>35</v>
      </c>
      <c r="Q327" s="11"/>
      <c r="R327" s="11" t="s">
        <v>36</v>
      </c>
      <c r="S327" s="19">
        <v>35</v>
      </c>
      <c r="T327" s="11" t="s">
        <v>49</v>
      </c>
      <c r="U327" s="11" t="s">
        <v>164</v>
      </c>
      <c r="V327" s="11">
        <v>4</v>
      </c>
      <c r="W327" s="11" t="s">
        <v>89</v>
      </c>
      <c r="X327" s="11" t="s">
        <v>3334</v>
      </c>
      <c r="Y327" s="11" t="s">
        <v>109</v>
      </c>
      <c r="Z327" s="11" t="s">
        <v>53</v>
      </c>
      <c r="AA327" s="11" t="s">
        <v>3234</v>
      </c>
    </row>
    <row r="328" spans="1:27">
      <c r="A328" s="11" t="s">
        <v>1386</v>
      </c>
      <c r="B328" s="11" t="s">
        <v>1387</v>
      </c>
      <c r="C328" s="11" t="s">
        <v>27</v>
      </c>
      <c r="D328" s="19">
        <v>47</v>
      </c>
      <c r="E328" s="11" t="s">
        <v>57</v>
      </c>
      <c r="F328" s="11" t="s">
        <v>29</v>
      </c>
      <c r="G328" s="11" t="s">
        <v>58</v>
      </c>
      <c r="H328" s="12">
        <v>46144</v>
      </c>
      <c r="I328" s="12" t="str">
        <f t="shared" si="5"/>
        <v>May</v>
      </c>
      <c r="J328" s="24">
        <v>0.69861111111111107</v>
      </c>
      <c r="K328" s="19">
        <v>3</v>
      </c>
      <c r="L328" s="12">
        <v>46144</v>
      </c>
      <c r="M328" s="24">
        <v>0.90694444444444444</v>
      </c>
      <c r="N328" s="11">
        <v>5</v>
      </c>
      <c r="O328" s="11" t="s">
        <v>34</v>
      </c>
      <c r="P328" s="11" t="s">
        <v>35</v>
      </c>
      <c r="Q328" s="11"/>
      <c r="R328" s="11" t="s">
        <v>36</v>
      </c>
      <c r="S328" s="19">
        <v>15</v>
      </c>
      <c r="T328" s="11" t="s">
        <v>49</v>
      </c>
      <c r="U328" s="11" t="s">
        <v>38</v>
      </c>
      <c r="V328" s="11">
        <v>3</v>
      </c>
      <c r="W328" s="11" t="s">
        <v>39</v>
      </c>
      <c r="X328" s="11" t="s">
        <v>3325</v>
      </c>
      <c r="Y328" s="11" t="s">
        <v>41</v>
      </c>
      <c r="Z328" s="11" t="s">
        <v>53</v>
      </c>
      <c r="AA328" s="11"/>
    </row>
    <row r="329" spans="1:27">
      <c r="A329" s="11" t="s">
        <v>1389</v>
      </c>
      <c r="B329" s="11" t="s">
        <v>1390</v>
      </c>
      <c r="C329" s="11" t="s">
        <v>27</v>
      </c>
      <c r="D329" s="19">
        <v>82</v>
      </c>
      <c r="E329" s="11" t="s">
        <v>149</v>
      </c>
      <c r="F329" s="11" t="s">
        <v>29</v>
      </c>
      <c r="G329" s="11" t="s">
        <v>30</v>
      </c>
      <c r="H329" s="12">
        <v>46125</v>
      </c>
      <c r="I329" s="12" t="str">
        <f t="shared" si="5"/>
        <v>April</v>
      </c>
      <c r="J329" s="24">
        <v>0.62708333333333333</v>
      </c>
      <c r="K329" s="19">
        <v>6</v>
      </c>
      <c r="L329" s="12">
        <v>46126</v>
      </c>
      <c r="M329" s="24">
        <v>4.3749999999999997E-2</v>
      </c>
      <c r="N329" s="11">
        <v>10</v>
      </c>
      <c r="O329" s="11" t="s">
        <v>34</v>
      </c>
      <c r="P329" s="11" t="s">
        <v>35</v>
      </c>
      <c r="Q329" s="11"/>
      <c r="R329" s="11" t="s">
        <v>36</v>
      </c>
      <c r="S329" s="19">
        <v>40</v>
      </c>
      <c r="T329" s="11" t="s">
        <v>37</v>
      </c>
      <c r="U329" s="11" t="s">
        <v>164</v>
      </c>
      <c r="V329" s="11">
        <v>4</v>
      </c>
      <c r="W329" s="11" t="s">
        <v>89</v>
      </c>
      <c r="X329" s="11" t="s">
        <v>3333</v>
      </c>
      <c r="Y329" s="11" t="s">
        <v>109</v>
      </c>
      <c r="Z329" s="11" t="s">
        <v>42</v>
      </c>
      <c r="AA329" s="11" t="str">
        <f>IF(A329=" ", "Missing Value", " ")</f>
        <v xml:space="preserve"> </v>
      </c>
    </row>
    <row r="330" spans="1:27">
      <c r="A330" s="11" t="s">
        <v>1392</v>
      </c>
      <c r="B330" s="11" t="s">
        <v>1393</v>
      </c>
      <c r="C330" s="11" t="s">
        <v>56</v>
      </c>
      <c r="D330" s="19">
        <v>73</v>
      </c>
      <c r="E330" s="11" t="s">
        <v>57</v>
      </c>
      <c r="F330" s="11" t="s">
        <v>29</v>
      </c>
      <c r="G330" s="11" t="s">
        <v>58</v>
      </c>
      <c r="H330" s="12">
        <v>46069</v>
      </c>
      <c r="I330" s="12" t="str">
        <f t="shared" si="5"/>
        <v>February</v>
      </c>
      <c r="J330" s="24">
        <v>0.30555555555555558</v>
      </c>
      <c r="K330" s="19">
        <v>3</v>
      </c>
      <c r="L330" s="12">
        <v>46069</v>
      </c>
      <c r="M330" s="24">
        <v>0.55555555555555558</v>
      </c>
      <c r="N330" s="11">
        <v>6</v>
      </c>
      <c r="O330" s="11" t="s">
        <v>34</v>
      </c>
      <c r="P330" s="11" t="s">
        <v>35</v>
      </c>
      <c r="Q330" s="11"/>
      <c r="R330" s="11" t="s">
        <v>36</v>
      </c>
      <c r="S330" s="19">
        <v>15</v>
      </c>
      <c r="T330" s="11" t="s">
        <v>37</v>
      </c>
      <c r="U330" s="11" t="s">
        <v>96</v>
      </c>
      <c r="V330" s="11">
        <v>4</v>
      </c>
      <c r="W330" s="11" t="s">
        <v>62</v>
      </c>
      <c r="X330" s="11" t="s">
        <v>3334</v>
      </c>
      <c r="Y330" s="11" t="s">
        <v>41</v>
      </c>
      <c r="Z330" s="11" t="s">
        <v>53</v>
      </c>
      <c r="AA330" s="11"/>
    </row>
    <row r="331" spans="1:27">
      <c r="A331" s="11" t="s">
        <v>1394</v>
      </c>
      <c r="B331" s="11" t="s">
        <v>1395</v>
      </c>
      <c r="C331" s="11" t="s">
        <v>27</v>
      </c>
      <c r="D331" s="19">
        <v>83</v>
      </c>
      <c r="E331" s="11" t="s">
        <v>173</v>
      </c>
      <c r="F331" s="11" t="s">
        <v>29</v>
      </c>
      <c r="G331" s="11" t="s">
        <v>30</v>
      </c>
      <c r="H331" s="12">
        <v>46093</v>
      </c>
      <c r="I331" s="12" t="str">
        <f t="shared" si="5"/>
        <v>March</v>
      </c>
      <c r="J331" s="24">
        <v>0.35833333333333334</v>
      </c>
      <c r="K331" s="19">
        <v>4</v>
      </c>
      <c r="L331" s="12">
        <v>46093</v>
      </c>
      <c r="M331" s="24">
        <v>0.73333333333333328</v>
      </c>
      <c r="N331" s="11">
        <v>9</v>
      </c>
      <c r="O331" s="11" t="s">
        <v>34</v>
      </c>
      <c r="P331" s="11" t="s">
        <v>35</v>
      </c>
      <c r="Q331" s="11"/>
      <c r="R331" s="11" t="s">
        <v>36</v>
      </c>
      <c r="S331" s="19">
        <v>25</v>
      </c>
      <c r="T331" s="11" t="s">
        <v>37</v>
      </c>
      <c r="U331" s="11" t="s">
        <v>38</v>
      </c>
      <c r="V331" s="11">
        <v>3</v>
      </c>
      <c r="W331" s="11" t="s">
        <v>62</v>
      </c>
      <c r="X331" s="11" t="s">
        <v>3325</v>
      </c>
      <c r="Y331" s="11" t="s">
        <v>41</v>
      </c>
      <c r="Z331" s="11" t="s">
        <v>42</v>
      </c>
      <c r="AA331" s="11" t="s">
        <v>3234</v>
      </c>
    </row>
    <row r="332" spans="1:27">
      <c r="A332" s="11" t="s">
        <v>1397</v>
      </c>
      <c r="B332" s="11" t="s">
        <v>1398</v>
      </c>
      <c r="C332" s="11" t="s">
        <v>56</v>
      </c>
      <c r="D332" s="19">
        <v>49</v>
      </c>
      <c r="E332" s="11" t="s">
        <v>173</v>
      </c>
      <c r="F332" s="11" t="s">
        <v>29</v>
      </c>
      <c r="G332" s="11" t="s">
        <v>168</v>
      </c>
      <c r="H332" s="12">
        <v>46162</v>
      </c>
      <c r="I332" s="12" t="str">
        <f t="shared" si="5"/>
        <v>May</v>
      </c>
      <c r="J332" s="24">
        <v>0.4777777777777778</v>
      </c>
      <c r="K332" s="19">
        <v>4</v>
      </c>
      <c r="L332" s="12">
        <v>46162</v>
      </c>
      <c r="M332" s="24">
        <v>0.60277777777777775</v>
      </c>
      <c r="N332" s="11">
        <v>3</v>
      </c>
      <c r="O332" s="11" t="s">
        <v>68</v>
      </c>
      <c r="P332" s="11" t="s">
        <v>35</v>
      </c>
      <c r="Q332" s="11"/>
      <c r="R332" s="11" t="s">
        <v>36</v>
      </c>
      <c r="S332" s="19">
        <v>25</v>
      </c>
      <c r="T332" s="11" t="s">
        <v>37</v>
      </c>
      <c r="U332" s="11" t="s">
        <v>38</v>
      </c>
      <c r="V332" s="11">
        <v>1</v>
      </c>
      <c r="W332" s="11" t="s">
        <v>70</v>
      </c>
      <c r="X332" s="11" t="s">
        <v>3334</v>
      </c>
      <c r="Y332" s="11" t="s">
        <v>109</v>
      </c>
      <c r="Z332" s="11" t="s">
        <v>71</v>
      </c>
      <c r="AA332" s="11" t="s">
        <v>3234</v>
      </c>
    </row>
    <row r="333" spans="1:27">
      <c r="A333" s="11" t="s">
        <v>1399</v>
      </c>
      <c r="B333" s="11" t="s">
        <v>1400</v>
      </c>
      <c r="C333" s="11" t="s">
        <v>27</v>
      </c>
      <c r="D333" s="19">
        <v>38</v>
      </c>
      <c r="E333" s="11" t="s">
        <v>92</v>
      </c>
      <c r="F333" s="11" t="s">
        <v>29</v>
      </c>
      <c r="G333" s="11" t="s">
        <v>93</v>
      </c>
      <c r="H333" s="12">
        <v>46055</v>
      </c>
      <c r="I333" s="12" t="str">
        <f t="shared" si="5"/>
        <v>February</v>
      </c>
      <c r="J333" s="24">
        <v>0.31458333333333333</v>
      </c>
      <c r="K333" s="19">
        <v>24</v>
      </c>
      <c r="L333" s="12">
        <v>46056</v>
      </c>
      <c r="M333" s="24">
        <v>0.35625000000000001</v>
      </c>
      <c r="N333" s="11">
        <v>25</v>
      </c>
      <c r="O333" s="11" t="s">
        <v>34</v>
      </c>
      <c r="P333" s="11" t="s">
        <v>35</v>
      </c>
      <c r="Q333" s="11"/>
      <c r="R333" s="11" t="s">
        <v>36</v>
      </c>
      <c r="S333" s="19">
        <v>50</v>
      </c>
      <c r="T333" s="11" t="s">
        <v>49</v>
      </c>
      <c r="U333" s="11" t="s">
        <v>96</v>
      </c>
      <c r="V333" s="11">
        <v>3</v>
      </c>
      <c r="W333" s="11" t="s">
        <v>62</v>
      </c>
      <c r="X333" s="11" t="s">
        <v>3325</v>
      </c>
      <c r="Y333" s="11" t="s">
        <v>52</v>
      </c>
      <c r="Z333" s="11" t="s">
        <v>53</v>
      </c>
      <c r="AA333" s="11" t="str">
        <f>IF(A333=" ", "Missing Value", " ")</f>
        <v xml:space="preserve"> </v>
      </c>
    </row>
    <row r="334" spans="1:27">
      <c r="A334" s="11" t="s">
        <v>1403</v>
      </c>
      <c r="B334" s="11" t="s">
        <v>1404</v>
      </c>
      <c r="C334" s="11" t="s">
        <v>27</v>
      </c>
      <c r="D334" s="19">
        <v>88</v>
      </c>
      <c r="E334" s="11" t="s">
        <v>81</v>
      </c>
      <c r="F334" s="11" t="s">
        <v>82</v>
      </c>
      <c r="G334" s="11" t="s">
        <v>168</v>
      </c>
      <c r="H334" s="12">
        <v>46069</v>
      </c>
      <c r="I334" s="12" t="str">
        <f t="shared" si="5"/>
        <v>February</v>
      </c>
      <c r="J334" s="24">
        <v>0.67361111111111116</v>
      </c>
      <c r="K334" s="19">
        <v>8</v>
      </c>
      <c r="L334" s="12">
        <v>46070</v>
      </c>
      <c r="M334" s="24">
        <v>0.1736111111111111</v>
      </c>
      <c r="N334" s="11">
        <v>12</v>
      </c>
      <c r="O334" s="11" t="s">
        <v>34</v>
      </c>
      <c r="P334" s="11" t="s">
        <v>35</v>
      </c>
      <c r="Q334" s="11"/>
      <c r="R334" s="11" t="s">
        <v>36</v>
      </c>
      <c r="S334" s="19">
        <v>20</v>
      </c>
      <c r="T334" s="11" t="s">
        <v>49</v>
      </c>
      <c r="U334" s="11" t="s">
        <v>164</v>
      </c>
      <c r="V334" s="11">
        <v>1</v>
      </c>
      <c r="W334" s="11" t="s">
        <v>39</v>
      </c>
      <c r="X334" s="11" t="s">
        <v>3334</v>
      </c>
      <c r="Y334" s="11" t="s">
        <v>41</v>
      </c>
      <c r="Z334" s="11" t="s">
        <v>42</v>
      </c>
      <c r="AA334" s="11" t="s">
        <v>3234</v>
      </c>
    </row>
    <row r="335" spans="1:27">
      <c r="A335" s="11" t="s">
        <v>1406</v>
      </c>
      <c r="B335" s="11" t="s">
        <v>1407</v>
      </c>
      <c r="C335" s="11" t="s">
        <v>27</v>
      </c>
      <c r="D335" s="19">
        <v>87</v>
      </c>
      <c r="E335" s="11" t="s">
        <v>81</v>
      </c>
      <c r="F335" s="11" t="s">
        <v>82</v>
      </c>
      <c r="G335" s="11" t="s">
        <v>168</v>
      </c>
      <c r="H335" s="12">
        <v>46126</v>
      </c>
      <c r="I335" s="12" t="str">
        <f t="shared" si="5"/>
        <v>April</v>
      </c>
      <c r="J335" s="24">
        <v>0.3215277777777778</v>
      </c>
      <c r="K335" s="19">
        <v>8</v>
      </c>
      <c r="L335" s="12">
        <v>46126</v>
      </c>
      <c r="M335" s="24">
        <v>0.86319444444444449</v>
      </c>
      <c r="N335" s="11">
        <v>13</v>
      </c>
      <c r="O335" s="11" t="s">
        <v>34</v>
      </c>
      <c r="P335" s="11" t="s">
        <v>270</v>
      </c>
      <c r="Q335" s="11" t="s">
        <v>391</v>
      </c>
      <c r="R335" s="11" t="s">
        <v>36</v>
      </c>
      <c r="S335" s="19">
        <v>20</v>
      </c>
      <c r="T335" s="11" t="s">
        <v>49</v>
      </c>
      <c r="U335" s="11" t="s">
        <v>164</v>
      </c>
      <c r="V335" s="11">
        <v>3</v>
      </c>
      <c r="W335" s="11" t="s">
        <v>39</v>
      </c>
      <c r="X335" s="11" t="s">
        <v>3333</v>
      </c>
      <c r="Y335" s="11" t="s">
        <v>52</v>
      </c>
      <c r="Z335" s="11" t="s">
        <v>71</v>
      </c>
      <c r="AA335" s="11" t="s">
        <v>3254</v>
      </c>
    </row>
    <row r="336" spans="1:27">
      <c r="A336" s="11" t="s">
        <v>1410</v>
      </c>
      <c r="B336" s="11" t="s">
        <v>1411</v>
      </c>
      <c r="C336" s="11" t="s">
        <v>27</v>
      </c>
      <c r="D336" s="19">
        <v>15</v>
      </c>
      <c r="E336" s="11" t="s">
        <v>28</v>
      </c>
      <c r="F336" s="11" t="s">
        <v>29</v>
      </c>
      <c r="G336" s="11" t="s">
        <v>30</v>
      </c>
      <c r="H336" s="12">
        <v>46181</v>
      </c>
      <c r="I336" s="12" t="str">
        <f t="shared" si="5"/>
        <v>June</v>
      </c>
      <c r="J336" s="24">
        <v>0.32013888888888886</v>
      </c>
      <c r="K336" s="19">
        <v>5</v>
      </c>
      <c r="L336" s="12">
        <v>46181</v>
      </c>
      <c r="M336" s="24">
        <v>0.77847222222222223</v>
      </c>
      <c r="N336" s="11">
        <v>11</v>
      </c>
      <c r="O336" s="11" t="s">
        <v>34</v>
      </c>
      <c r="P336" s="11" t="s">
        <v>35</v>
      </c>
      <c r="Q336" s="11"/>
      <c r="R336" s="11" t="s">
        <v>36</v>
      </c>
      <c r="S336" s="19">
        <v>35</v>
      </c>
      <c r="T336" s="11" t="s">
        <v>49</v>
      </c>
      <c r="U336" s="11" t="s">
        <v>96</v>
      </c>
      <c r="V336" s="11">
        <v>5</v>
      </c>
      <c r="W336" s="11" t="s">
        <v>70</v>
      </c>
      <c r="X336" s="11" t="s">
        <v>3334</v>
      </c>
      <c r="Y336" s="11" t="s">
        <v>109</v>
      </c>
      <c r="Z336" s="11" t="s">
        <v>53</v>
      </c>
      <c r="AA336" s="11" t="str">
        <f>IF(A336=" ", "Missing Value", " ")</f>
        <v xml:space="preserve"> </v>
      </c>
    </row>
    <row r="337" spans="1:27">
      <c r="A337" s="11" t="s">
        <v>1415</v>
      </c>
      <c r="B337" s="11" t="s">
        <v>1416</v>
      </c>
      <c r="C337" s="11" t="s">
        <v>56</v>
      </c>
      <c r="D337" s="19">
        <v>25</v>
      </c>
      <c r="E337" s="11" t="s">
        <v>173</v>
      </c>
      <c r="F337" s="11" t="s">
        <v>29</v>
      </c>
      <c r="G337" s="11" t="s">
        <v>168</v>
      </c>
      <c r="H337" s="12">
        <v>46118</v>
      </c>
      <c r="I337" s="12" t="str">
        <f t="shared" si="5"/>
        <v>April</v>
      </c>
      <c r="J337" s="24">
        <v>0.63680555555555551</v>
      </c>
      <c r="K337" s="19">
        <v>4</v>
      </c>
      <c r="L337" s="12">
        <v>46119</v>
      </c>
      <c r="M337" s="24">
        <v>5.347222222222222E-2</v>
      </c>
      <c r="N337" s="11">
        <v>10</v>
      </c>
      <c r="O337" s="11" t="s">
        <v>34</v>
      </c>
      <c r="P337" s="11" t="s">
        <v>35</v>
      </c>
      <c r="Q337" s="11"/>
      <c r="R337" s="11" t="s">
        <v>36</v>
      </c>
      <c r="S337" s="19">
        <v>25</v>
      </c>
      <c r="T337" s="11" t="s">
        <v>49</v>
      </c>
      <c r="U337" s="11" t="s">
        <v>38</v>
      </c>
      <c r="V337" s="11">
        <v>2</v>
      </c>
      <c r="W337" s="11" t="s">
        <v>89</v>
      </c>
      <c r="X337" s="11" t="s">
        <v>3325</v>
      </c>
      <c r="Y337" s="11" t="s">
        <v>52</v>
      </c>
      <c r="Z337" s="11" t="s">
        <v>42</v>
      </c>
      <c r="AA337" s="11" t="s">
        <v>3234</v>
      </c>
    </row>
    <row r="338" spans="1:27">
      <c r="A338" s="11" t="s">
        <v>1419</v>
      </c>
      <c r="B338" s="11" t="s">
        <v>1420</v>
      </c>
      <c r="C338" s="11" t="s">
        <v>27</v>
      </c>
      <c r="D338" s="19">
        <v>22</v>
      </c>
      <c r="E338" s="11" t="s">
        <v>81</v>
      </c>
      <c r="F338" s="11" t="s">
        <v>82</v>
      </c>
      <c r="G338" s="11" t="s">
        <v>83</v>
      </c>
      <c r="H338" s="12">
        <v>46192</v>
      </c>
      <c r="I338" s="12" t="str">
        <f t="shared" si="5"/>
        <v>June</v>
      </c>
      <c r="J338" s="24">
        <v>0.48194444444444445</v>
      </c>
      <c r="K338" s="19">
        <v>8</v>
      </c>
      <c r="L338" s="12">
        <v>46193</v>
      </c>
      <c r="M338" s="24">
        <v>0.10694444444444444</v>
      </c>
      <c r="N338" s="11">
        <v>15</v>
      </c>
      <c r="O338" s="11" t="s">
        <v>34</v>
      </c>
      <c r="P338" s="11" t="s">
        <v>35</v>
      </c>
      <c r="Q338" s="11"/>
      <c r="R338" s="11" t="s">
        <v>36</v>
      </c>
      <c r="S338" s="19">
        <v>20</v>
      </c>
      <c r="T338" s="11" t="s">
        <v>37</v>
      </c>
      <c r="U338" s="11" t="s">
        <v>164</v>
      </c>
      <c r="V338" s="11">
        <v>4</v>
      </c>
      <c r="W338" s="11" t="s">
        <v>62</v>
      </c>
      <c r="X338" s="11" t="s">
        <v>3333</v>
      </c>
      <c r="Y338" s="11" t="s">
        <v>52</v>
      </c>
      <c r="Z338" s="11" t="s">
        <v>42</v>
      </c>
      <c r="AA338" s="11" t="str">
        <f>IF(A338=" ", "Missing Value", " ")</f>
        <v xml:space="preserve"> </v>
      </c>
    </row>
    <row r="339" spans="1:27">
      <c r="A339" s="11" t="s">
        <v>1422</v>
      </c>
      <c r="B339" s="11" t="s">
        <v>1423</v>
      </c>
      <c r="C339" s="11" t="s">
        <v>56</v>
      </c>
      <c r="D339" s="19">
        <v>47</v>
      </c>
      <c r="E339" s="11" t="s">
        <v>81</v>
      </c>
      <c r="F339" s="11" t="s">
        <v>82</v>
      </c>
      <c r="G339" s="11" t="s">
        <v>83</v>
      </c>
      <c r="H339" s="12">
        <v>46138</v>
      </c>
      <c r="I339" s="12" t="str">
        <f t="shared" si="5"/>
        <v>April</v>
      </c>
      <c r="J339" s="24">
        <v>0.48819444444444443</v>
      </c>
      <c r="K339" s="19">
        <v>8</v>
      </c>
      <c r="L339" s="12">
        <v>46139</v>
      </c>
      <c r="M339" s="24">
        <v>2.9861111111111113E-2</v>
      </c>
      <c r="N339" s="11">
        <v>13</v>
      </c>
      <c r="O339" s="11" t="s">
        <v>34</v>
      </c>
      <c r="P339" s="11" t="s">
        <v>35</v>
      </c>
      <c r="Q339" s="11"/>
      <c r="R339" s="11" t="s">
        <v>36</v>
      </c>
      <c r="S339" s="19">
        <v>20</v>
      </c>
      <c r="T339" s="11" t="s">
        <v>49</v>
      </c>
      <c r="U339" s="11" t="s">
        <v>96</v>
      </c>
      <c r="V339" s="11">
        <v>4</v>
      </c>
      <c r="W339" s="11" t="s">
        <v>89</v>
      </c>
      <c r="X339" s="11" t="s">
        <v>3333</v>
      </c>
      <c r="Y339" s="11" t="s">
        <v>41</v>
      </c>
      <c r="Z339" s="11" t="s">
        <v>53</v>
      </c>
      <c r="AA339" s="11" t="str">
        <f>IF(A339=" ", "Missing Value", " ")</f>
        <v xml:space="preserve"> </v>
      </c>
    </row>
    <row r="340" spans="1:27">
      <c r="A340" s="11" t="s">
        <v>1425</v>
      </c>
      <c r="B340" s="11" t="s">
        <v>1426</v>
      </c>
      <c r="C340" s="11" t="s">
        <v>56</v>
      </c>
      <c r="D340" s="19">
        <v>11</v>
      </c>
      <c r="E340" s="11" t="s">
        <v>81</v>
      </c>
      <c r="F340" s="11" t="s">
        <v>82</v>
      </c>
      <c r="G340" s="11" t="s">
        <v>83</v>
      </c>
      <c r="H340" s="12">
        <v>46143</v>
      </c>
      <c r="I340" s="12" t="str">
        <f t="shared" si="5"/>
        <v>May</v>
      </c>
      <c r="J340" s="24">
        <v>0.41111111111111109</v>
      </c>
      <c r="K340" s="19">
        <v>8</v>
      </c>
      <c r="L340" s="12">
        <v>46143</v>
      </c>
      <c r="M340" s="24">
        <v>0.99444444444444446</v>
      </c>
      <c r="N340" s="11">
        <v>14</v>
      </c>
      <c r="O340" s="11" t="s">
        <v>34</v>
      </c>
      <c r="P340" s="11" t="s">
        <v>35</v>
      </c>
      <c r="Q340" s="11"/>
      <c r="R340" s="11" t="s">
        <v>36</v>
      </c>
      <c r="S340" s="19">
        <v>20</v>
      </c>
      <c r="T340" s="11" t="s">
        <v>49</v>
      </c>
      <c r="U340" s="11" t="s">
        <v>38</v>
      </c>
      <c r="V340" s="11">
        <v>1</v>
      </c>
      <c r="W340" s="11" t="s">
        <v>62</v>
      </c>
      <c r="X340" s="11" t="s">
        <v>3334</v>
      </c>
      <c r="Y340" s="11" t="s">
        <v>109</v>
      </c>
      <c r="Z340" s="11" t="s">
        <v>53</v>
      </c>
      <c r="AA340" s="11" t="str">
        <f>IF(A340=" ", "Missing Value", " ")</f>
        <v xml:space="preserve"> </v>
      </c>
    </row>
    <row r="341" spans="1:27">
      <c r="A341" s="11" t="s">
        <v>1429</v>
      </c>
      <c r="B341" s="11" t="s">
        <v>1430</v>
      </c>
      <c r="C341" s="11" t="s">
        <v>56</v>
      </c>
      <c r="D341" s="19">
        <v>66</v>
      </c>
      <c r="E341" s="11" t="s">
        <v>149</v>
      </c>
      <c r="F341" s="11" t="s">
        <v>29</v>
      </c>
      <c r="G341" s="11" t="s">
        <v>30</v>
      </c>
      <c r="H341" s="12">
        <v>46049</v>
      </c>
      <c r="I341" s="12" t="str">
        <f t="shared" si="5"/>
        <v>January</v>
      </c>
      <c r="J341" s="24">
        <v>0.66597222222222219</v>
      </c>
      <c r="K341" s="19">
        <v>6</v>
      </c>
      <c r="L341" s="12">
        <v>46050</v>
      </c>
      <c r="M341" s="24">
        <v>4.0972222222222222E-2</v>
      </c>
      <c r="N341" s="11">
        <v>9</v>
      </c>
      <c r="O341" s="11" t="s">
        <v>34</v>
      </c>
      <c r="P341" s="11" t="s">
        <v>35</v>
      </c>
      <c r="Q341" s="11"/>
      <c r="R341" s="11" t="s">
        <v>36</v>
      </c>
      <c r="S341" s="19">
        <v>40</v>
      </c>
      <c r="T341" s="11" t="s">
        <v>37</v>
      </c>
      <c r="U341" s="11" t="s">
        <v>96</v>
      </c>
      <c r="V341" s="11">
        <v>3</v>
      </c>
      <c r="W341" s="11" t="s">
        <v>89</v>
      </c>
      <c r="X341" s="11" t="s">
        <v>3334</v>
      </c>
      <c r="Y341" s="11" t="s">
        <v>41</v>
      </c>
      <c r="Z341" s="11" t="s">
        <v>53</v>
      </c>
      <c r="AA341" s="11" t="str">
        <f>IF(A341=" ", "Missing Value", " ")</f>
        <v xml:space="preserve"> </v>
      </c>
    </row>
    <row r="342" spans="1:27">
      <c r="A342" s="11" t="s">
        <v>1432</v>
      </c>
      <c r="B342" s="11" t="s">
        <v>1433</v>
      </c>
      <c r="C342" s="11" t="s">
        <v>56</v>
      </c>
      <c r="D342" s="19">
        <v>87</v>
      </c>
      <c r="E342" s="11" t="s">
        <v>173</v>
      </c>
      <c r="F342" s="11" t="s">
        <v>29</v>
      </c>
      <c r="G342" s="11" t="s">
        <v>168</v>
      </c>
      <c r="H342" s="12">
        <v>46073</v>
      </c>
      <c r="I342" s="12" t="str">
        <f t="shared" si="5"/>
        <v>February</v>
      </c>
      <c r="J342" s="24">
        <v>0.51180555555555551</v>
      </c>
      <c r="K342" s="19">
        <v>4</v>
      </c>
      <c r="L342" s="12">
        <v>46073</v>
      </c>
      <c r="M342" s="24">
        <v>0.84513888888888888</v>
      </c>
      <c r="N342" s="11">
        <v>8</v>
      </c>
      <c r="O342" s="11" t="s">
        <v>34</v>
      </c>
      <c r="P342" s="11" t="s">
        <v>35</v>
      </c>
      <c r="Q342" s="11"/>
      <c r="R342" s="11" t="s">
        <v>36</v>
      </c>
      <c r="S342" s="19">
        <v>25</v>
      </c>
      <c r="T342" s="11" t="s">
        <v>49</v>
      </c>
      <c r="U342" s="11" t="s">
        <v>38</v>
      </c>
      <c r="V342" s="11">
        <v>2</v>
      </c>
      <c r="W342" s="11" t="s">
        <v>39</v>
      </c>
      <c r="X342" s="11" t="s">
        <v>3334</v>
      </c>
      <c r="Y342" s="11" t="s">
        <v>52</v>
      </c>
      <c r="Z342" s="11" t="s">
        <v>71</v>
      </c>
      <c r="AA342" s="11" t="s">
        <v>3234</v>
      </c>
    </row>
    <row r="343" spans="1:27">
      <c r="A343" s="11" t="s">
        <v>1435</v>
      </c>
      <c r="B343" s="11" t="s">
        <v>1436</v>
      </c>
      <c r="C343" s="11" t="s">
        <v>56</v>
      </c>
      <c r="D343" s="19">
        <v>56</v>
      </c>
      <c r="E343" s="11" t="s">
        <v>92</v>
      </c>
      <c r="F343" s="11" t="s">
        <v>29</v>
      </c>
      <c r="G343" s="11" t="s">
        <v>93</v>
      </c>
      <c r="H343" s="12">
        <v>46190</v>
      </c>
      <c r="I343" s="12" t="str">
        <f t="shared" si="5"/>
        <v>June</v>
      </c>
      <c r="J343" s="24">
        <v>0.32083333333333336</v>
      </c>
      <c r="K343" s="19">
        <v>24</v>
      </c>
      <c r="L343" s="12">
        <v>46191</v>
      </c>
      <c r="M343" s="24">
        <v>0.52916666666666667</v>
      </c>
      <c r="N343" s="11">
        <v>29</v>
      </c>
      <c r="O343" s="11" t="s">
        <v>34</v>
      </c>
      <c r="P343" s="11" t="s">
        <v>270</v>
      </c>
      <c r="Q343" s="11" t="s">
        <v>271</v>
      </c>
      <c r="R343" s="11" t="s">
        <v>36</v>
      </c>
      <c r="S343" s="19">
        <v>50</v>
      </c>
      <c r="T343" s="11" t="s">
        <v>49</v>
      </c>
      <c r="U343" s="11" t="s">
        <v>164</v>
      </c>
      <c r="V343" s="11">
        <v>2</v>
      </c>
      <c r="W343" s="11" t="s">
        <v>39</v>
      </c>
      <c r="X343" s="11" t="s">
        <v>3325</v>
      </c>
      <c r="Y343" s="11" t="s">
        <v>109</v>
      </c>
      <c r="Z343" s="11" t="s">
        <v>42</v>
      </c>
      <c r="AA343" s="11" t="s">
        <v>3256</v>
      </c>
    </row>
    <row r="344" spans="1:27">
      <c r="A344" s="11" t="s">
        <v>1438</v>
      </c>
      <c r="B344" s="11" t="s">
        <v>1439</v>
      </c>
      <c r="C344" s="11" t="s">
        <v>56</v>
      </c>
      <c r="D344" s="19">
        <v>3</v>
      </c>
      <c r="E344" s="11" t="s">
        <v>28</v>
      </c>
      <c r="F344" s="11" t="s">
        <v>29</v>
      </c>
      <c r="G344" s="11" t="s">
        <v>58</v>
      </c>
      <c r="H344" s="12">
        <v>46173</v>
      </c>
      <c r="I344" s="12" t="str">
        <f t="shared" si="5"/>
        <v>May</v>
      </c>
      <c r="J344" s="24">
        <v>0.43402777777777779</v>
      </c>
      <c r="K344" s="19">
        <v>5</v>
      </c>
      <c r="L344" s="12">
        <v>46173</v>
      </c>
      <c r="M344" s="24">
        <v>0.89236111111111116</v>
      </c>
      <c r="N344" s="11">
        <v>11</v>
      </c>
      <c r="O344" s="11" t="s">
        <v>34</v>
      </c>
      <c r="P344" s="11" t="s">
        <v>35</v>
      </c>
      <c r="Q344" s="11"/>
      <c r="R344" s="11" t="s">
        <v>36</v>
      </c>
      <c r="S344" s="19">
        <v>35</v>
      </c>
      <c r="T344" s="11" t="s">
        <v>37</v>
      </c>
      <c r="U344" s="11" t="s">
        <v>164</v>
      </c>
      <c r="V344" s="11">
        <v>3</v>
      </c>
      <c r="W344" s="11" t="s">
        <v>89</v>
      </c>
      <c r="X344" s="11" t="s">
        <v>3333</v>
      </c>
      <c r="Y344" s="11" t="s">
        <v>52</v>
      </c>
      <c r="Z344" s="11" t="s">
        <v>53</v>
      </c>
      <c r="AA344" s="11" t="s">
        <v>3234</v>
      </c>
    </row>
    <row r="345" spans="1:27">
      <c r="A345" s="11" t="s">
        <v>1441</v>
      </c>
      <c r="B345" s="11" t="s">
        <v>1442</v>
      </c>
      <c r="C345" s="11" t="s">
        <v>56</v>
      </c>
      <c r="D345" s="19">
        <v>17</v>
      </c>
      <c r="E345" s="11" t="s">
        <v>28</v>
      </c>
      <c r="F345" s="11" t="s">
        <v>29</v>
      </c>
      <c r="G345" s="11" t="s">
        <v>30</v>
      </c>
      <c r="H345" s="12">
        <v>46148</v>
      </c>
      <c r="I345" s="12" t="str">
        <f t="shared" si="5"/>
        <v>May</v>
      </c>
      <c r="J345" s="24">
        <v>0.69861111111111107</v>
      </c>
      <c r="K345" s="19">
        <v>5</v>
      </c>
      <c r="L345" s="12">
        <v>46149</v>
      </c>
      <c r="M345" s="24">
        <v>0.11527777777777778</v>
      </c>
      <c r="N345" s="11">
        <v>10</v>
      </c>
      <c r="O345" s="11" t="s">
        <v>34</v>
      </c>
      <c r="P345" s="11" t="s">
        <v>35</v>
      </c>
      <c r="Q345" s="11"/>
      <c r="R345" s="11" t="s">
        <v>36</v>
      </c>
      <c r="S345" s="19">
        <v>35</v>
      </c>
      <c r="T345" s="11" t="s">
        <v>49</v>
      </c>
      <c r="U345" s="11" t="s">
        <v>38</v>
      </c>
      <c r="V345" s="11">
        <v>2</v>
      </c>
      <c r="W345" s="11" t="s">
        <v>39</v>
      </c>
      <c r="X345" s="11" t="s">
        <v>51</v>
      </c>
      <c r="Y345" s="11" t="s">
        <v>109</v>
      </c>
      <c r="Z345" s="11" t="s">
        <v>53</v>
      </c>
      <c r="AA345" s="11" t="str">
        <f>IF(A345=" ", "Missing Value", " ")</f>
        <v xml:space="preserve"> </v>
      </c>
    </row>
    <row r="346" spans="1:27">
      <c r="A346" s="11" t="s">
        <v>1444</v>
      </c>
      <c r="B346" s="11" t="s">
        <v>1445</v>
      </c>
      <c r="C346" s="11" t="s">
        <v>56</v>
      </c>
      <c r="D346" s="19">
        <v>5</v>
      </c>
      <c r="E346" s="11" t="s">
        <v>81</v>
      </c>
      <c r="F346" s="11" t="s">
        <v>82</v>
      </c>
      <c r="G346" s="11" t="s">
        <v>168</v>
      </c>
      <c r="H346" s="12">
        <v>46182</v>
      </c>
      <c r="I346" s="12" t="str">
        <f t="shared" si="5"/>
        <v>June</v>
      </c>
      <c r="J346" s="24">
        <v>0.53194444444444444</v>
      </c>
      <c r="K346" s="19">
        <v>8</v>
      </c>
      <c r="L346" s="12">
        <v>46183</v>
      </c>
      <c r="M346" s="24">
        <v>0.11527777777777778</v>
      </c>
      <c r="N346" s="11">
        <v>14</v>
      </c>
      <c r="O346" s="11" t="s">
        <v>34</v>
      </c>
      <c r="P346" s="11" t="s">
        <v>35</v>
      </c>
      <c r="Q346" s="11"/>
      <c r="R346" s="11" t="s">
        <v>36</v>
      </c>
      <c r="S346" s="19">
        <v>20</v>
      </c>
      <c r="T346" s="11" t="s">
        <v>49</v>
      </c>
      <c r="U346" s="11" t="s">
        <v>96</v>
      </c>
      <c r="V346" s="11">
        <v>5</v>
      </c>
      <c r="W346" s="11" t="s">
        <v>39</v>
      </c>
      <c r="X346" s="11" t="s">
        <v>51</v>
      </c>
      <c r="Y346" s="11" t="s">
        <v>52</v>
      </c>
      <c r="Z346" s="11" t="s">
        <v>42</v>
      </c>
      <c r="AA346" s="11" t="s">
        <v>3234</v>
      </c>
    </row>
    <row r="347" spans="1:27">
      <c r="A347" s="11" t="s">
        <v>1446</v>
      </c>
      <c r="B347" s="11" t="s">
        <v>1447</v>
      </c>
      <c r="C347" s="11" t="s">
        <v>56</v>
      </c>
      <c r="D347" s="19">
        <v>56</v>
      </c>
      <c r="E347" s="11" t="s">
        <v>149</v>
      </c>
      <c r="F347" s="11" t="s">
        <v>29</v>
      </c>
      <c r="G347" s="11" t="s">
        <v>30</v>
      </c>
      <c r="H347" s="12">
        <v>46070</v>
      </c>
      <c r="I347" s="12" t="str">
        <f t="shared" si="5"/>
        <v>February</v>
      </c>
      <c r="J347" s="24">
        <v>0.55902777777777779</v>
      </c>
      <c r="K347" s="19">
        <v>6</v>
      </c>
      <c r="L347" s="12">
        <v>46071</v>
      </c>
      <c r="M347" s="24">
        <v>0.1423611111111111</v>
      </c>
      <c r="N347" s="11">
        <v>14</v>
      </c>
      <c r="O347" s="11" t="s">
        <v>34</v>
      </c>
      <c r="P347" s="11" t="s">
        <v>35</v>
      </c>
      <c r="Q347" s="11"/>
      <c r="R347" s="11" t="s">
        <v>36</v>
      </c>
      <c r="S347" s="19">
        <v>40</v>
      </c>
      <c r="T347" s="11" t="s">
        <v>49</v>
      </c>
      <c r="U347" s="11" t="s">
        <v>38</v>
      </c>
      <c r="V347" s="11">
        <v>3</v>
      </c>
      <c r="W347" s="11" t="s">
        <v>70</v>
      </c>
      <c r="X347" s="11" t="s">
        <v>3325</v>
      </c>
      <c r="Y347" s="11" t="s">
        <v>41</v>
      </c>
      <c r="Z347" s="11" t="s">
        <v>53</v>
      </c>
      <c r="AA347" s="11" t="str">
        <f>IF(A347=" ", "Missing Value", " ")</f>
        <v xml:space="preserve"> </v>
      </c>
    </row>
    <row r="348" spans="1:27">
      <c r="A348" s="11" t="s">
        <v>1449</v>
      </c>
      <c r="B348" s="11" t="s">
        <v>1450</v>
      </c>
      <c r="C348" s="11" t="s">
        <v>56</v>
      </c>
      <c r="D348" s="19">
        <v>52</v>
      </c>
      <c r="E348" s="11" t="s">
        <v>28</v>
      </c>
      <c r="F348" s="11" t="s">
        <v>29</v>
      </c>
      <c r="G348" s="11" t="s">
        <v>168</v>
      </c>
      <c r="H348" s="12">
        <v>46073</v>
      </c>
      <c r="I348" s="12" t="str">
        <f t="shared" si="5"/>
        <v>February</v>
      </c>
      <c r="J348" s="24">
        <v>0.5083333333333333</v>
      </c>
      <c r="K348" s="19">
        <v>5</v>
      </c>
      <c r="L348" s="12">
        <v>46073</v>
      </c>
      <c r="M348" s="24">
        <v>0.71666666666666667</v>
      </c>
      <c r="N348" s="11">
        <v>5</v>
      </c>
      <c r="O348" s="11" t="s">
        <v>68</v>
      </c>
      <c r="P348" s="11" t="s">
        <v>35</v>
      </c>
      <c r="Q348" s="11"/>
      <c r="R348" s="11" t="s">
        <v>36</v>
      </c>
      <c r="S348" s="19">
        <v>35</v>
      </c>
      <c r="T348" s="11" t="s">
        <v>49</v>
      </c>
      <c r="U348" s="11" t="s">
        <v>164</v>
      </c>
      <c r="V348" s="11">
        <v>1</v>
      </c>
      <c r="W348" s="11" t="s">
        <v>62</v>
      </c>
      <c r="X348" s="11" t="s">
        <v>3334</v>
      </c>
      <c r="Y348" s="11" t="s">
        <v>109</v>
      </c>
      <c r="Z348" s="11" t="s">
        <v>42</v>
      </c>
      <c r="AA348" s="11" t="s">
        <v>3234</v>
      </c>
    </row>
    <row r="349" spans="1:27">
      <c r="A349" s="11" t="s">
        <v>1451</v>
      </c>
      <c r="B349" s="11" t="s">
        <v>1452</v>
      </c>
      <c r="C349" s="11" t="s">
        <v>27</v>
      </c>
      <c r="D349" s="19">
        <v>89</v>
      </c>
      <c r="E349" s="11" t="s">
        <v>57</v>
      </c>
      <c r="F349" s="11" t="s">
        <v>29</v>
      </c>
      <c r="G349" s="11" t="s">
        <v>58</v>
      </c>
      <c r="H349" s="12">
        <v>46155</v>
      </c>
      <c r="I349" s="12" t="str">
        <f t="shared" si="5"/>
        <v>May</v>
      </c>
      <c r="J349" s="24">
        <v>0.36875000000000002</v>
      </c>
      <c r="K349" s="19">
        <v>3</v>
      </c>
      <c r="L349" s="12">
        <v>46155</v>
      </c>
      <c r="M349" s="24">
        <v>0.82708333333333328</v>
      </c>
      <c r="N349" s="11">
        <v>11</v>
      </c>
      <c r="O349" s="11" t="s">
        <v>34</v>
      </c>
      <c r="P349" s="11" t="s">
        <v>35</v>
      </c>
      <c r="Q349" s="11"/>
      <c r="R349" s="11" t="s">
        <v>36</v>
      </c>
      <c r="S349" s="19">
        <v>15</v>
      </c>
      <c r="T349" s="11" t="s">
        <v>49</v>
      </c>
      <c r="U349" s="11" t="s">
        <v>164</v>
      </c>
      <c r="V349" s="11">
        <v>3</v>
      </c>
      <c r="W349" s="11" t="s">
        <v>89</v>
      </c>
      <c r="X349" s="11" t="s">
        <v>3333</v>
      </c>
      <c r="Y349" s="11" t="s">
        <v>41</v>
      </c>
      <c r="Z349" s="11" t="s">
        <v>71</v>
      </c>
      <c r="AA349" s="11"/>
    </row>
    <row r="350" spans="1:27">
      <c r="A350" s="11" t="s">
        <v>1454</v>
      </c>
      <c r="B350" s="11" t="s">
        <v>1455</v>
      </c>
      <c r="C350" s="11" t="s">
        <v>27</v>
      </c>
      <c r="D350" s="19">
        <v>5</v>
      </c>
      <c r="E350" s="11" t="s">
        <v>92</v>
      </c>
      <c r="F350" s="11" t="s">
        <v>29</v>
      </c>
      <c r="G350" s="11" t="s">
        <v>30</v>
      </c>
      <c r="H350" s="12">
        <v>46155</v>
      </c>
      <c r="I350" s="12" t="str">
        <f t="shared" si="5"/>
        <v>May</v>
      </c>
      <c r="J350" s="24">
        <v>0.56666666666666665</v>
      </c>
      <c r="K350" s="19">
        <v>24</v>
      </c>
      <c r="L350" s="12">
        <v>46156</v>
      </c>
      <c r="M350" s="24">
        <v>0.81666666666666665</v>
      </c>
      <c r="N350" s="11">
        <v>30</v>
      </c>
      <c r="O350" s="11" t="s">
        <v>34</v>
      </c>
      <c r="P350" s="11" t="s">
        <v>35</v>
      </c>
      <c r="Q350" s="11"/>
      <c r="R350" s="11" t="s">
        <v>36</v>
      </c>
      <c r="S350" s="19">
        <v>-20</v>
      </c>
      <c r="T350" s="11" t="s">
        <v>49</v>
      </c>
      <c r="U350" s="11" t="s">
        <v>96</v>
      </c>
      <c r="V350" s="11">
        <v>1</v>
      </c>
      <c r="W350" s="11" t="s">
        <v>39</v>
      </c>
      <c r="X350" s="11" t="s">
        <v>3325</v>
      </c>
      <c r="Y350" s="11" t="s">
        <v>109</v>
      </c>
      <c r="Z350" s="11" t="s">
        <v>53</v>
      </c>
      <c r="AA350" s="11" t="s">
        <v>3238</v>
      </c>
    </row>
    <row r="351" spans="1:27">
      <c r="A351" s="11" t="s">
        <v>1457</v>
      </c>
      <c r="B351" s="11" t="s">
        <v>1458</v>
      </c>
      <c r="C351" s="11" t="s">
        <v>56</v>
      </c>
      <c r="D351" s="19">
        <v>81</v>
      </c>
      <c r="E351" s="11" t="s">
        <v>57</v>
      </c>
      <c r="F351" s="11" t="s">
        <v>29</v>
      </c>
      <c r="G351" s="11" t="s">
        <v>93</v>
      </c>
      <c r="H351" s="12">
        <v>46130</v>
      </c>
      <c r="I351" s="12" t="str">
        <f t="shared" si="5"/>
        <v>April</v>
      </c>
      <c r="J351" s="24">
        <v>0.29236111111111113</v>
      </c>
      <c r="K351" s="19">
        <v>3</v>
      </c>
      <c r="L351" s="12">
        <v>46130</v>
      </c>
      <c r="M351" s="24">
        <v>0.37569444444444444</v>
      </c>
      <c r="N351" s="11">
        <v>2</v>
      </c>
      <c r="O351" s="11" t="s">
        <v>68</v>
      </c>
      <c r="P351" s="11" t="s">
        <v>35</v>
      </c>
      <c r="Q351" s="11"/>
      <c r="R351" s="11" t="s">
        <v>36</v>
      </c>
      <c r="S351" s="19">
        <v>15</v>
      </c>
      <c r="T351" s="11" t="s">
        <v>37</v>
      </c>
      <c r="U351" s="11" t="s">
        <v>38</v>
      </c>
      <c r="V351" s="11">
        <v>5</v>
      </c>
      <c r="W351" s="11" t="s">
        <v>89</v>
      </c>
      <c r="X351" s="11" t="s">
        <v>51</v>
      </c>
      <c r="Y351" s="11" t="s">
        <v>109</v>
      </c>
      <c r="Z351" s="11" t="s">
        <v>53</v>
      </c>
      <c r="AA351" s="11" t="s">
        <v>3234</v>
      </c>
    </row>
    <row r="352" spans="1:27">
      <c r="A352" s="11" t="s">
        <v>1461</v>
      </c>
      <c r="B352" s="11" t="s">
        <v>1462</v>
      </c>
      <c r="C352" s="11" t="s">
        <v>56</v>
      </c>
      <c r="D352" s="19">
        <v>51</v>
      </c>
      <c r="E352" s="11" t="s">
        <v>57</v>
      </c>
      <c r="F352" s="11" t="s">
        <v>29</v>
      </c>
      <c r="G352" s="11" t="s">
        <v>58</v>
      </c>
      <c r="H352" s="12">
        <v>46036</v>
      </c>
      <c r="I352" s="12" t="str">
        <f t="shared" si="5"/>
        <v>January</v>
      </c>
      <c r="J352" s="24">
        <v>0.32847222222222222</v>
      </c>
      <c r="K352" s="19">
        <v>3</v>
      </c>
      <c r="L352" s="12">
        <v>46036</v>
      </c>
      <c r="M352" s="24">
        <v>0.62013888888888891</v>
      </c>
      <c r="N352" s="11">
        <v>7</v>
      </c>
      <c r="O352" s="11" t="s">
        <v>34</v>
      </c>
      <c r="P352" s="11" t="s">
        <v>35</v>
      </c>
      <c r="Q352" s="11"/>
      <c r="R352" s="11" t="s">
        <v>36</v>
      </c>
      <c r="S352" s="19">
        <v>15</v>
      </c>
      <c r="T352" s="11" t="s">
        <v>37</v>
      </c>
      <c r="U352" s="11" t="s">
        <v>96</v>
      </c>
      <c r="V352" s="11">
        <v>5</v>
      </c>
      <c r="W352" s="11" t="s">
        <v>70</v>
      </c>
      <c r="X352" s="11" t="s">
        <v>3325</v>
      </c>
      <c r="Y352" s="11" t="s">
        <v>52</v>
      </c>
      <c r="Z352" s="11" t="s">
        <v>71</v>
      </c>
      <c r="AA352" s="11"/>
    </row>
    <row r="353" spans="1:27">
      <c r="A353" s="11" t="s">
        <v>1465</v>
      </c>
      <c r="B353" s="11" t="s">
        <v>1466</v>
      </c>
      <c r="C353" s="11" t="s">
        <v>56</v>
      </c>
      <c r="D353" s="19">
        <v>69</v>
      </c>
      <c r="E353" s="11" t="s">
        <v>149</v>
      </c>
      <c r="F353" s="11" t="s">
        <v>29</v>
      </c>
      <c r="G353" s="11" t="s">
        <v>168</v>
      </c>
      <c r="H353" s="12">
        <v>46119</v>
      </c>
      <c r="I353" s="12" t="str">
        <f t="shared" si="5"/>
        <v>April</v>
      </c>
      <c r="J353" s="24">
        <v>0.3</v>
      </c>
      <c r="K353" s="19">
        <v>6</v>
      </c>
      <c r="L353" s="12">
        <v>46119</v>
      </c>
      <c r="M353" s="24">
        <v>0.7583333333333333</v>
      </c>
      <c r="N353" s="11">
        <v>11</v>
      </c>
      <c r="O353" s="11" t="s">
        <v>34</v>
      </c>
      <c r="P353" s="11" t="s">
        <v>35</v>
      </c>
      <c r="Q353" s="11"/>
      <c r="R353" s="11" t="s">
        <v>36</v>
      </c>
      <c r="S353" s="19">
        <v>40</v>
      </c>
      <c r="T353" s="11" t="s">
        <v>49</v>
      </c>
      <c r="U353" s="11" t="s">
        <v>38</v>
      </c>
      <c r="V353" s="11">
        <v>4</v>
      </c>
      <c r="W353" s="11" t="s">
        <v>39</v>
      </c>
      <c r="X353" s="11" t="s">
        <v>3325</v>
      </c>
      <c r="Y353" s="11" t="s">
        <v>41</v>
      </c>
      <c r="Z353" s="11" t="s">
        <v>42</v>
      </c>
      <c r="AA353" s="11" t="s">
        <v>3234</v>
      </c>
    </row>
    <row r="354" spans="1:27">
      <c r="A354" s="11" t="s">
        <v>1468</v>
      </c>
      <c r="B354" s="11" t="s">
        <v>1469</v>
      </c>
      <c r="C354" s="11" t="s">
        <v>56</v>
      </c>
      <c r="D354" s="19">
        <v>10</v>
      </c>
      <c r="E354" s="11" t="s">
        <v>81</v>
      </c>
      <c r="F354" s="11" t="s">
        <v>82</v>
      </c>
      <c r="G354" s="11" t="s">
        <v>93</v>
      </c>
      <c r="H354" s="12">
        <v>46081</v>
      </c>
      <c r="I354" s="12" t="str">
        <f t="shared" si="5"/>
        <v>February</v>
      </c>
      <c r="J354" s="24">
        <v>0.41249999999999998</v>
      </c>
      <c r="K354" s="19">
        <v>8</v>
      </c>
      <c r="L354" s="12">
        <v>46081</v>
      </c>
      <c r="M354" s="24">
        <v>0.78749999999999998</v>
      </c>
      <c r="N354" s="11">
        <v>9</v>
      </c>
      <c r="O354" s="11" t="s">
        <v>34</v>
      </c>
      <c r="P354" s="11" t="s">
        <v>35</v>
      </c>
      <c r="Q354" s="11"/>
      <c r="R354" s="11" t="s">
        <v>36</v>
      </c>
      <c r="S354" s="19">
        <v>20</v>
      </c>
      <c r="T354" s="11" t="s">
        <v>49</v>
      </c>
      <c r="U354" s="11" t="s">
        <v>164</v>
      </c>
      <c r="V354" s="11">
        <v>3</v>
      </c>
      <c r="W354" s="11" t="s">
        <v>70</v>
      </c>
      <c r="X354" s="11" t="s">
        <v>3333</v>
      </c>
      <c r="Y354" s="11" t="s">
        <v>52</v>
      </c>
      <c r="Z354" s="11" t="s">
        <v>42</v>
      </c>
      <c r="AA354" s="11" t="s">
        <v>3234</v>
      </c>
    </row>
    <row r="355" spans="1:27">
      <c r="A355" s="11" t="s">
        <v>1471</v>
      </c>
      <c r="B355" s="11" t="s">
        <v>1472</v>
      </c>
      <c r="C355" s="11" t="s">
        <v>56</v>
      </c>
      <c r="D355" s="19">
        <v>55</v>
      </c>
      <c r="E355" s="11" t="s">
        <v>81</v>
      </c>
      <c r="F355" s="11" t="s">
        <v>82</v>
      </c>
      <c r="G355" s="11" t="s">
        <v>83</v>
      </c>
      <c r="H355" s="12">
        <v>46067</v>
      </c>
      <c r="I355" s="12" t="str">
        <f t="shared" si="5"/>
        <v>February</v>
      </c>
      <c r="J355" s="24">
        <v>0.67361111111111116</v>
      </c>
      <c r="K355" s="19">
        <v>8</v>
      </c>
      <c r="L355" s="12">
        <v>46067</v>
      </c>
      <c r="M355" s="24">
        <v>0.96527777777777779</v>
      </c>
      <c r="N355" s="11">
        <v>7</v>
      </c>
      <c r="O355" s="11" t="s">
        <v>68</v>
      </c>
      <c r="P355" s="11" t="s">
        <v>35</v>
      </c>
      <c r="Q355" s="11"/>
      <c r="R355" s="11" t="s">
        <v>36</v>
      </c>
      <c r="S355" s="19">
        <v>20</v>
      </c>
      <c r="T355" s="11" t="s">
        <v>49</v>
      </c>
      <c r="U355" s="11" t="s">
        <v>96</v>
      </c>
      <c r="V355" s="11">
        <v>5</v>
      </c>
      <c r="W355" s="11" t="s">
        <v>39</v>
      </c>
      <c r="X355" s="11" t="s">
        <v>51</v>
      </c>
      <c r="Y355" s="11" t="s">
        <v>41</v>
      </c>
      <c r="Z355" s="11" t="s">
        <v>71</v>
      </c>
      <c r="AA355" s="11" t="str">
        <f>IF(A355=" ", "Missing Value", " ")</f>
        <v xml:space="preserve"> </v>
      </c>
    </row>
    <row r="356" spans="1:27">
      <c r="A356" s="11" t="s">
        <v>1473</v>
      </c>
      <c r="B356" s="11" t="s">
        <v>1474</v>
      </c>
      <c r="C356" s="11" t="s">
        <v>56</v>
      </c>
      <c r="D356" s="19">
        <v>7</v>
      </c>
      <c r="E356" s="11" t="s">
        <v>28</v>
      </c>
      <c r="F356" s="11" t="s">
        <v>29</v>
      </c>
      <c r="G356" s="11" t="s">
        <v>30</v>
      </c>
      <c r="H356" s="12">
        <v>46037</v>
      </c>
      <c r="I356" s="12" t="str">
        <f t="shared" si="5"/>
        <v>January</v>
      </c>
      <c r="J356" s="24">
        <v>0.60069444444444442</v>
      </c>
      <c r="K356" s="19">
        <v>5</v>
      </c>
      <c r="L356" s="12">
        <v>46037</v>
      </c>
      <c r="M356" s="24">
        <v>0.93402777777777779</v>
      </c>
      <c r="N356" s="11">
        <v>8</v>
      </c>
      <c r="O356" s="11" t="s">
        <v>34</v>
      </c>
      <c r="P356" s="11" t="s">
        <v>35</v>
      </c>
      <c r="Q356" s="11"/>
      <c r="R356" s="11" t="s">
        <v>36</v>
      </c>
      <c r="S356" s="19">
        <v>35</v>
      </c>
      <c r="T356" s="11" t="s">
        <v>49</v>
      </c>
      <c r="U356" s="11" t="s">
        <v>38</v>
      </c>
      <c r="V356" s="11">
        <v>4</v>
      </c>
      <c r="W356" s="11" t="s">
        <v>70</v>
      </c>
      <c r="X356" s="11" t="s">
        <v>3325</v>
      </c>
      <c r="Y356" s="11" t="s">
        <v>52</v>
      </c>
      <c r="Z356" s="11" t="s">
        <v>53</v>
      </c>
      <c r="AA356" s="11" t="str">
        <f>IF(A356=" ", "Missing Value", " ")</f>
        <v xml:space="preserve"> </v>
      </c>
    </row>
    <row r="357" spans="1:27">
      <c r="A357" s="11" t="s">
        <v>1476</v>
      </c>
      <c r="B357" s="11" t="s">
        <v>1477</v>
      </c>
      <c r="C357" s="11" t="s">
        <v>27</v>
      </c>
      <c r="D357" s="19">
        <v>67</v>
      </c>
      <c r="E357" s="11" t="s">
        <v>149</v>
      </c>
      <c r="F357" s="11" t="s">
        <v>29</v>
      </c>
      <c r="G357" s="11" t="s">
        <v>30</v>
      </c>
      <c r="H357" s="12">
        <v>46118</v>
      </c>
      <c r="I357" s="12" t="str">
        <f t="shared" si="5"/>
        <v>April</v>
      </c>
      <c r="J357" s="24">
        <v>0.5854166666666667</v>
      </c>
      <c r="K357" s="19">
        <v>6</v>
      </c>
      <c r="L357" s="12">
        <v>46119</v>
      </c>
      <c r="M357" s="24">
        <v>4.3749999999999997E-2</v>
      </c>
      <c r="N357" s="11">
        <v>11</v>
      </c>
      <c r="O357" s="11" t="s">
        <v>34</v>
      </c>
      <c r="P357" s="11" t="s">
        <v>35</v>
      </c>
      <c r="Q357" s="11"/>
      <c r="R357" s="11" t="s">
        <v>36</v>
      </c>
      <c r="S357" s="19">
        <v>40</v>
      </c>
      <c r="T357" s="11" t="s">
        <v>37</v>
      </c>
      <c r="U357" s="11" t="s">
        <v>38</v>
      </c>
      <c r="V357" s="11">
        <v>3</v>
      </c>
      <c r="W357" s="11" t="s">
        <v>39</v>
      </c>
      <c r="X357" s="11" t="s">
        <v>3334</v>
      </c>
      <c r="Y357" s="11" t="s">
        <v>41</v>
      </c>
      <c r="Z357" s="11" t="s">
        <v>42</v>
      </c>
      <c r="AA357" s="11" t="str">
        <f>IF(A357=" ", "Missing Value", " ")</f>
        <v xml:space="preserve"> </v>
      </c>
    </row>
    <row r="358" spans="1:27">
      <c r="A358" s="11" t="s">
        <v>1479</v>
      </c>
      <c r="B358" s="11" t="s">
        <v>1480</v>
      </c>
      <c r="C358" s="11" t="s">
        <v>27</v>
      </c>
      <c r="D358" s="19">
        <v>21</v>
      </c>
      <c r="E358" s="11" t="s">
        <v>57</v>
      </c>
      <c r="F358" s="11" t="s">
        <v>29</v>
      </c>
      <c r="G358" s="11" t="s">
        <v>58</v>
      </c>
      <c r="H358" s="12">
        <v>46037</v>
      </c>
      <c r="I358" s="12" t="str">
        <f t="shared" si="5"/>
        <v>January</v>
      </c>
      <c r="J358" s="24">
        <v>0.39652777777777776</v>
      </c>
      <c r="K358" s="19">
        <v>3</v>
      </c>
      <c r="L358" s="12">
        <v>46037</v>
      </c>
      <c r="M358" s="24">
        <v>0.60486111111111107</v>
      </c>
      <c r="N358" s="11">
        <v>5</v>
      </c>
      <c r="O358" s="11" t="s">
        <v>34</v>
      </c>
      <c r="P358" s="11" t="s">
        <v>35</v>
      </c>
      <c r="Q358" s="11"/>
      <c r="R358" s="11" t="s">
        <v>132</v>
      </c>
      <c r="S358" s="19">
        <v>15</v>
      </c>
      <c r="T358" s="11" t="s">
        <v>49</v>
      </c>
      <c r="U358" s="11" t="s">
        <v>96</v>
      </c>
      <c r="V358" s="11">
        <v>2</v>
      </c>
      <c r="W358" s="11" t="s">
        <v>39</v>
      </c>
      <c r="X358" s="11" t="s">
        <v>3333</v>
      </c>
      <c r="Y358" s="11" t="s">
        <v>41</v>
      </c>
      <c r="Z358" s="11" t="s">
        <v>42</v>
      </c>
      <c r="AA358" s="11" t="s">
        <v>3289</v>
      </c>
    </row>
    <row r="359" spans="1:27">
      <c r="A359" s="11" t="s">
        <v>1482</v>
      </c>
      <c r="B359" s="11" t="s">
        <v>1483</v>
      </c>
      <c r="C359" s="11" t="s">
        <v>56</v>
      </c>
      <c r="D359" s="19">
        <v>57</v>
      </c>
      <c r="E359" s="11" t="s">
        <v>28</v>
      </c>
      <c r="F359" s="11" t="s">
        <v>29</v>
      </c>
      <c r="G359" s="11" t="s">
        <v>30</v>
      </c>
      <c r="H359" s="12">
        <v>46102</v>
      </c>
      <c r="I359" s="12" t="str">
        <f t="shared" si="5"/>
        <v>March</v>
      </c>
      <c r="J359" s="24">
        <v>0.65069444444444446</v>
      </c>
      <c r="K359" s="19">
        <v>5</v>
      </c>
      <c r="L359" s="12">
        <v>46102</v>
      </c>
      <c r="M359" s="24">
        <v>0.90069444444444446</v>
      </c>
      <c r="N359" s="11">
        <v>6</v>
      </c>
      <c r="O359" s="11" t="s">
        <v>34</v>
      </c>
      <c r="P359" s="11" t="s">
        <v>35</v>
      </c>
      <c r="Q359" s="11"/>
      <c r="R359" s="11" t="s">
        <v>36</v>
      </c>
      <c r="S359" s="19">
        <v>35</v>
      </c>
      <c r="T359" s="11" t="s">
        <v>49</v>
      </c>
      <c r="U359" s="11" t="s">
        <v>96</v>
      </c>
      <c r="V359" s="11">
        <v>4</v>
      </c>
      <c r="W359" s="11" t="s">
        <v>70</v>
      </c>
      <c r="X359" s="11" t="s">
        <v>3325</v>
      </c>
      <c r="Y359" s="11" t="s">
        <v>41</v>
      </c>
      <c r="Z359" s="11" t="s">
        <v>71</v>
      </c>
      <c r="AA359" s="11" t="str">
        <f>IF(A359=" ", "Missing Value", " ")</f>
        <v xml:space="preserve"> </v>
      </c>
    </row>
    <row r="360" spans="1:27">
      <c r="A360" s="11" t="s">
        <v>1485</v>
      </c>
      <c r="B360" s="11" t="s">
        <v>1486</v>
      </c>
      <c r="C360" s="11" t="s">
        <v>27</v>
      </c>
      <c r="D360" s="19">
        <v>34</v>
      </c>
      <c r="E360" s="11" t="s">
        <v>173</v>
      </c>
      <c r="F360" s="11" t="s">
        <v>29</v>
      </c>
      <c r="G360" s="11" t="s">
        <v>168</v>
      </c>
      <c r="H360" s="12">
        <v>46181</v>
      </c>
      <c r="I360" s="12" t="str">
        <f t="shared" si="5"/>
        <v>June</v>
      </c>
      <c r="J360" s="24">
        <v>0.66319444444444442</v>
      </c>
      <c r="K360" s="19">
        <v>4</v>
      </c>
      <c r="L360" s="12">
        <v>46181</v>
      </c>
      <c r="M360" s="24">
        <v>0.91319444444444442</v>
      </c>
      <c r="N360" s="11">
        <v>6</v>
      </c>
      <c r="O360" s="11" t="s">
        <v>34</v>
      </c>
      <c r="P360" s="11" t="s">
        <v>35</v>
      </c>
      <c r="Q360" s="11"/>
      <c r="R360" s="11" t="s">
        <v>36</v>
      </c>
      <c r="S360" s="19">
        <v>25</v>
      </c>
      <c r="T360" s="11" t="s">
        <v>37</v>
      </c>
      <c r="U360" s="11" t="s">
        <v>38</v>
      </c>
      <c r="V360" s="11">
        <v>1</v>
      </c>
      <c r="W360" s="11" t="s">
        <v>70</v>
      </c>
      <c r="X360" s="11" t="s">
        <v>3333</v>
      </c>
      <c r="Y360" s="11" t="s">
        <v>109</v>
      </c>
      <c r="Z360" s="11" t="s">
        <v>42</v>
      </c>
      <c r="AA360" s="11" t="s">
        <v>3234</v>
      </c>
    </row>
    <row r="361" spans="1:27">
      <c r="A361" s="11" t="s">
        <v>1489</v>
      </c>
      <c r="B361" s="11" t="s">
        <v>1490</v>
      </c>
      <c r="C361" s="11" t="s">
        <v>27</v>
      </c>
      <c r="D361" s="19">
        <v>5</v>
      </c>
      <c r="E361" s="11" t="s">
        <v>28</v>
      </c>
      <c r="F361" s="11" t="s">
        <v>29</v>
      </c>
      <c r="G361" s="11" t="s">
        <v>30</v>
      </c>
      <c r="H361" s="12">
        <v>46060</v>
      </c>
      <c r="I361" s="12" t="str">
        <f t="shared" si="5"/>
        <v>February</v>
      </c>
      <c r="J361" s="24">
        <v>0.40555555555555556</v>
      </c>
      <c r="K361" s="19">
        <v>5</v>
      </c>
      <c r="L361" s="12">
        <v>46060</v>
      </c>
      <c r="M361" s="24">
        <v>0.57222222222222219</v>
      </c>
      <c r="N361" s="11">
        <v>4</v>
      </c>
      <c r="O361" s="11" t="s">
        <v>68</v>
      </c>
      <c r="P361" s="11" t="s">
        <v>35</v>
      </c>
      <c r="Q361" s="11"/>
      <c r="R361" s="11" t="s">
        <v>36</v>
      </c>
      <c r="S361" s="19">
        <v>35</v>
      </c>
      <c r="T361" s="11" t="s">
        <v>49</v>
      </c>
      <c r="U361" s="11" t="s">
        <v>96</v>
      </c>
      <c r="V361" s="11">
        <v>2</v>
      </c>
      <c r="W361" s="11" t="s">
        <v>89</v>
      </c>
      <c r="X361" s="11" t="s">
        <v>3333</v>
      </c>
      <c r="Y361" s="11" t="s">
        <v>41</v>
      </c>
      <c r="Z361" s="11" t="s">
        <v>71</v>
      </c>
      <c r="AA361" s="11" t="str">
        <f>IF(A361=" ", "Missing Value", " ")</f>
        <v xml:space="preserve"> </v>
      </c>
    </row>
    <row r="362" spans="1:27">
      <c r="A362" s="11" t="s">
        <v>1492</v>
      </c>
      <c r="B362" s="11" t="s">
        <v>1493</v>
      </c>
      <c r="C362" s="11" t="s">
        <v>27</v>
      </c>
      <c r="D362" s="19">
        <v>42</v>
      </c>
      <c r="E362" s="11" t="s">
        <v>92</v>
      </c>
      <c r="F362" s="11" t="s">
        <v>29</v>
      </c>
      <c r="G362" s="11" t="s">
        <v>93</v>
      </c>
      <c r="H362" s="12">
        <v>46183</v>
      </c>
      <c r="I362" s="12" t="str">
        <f t="shared" si="5"/>
        <v>June</v>
      </c>
      <c r="J362" s="24">
        <v>0.30694444444444446</v>
      </c>
      <c r="K362" s="19">
        <v>24</v>
      </c>
      <c r="L362" s="12">
        <v>46184</v>
      </c>
      <c r="M362" s="24">
        <v>0.51527777777777772</v>
      </c>
      <c r="N362" s="11">
        <v>29</v>
      </c>
      <c r="O362" s="11" t="s">
        <v>34</v>
      </c>
      <c r="P362" s="11" t="s">
        <v>35</v>
      </c>
      <c r="Q362" s="11"/>
      <c r="R362" s="11" t="s">
        <v>36</v>
      </c>
      <c r="S362" s="19">
        <v>50</v>
      </c>
      <c r="T362" s="11" t="s">
        <v>37</v>
      </c>
      <c r="U362" s="11" t="s">
        <v>164</v>
      </c>
      <c r="V362" s="11">
        <v>3</v>
      </c>
      <c r="W362" s="11" t="s">
        <v>39</v>
      </c>
      <c r="X362" s="11" t="s">
        <v>3334</v>
      </c>
      <c r="Y362" s="11" t="s">
        <v>41</v>
      </c>
      <c r="Z362" s="11" t="s">
        <v>53</v>
      </c>
      <c r="AA362" s="11" t="str">
        <f>IF(A362=" ", "Missing Value", " ")</f>
        <v xml:space="preserve"> </v>
      </c>
    </row>
    <row r="363" spans="1:27">
      <c r="A363" s="11" t="s">
        <v>1496</v>
      </c>
      <c r="B363" s="11" t="s">
        <v>1497</v>
      </c>
      <c r="C363" s="11" t="s">
        <v>27</v>
      </c>
      <c r="D363" s="19">
        <v>77</v>
      </c>
      <c r="E363" s="11" t="s">
        <v>57</v>
      </c>
      <c r="F363" s="11" t="s">
        <v>29</v>
      </c>
      <c r="G363" s="11" t="s">
        <v>58</v>
      </c>
      <c r="H363" s="12">
        <v>46042</v>
      </c>
      <c r="I363" s="12" t="str">
        <f t="shared" si="5"/>
        <v>January</v>
      </c>
      <c r="J363" s="24">
        <v>0.50208333333333333</v>
      </c>
      <c r="K363" s="19">
        <v>3</v>
      </c>
      <c r="L363" s="12">
        <v>46042</v>
      </c>
      <c r="M363" s="24">
        <v>0.8354166666666667</v>
      </c>
      <c r="N363" s="11">
        <v>8</v>
      </c>
      <c r="O363" s="11" t="s">
        <v>34</v>
      </c>
      <c r="P363" s="11" t="s">
        <v>35</v>
      </c>
      <c r="Q363" s="11"/>
      <c r="R363" s="11" t="s">
        <v>36</v>
      </c>
      <c r="S363" s="19">
        <v>15</v>
      </c>
      <c r="T363" s="11" t="s">
        <v>37</v>
      </c>
      <c r="U363" s="11" t="s">
        <v>38</v>
      </c>
      <c r="V363" s="11">
        <v>1</v>
      </c>
      <c r="W363" s="11" t="s">
        <v>39</v>
      </c>
      <c r="X363" s="11" t="s">
        <v>3325</v>
      </c>
      <c r="Y363" s="11" t="s">
        <v>52</v>
      </c>
      <c r="Z363" s="11" t="s">
        <v>42</v>
      </c>
      <c r="AA363" s="11"/>
    </row>
    <row r="364" spans="1:27">
      <c r="A364" s="11" t="s">
        <v>1498</v>
      </c>
      <c r="B364" s="11" t="s">
        <v>1499</v>
      </c>
      <c r="C364" s="11" t="s">
        <v>56</v>
      </c>
      <c r="D364" s="19">
        <v>31</v>
      </c>
      <c r="E364" s="11" t="s">
        <v>57</v>
      </c>
      <c r="F364" s="11" t="s">
        <v>29</v>
      </c>
      <c r="G364" s="11" t="s">
        <v>58</v>
      </c>
      <c r="H364" s="12">
        <v>46151</v>
      </c>
      <c r="I364" s="12" t="str">
        <f t="shared" si="5"/>
        <v>May</v>
      </c>
      <c r="J364" s="24">
        <v>0.6875</v>
      </c>
      <c r="K364" s="19">
        <v>3</v>
      </c>
      <c r="L364" s="12">
        <v>46151</v>
      </c>
      <c r="M364" s="24">
        <v>0.97916666666666663</v>
      </c>
      <c r="N364" s="11">
        <v>7</v>
      </c>
      <c r="O364" s="11" t="s">
        <v>34</v>
      </c>
      <c r="P364" s="11" t="s">
        <v>35</v>
      </c>
      <c r="Q364" s="11"/>
      <c r="R364" s="11" t="s">
        <v>36</v>
      </c>
      <c r="S364" s="19">
        <v>15</v>
      </c>
      <c r="T364" s="11" t="s">
        <v>49</v>
      </c>
      <c r="U364" s="11" t="s">
        <v>38</v>
      </c>
      <c r="V364" s="11">
        <v>5</v>
      </c>
      <c r="W364" s="11" t="s">
        <v>62</v>
      </c>
      <c r="X364" s="11" t="s">
        <v>3333</v>
      </c>
      <c r="Y364" s="11" t="s">
        <v>109</v>
      </c>
      <c r="Z364" s="11" t="s">
        <v>71</v>
      </c>
      <c r="AA364" s="11"/>
    </row>
    <row r="365" spans="1:27">
      <c r="A365" s="11" t="s">
        <v>1501</v>
      </c>
      <c r="B365" s="11" t="s">
        <v>1502</v>
      </c>
      <c r="C365" s="11" t="s">
        <v>56</v>
      </c>
      <c r="D365" s="19">
        <v>46</v>
      </c>
      <c r="E365" s="11" t="s">
        <v>173</v>
      </c>
      <c r="F365" s="11" t="s">
        <v>29</v>
      </c>
      <c r="G365" s="11" t="s">
        <v>168</v>
      </c>
      <c r="H365" s="12">
        <v>46141</v>
      </c>
      <c r="I365" s="12" t="str">
        <f t="shared" si="5"/>
        <v>April</v>
      </c>
      <c r="J365" s="24">
        <v>0.30763888888888891</v>
      </c>
      <c r="K365" s="19">
        <v>4</v>
      </c>
      <c r="L365" s="12">
        <v>46141</v>
      </c>
      <c r="M365" s="24">
        <v>0.76597222222222228</v>
      </c>
      <c r="N365" s="11">
        <v>11</v>
      </c>
      <c r="O365" s="11" t="s">
        <v>34</v>
      </c>
      <c r="P365" s="11" t="s">
        <v>35</v>
      </c>
      <c r="Q365" s="11"/>
      <c r="R365" s="11" t="s">
        <v>36</v>
      </c>
      <c r="S365" s="19">
        <v>25</v>
      </c>
      <c r="T365" s="11" t="s">
        <v>37</v>
      </c>
      <c r="U365" s="11" t="s">
        <v>96</v>
      </c>
      <c r="V365" s="11">
        <v>2</v>
      </c>
      <c r="W365" s="11" t="s">
        <v>62</v>
      </c>
      <c r="X365" s="11" t="s">
        <v>51</v>
      </c>
      <c r="Y365" s="11" t="s">
        <v>41</v>
      </c>
      <c r="Z365" s="11" t="s">
        <v>71</v>
      </c>
      <c r="AA365" s="11" t="s">
        <v>3234</v>
      </c>
    </row>
    <row r="366" spans="1:27">
      <c r="A366" s="11" t="s">
        <v>1505</v>
      </c>
      <c r="B366" s="11" t="s">
        <v>1506</v>
      </c>
      <c r="C366" s="11" t="s">
        <v>27</v>
      </c>
      <c r="D366" s="19">
        <v>26</v>
      </c>
      <c r="E366" s="11" t="s">
        <v>57</v>
      </c>
      <c r="F366" s="11" t="s">
        <v>29</v>
      </c>
      <c r="G366" s="11" t="s">
        <v>58</v>
      </c>
      <c r="H366" s="12">
        <v>46038</v>
      </c>
      <c r="I366" s="12" t="str">
        <f t="shared" si="5"/>
        <v>January</v>
      </c>
      <c r="J366" s="24">
        <v>0.36041666666666666</v>
      </c>
      <c r="K366" s="19">
        <v>3</v>
      </c>
      <c r="L366" s="12">
        <v>46038</v>
      </c>
      <c r="M366" s="24">
        <v>0.69374999999999998</v>
      </c>
      <c r="N366" s="11">
        <v>8</v>
      </c>
      <c r="O366" s="11" t="s">
        <v>34</v>
      </c>
      <c r="P366" s="11" t="s">
        <v>35</v>
      </c>
      <c r="Q366" s="11"/>
      <c r="R366" s="11" t="s">
        <v>36</v>
      </c>
      <c r="S366" s="19">
        <v>15</v>
      </c>
      <c r="T366" s="11" t="s">
        <v>49</v>
      </c>
      <c r="U366" s="11" t="s">
        <v>96</v>
      </c>
      <c r="V366" s="11">
        <v>5</v>
      </c>
      <c r="W366" s="11" t="s">
        <v>62</v>
      </c>
      <c r="X366" s="11" t="s">
        <v>51</v>
      </c>
      <c r="Y366" s="11" t="s">
        <v>109</v>
      </c>
      <c r="Z366" s="11" t="s">
        <v>53</v>
      </c>
      <c r="AA366" s="11"/>
    </row>
    <row r="367" spans="1:27">
      <c r="A367" s="11" t="s">
        <v>1507</v>
      </c>
      <c r="B367" s="11" t="s">
        <v>1508</v>
      </c>
      <c r="C367" s="11" t="s">
        <v>27</v>
      </c>
      <c r="D367" s="19">
        <v>71</v>
      </c>
      <c r="E367" s="11" t="s">
        <v>28</v>
      </c>
      <c r="F367" s="11" t="s">
        <v>29</v>
      </c>
      <c r="G367" s="11" t="s">
        <v>58</v>
      </c>
      <c r="H367" s="12">
        <v>46116</v>
      </c>
      <c r="I367" s="12" t="str">
        <f t="shared" si="5"/>
        <v>April</v>
      </c>
      <c r="J367" s="24">
        <v>0.60624999999999996</v>
      </c>
      <c r="K367" s="19">
        <v>5</v>
      </c>
      <c r="L367" s="12">
        <v>46117</v>
      </c>
      <c r="M367" s="24">
        <v>0.10625</v>
      </c>
      <c r="N367" s="11">
        <v>12</v>
      </c>
      <c r="O367" s="11" t="s">
        <v>34</v>
      </c>
      <c r="P367" s="11" t="s">
        <v>35</v>
      </c>
      <c r="Q367" s="11"/>
      <c r="R367" s="11" t="s">
        <v>36</v>
      </c>
      <c r="S367" s="19">
        <v>35</v>
      </c>
      <c r="T367" s="11" t="s">
        <v>37</v>
      </c>
      <c r="U367" s="11" t="s">
        <v>164</v>
      </c>
      <c r="V367" s="11">
        <v>4</v>
      </c>
      <c r="W367" s="11" t="s">
        <v>39</v>
      </c>
      <c r="X367" s="11" t="s">
        <v>51</v>
      </c>
      <c r="Y367" s="11" t="s">
        <v>52</v>
      </c>
      <c r="Z367" s="11" t="s">
        <v>42</v>
      </c>
      <c r="AA367" s="11" t="s">
        <v>3234</v>
      </c>
    </row>
    <row r="368" spans="1:27">
      <c r="A368" s="11" t="s">
        <v>1511</v>
      </c>
      <c r="B368" s="11" t="s">
        <v>1512</v>
      </c>
      <c r="C368" s="11" t="s">
        <v>27</v>
      </c>
      <c r="D368" s="19">
        <v>83</v>
      </c>
      <c r="E368" s="11" t="s">
        <v>81</v>
      </c>
      <c r="F368" s="11" t="s">
        <v>82</v>
      </c>
      <c r="G368" s="11" t="s">
        <v>168</v>
      </c>
      <c r="H368" s="12">
        <v>46067</v>
      </c>
      <c r="I368" s="12" t="str">
        <f t="shared" si="5"/>
        <v>February</v>
      </c>
      <c r="J368" s="24">
        <v>0.33888888888888891</v>
      </c>
      <c r="K368" s="19">
        <v>8</v>
      </c>
      <c r="L368" s="12">
        <v>46067</v>
      </c>
      <c r="M368" s="24">
        <v>0.71388888888888891</v>
      </c>
      <c r="N368" s="11">
        <v>9</v>
      </c>
      <c r="O368" s="11" t="s">
        <v>34</v>
      </c>
      <c r="P368" s="11" t="s">
        <v>35</v>
      </c>
      <c r="Q368" s="11"/>
      <c r="R368" s="11" t="s">
        <v>36</v>
      </c>
      <c r="S368" s="19">
        <v>20</v>
      </c>
      <c r="T368" s="11" t="s">
        <v>49</v>
      </c>
      <c r="U368" s="11" t="s">
        <v>96</v>
      </c>
      <c r="V368" s="11">
        <v>2</v>
      </c>
      <c r="W368" s="11" t="s">
        <v>62</v>
      </c>
      <c r="X368" s="11" t="s">
        <v>3333</v>
      </c>
      <c r="Y368" s="11" t="s">
        <v>52</v>
      </c>
      <c r="Z368" s="11" t="s">
        <v>53</v>
      </c>
      <c r="AA368" s="11" t="s">
        <v>3234</v>
      </c>
    </row>
    <row r="369" spans="1:27">
      <c r="A369" s="11" t="s">
        <v>1514</v>
      </c>
      <c r="B369" s="11" t="s">
        <v>1515</v>
      </c>
      <c r="C369" s="11" t="s">
        <v>27</v>
      </c>
      <c r="D369" s="19">
        <v>72</v>
      </c>
      <c r="E369" s="11" t="s">
        <v>92</v>
      </c>
      <c r="F369" s="11" t="s">
        <v>29</v>
      </c>
      <c r="G369" s="11" t="s">
        <v>93</v>
      </c>
      <c r="H369" s="12">
        <v>46091</v>
      </c>
      <c r="I369" s="12" t="str">
        <f t="shared" si="5"/>
        <v>March</v>
      </c>
      <c r="J369" s="24">
        <v>0.6381944444444444</v>
      </c>
      <c r="K369" s="19">
        <v>24</v>
      </c>
      <c r="L369" s="12">
        <v>46092</v>
      </c>
      <c r="M369" s="24">
        <v>0.67986111111111114</v>
      </c>
      <c r="N369" s="11">
        <v>25</v>
      </c>
      <c r="O369" s="11" t="s">
        <v>34</v>
      </c>
      <c r="P369" s="11" t="s">
        <v>35</v>
      </c>
      <c r="Q369" s="11"/>
      <c r="R369" s="11" t="s">
        <v>36</v>
      </c>
      <c r="S369" s="19">
        <v>50</v>
      </c>
      <c r="T369" s="11" t="s">
        <v>37</v>
      </c>
      <c r="U369" s="11" t="s">
        <v>164</v>
      </c>
      <c r="V369" s="11">
        <v>2</v>
      </c>
      <c r="W369" s="11" t="s">
        <v>39</v>
      </c>
      <c r="X369" s="11" t="s">
        <v>3333</v>
      </c>
      <c r="Y369" s="11" t="s">
        <v>109</v>
      </c>
      <c r="Z369" s="11" t="s">
        <v>71</v>
      </c>
      <c r="AA369" s="11" t="str">
        <f>IF(A369=" ", "Missing Value", " ")</f>
        <v xml:space="preserve"> </v>
      </c>
    </row>
    <row r="370" spans="1:27">
      <c r="A370" s="11" t="s">
        <v>1518</v>
      </c>
      <c r="B370" s="11" t="s">
        <v>1519</v>
      </c>
      <c r="C370" s="11" t="s">
        <v>27</v>
      </c>
      <c r="D370" s="19">
        <v>1</v>
      </c>
      <c r="E370" s="11" t="s">
        <v>57</v>
      </c>
      <c r="F370" s="11" t="s">
        <v>29</v>
      </c>
      <c r="G370" s="11" t="s">
        <v>58</v>
      </c>
      <c r="H370" s="12">
        <v>46103</v>
      </c>
      <c r="I370" s="12" t="str">
        <f t="shared" si="5"/>
        <v>March</v>
      </c>
      <c r="J370" s="24">
        <v>0.55555555555555558</v>
      </c>
      <c r="K370" s="19">
        <v>3</v>
      </c>
      <c r="L370" s="12">
        <v>46103</v>
      </c>
      <c r="M370" s="24">
        <v>0.97222222222222221</v>
      </c>
      <c r="N370" s="11">
        <v>10</v>
      </c>
      <c r="O370" s="11" t="s">
        <v>34</v>
      </c>
      <c r="P370" s="11" t="s">
        <v>35</v>
      </c>
      <c r="Q370" s="11"/>
      <c r="R370" s="11" t="s">
        <v>36</v>
      </c>
      <c r="S370" s="19">
        <v>15</v>
      </c>
      <c r="T370" s="11" t="s">
        <v>49</v>
      </c>
      <c r="U370" s="11" t="s">
        <v>38</v>
      </c>
      <c r="V370" s="11">
        <v>2</v>
      </c>
      <c r="W370" s="11" t="s">
        <v>70</v>
      </c>
      <c r="X370" s="11" t="s">
        <v>3325</v>
      </c>
      <c r="Y370" s="11" t="s">
        <v>52</v>
      </c>
      <c r="Z370" s="11" t="s">
        <v>42</v>
      </c>
      <c r="AA370" s="11"/>
    </row>
    <row r="371" spans="1:27">
      <c r="A371" s="11" t="s">
        <v>1521</v>
      </c>
      <c r="B371" s="11" t="s">
        <v>1522</v>
      </c>
      <c r="C371" s="11" t="s">
        <v>27</v>
      </c>
      <c r="D371" s="19">
        <v>49</v>
      </c>
      <c r="E371" s="11" t="s">
        <v>57</v>
      </c>
      <c r="F371" s="11" t="s">
        <v>29</v>
      </c>
      <c r="G371" s="11" t="s">
        <v>58</v>
      </c>
      <c r="H371" s="12">
        <v>46181</v>
      </c>
      <c r="I371" s="12" t="str">
        <f t="shared" si="5"/>
        <v>June</v>
      </c>
      <c r="J371" s="24">
        <v>0.37361111111111112</v>
      </c>
      <c r="K371" s="19">
        <v>3</v>
      </c>
      <c r="L371" s="12">
        <v>46181</v>
      </c>
      <c r="M371" s="24">
        <v>0.58194444444444449</v>
      </c>
      <c r="N371" s="11">
        <v>5</v>
      </c>
      <c r="O371" s="11" t="s">
        <v>34</v>
      </c>
      <c r="P371" s="11" t="s">
        <v>270</v>
      </c>
      <c r="Q371" s="11" t="s">
        <v>620</v>
      </c>
      <c r="R371" s="11" t="s">
        <v>36</v>
      </c>
      <c r="S371" s="19">
        <v>15</v>
      </c>
      <c r="T371" s="11" t="s">
        <v>49</v>
      </c>
      <c r="U371" s="11" t="s">
        <v>38</v>
      </c>
      <c r="V371" s="11">
        <v>1</v>
      </c>
      <c r="W371" s="11" t="s">
        <v>62</v>
      </c>
      <c r="X371" s="11" t="s">
        <v>3333</v>
      </c>
      <c r="Y371" s="11" t="s">
        <v>52</v>
      </c>
      <c r="Z371" s="11" t="s">
        <v>42</v>
      </c>
      <c r="AA371" s="11" t="s">
        <v>3288</v>
      </c>
    </row>
    <row r="372" spans="1:27">
      <c r="A372" s="11" t="s">
        <v>1524</v>
      </c>
      <c r="B372" s="11" t="s">
        <v>1525</v>
      </c>
      <c r="C372" s="11" t="s">
        <v>27</v>
      </c>
      <c r="D372" s="19">
        <v>54</v>
      </c>
      <c r="E372" s="11" t="s">
        <v>149</v>
      </c>
      <c r="F372" s="11" t="s">
        <v>29</v>
      </c>
      <c r="G372" s="11" t="s">
        <v>83</v>
      </c>
      <c r="H372" s="12">
        <v>46152</v>
      </c>
      <c r="I372" s="12" t="str">
        <f t="shared" si="5"/>
        <v>May</v>
      </c>
      <c r="J372" s="24">
        <v>0.62013888888888891</v>
      </c>
      <c r="K372" s="19">
        <v>6</v>
      </c>
      <c r="L372" s="12">
        <v>46152</v>
      </c>
      <c r="M372" s="24">
        <v>0.82847222222222228</v>
      </c>
      <c r="N372" s="11">
        <v>5</v>
      </c>
      <c r="O372" s="11" t="s">
        <v>68</v>
      </c>
      <c r="P372" s="11" t="s">
        <v>35</v>
      </c>
      <c r="Q372" s="11"/>
      <c r="R372" s="11" t="s">
        <v>36</v>
      </c>
      <c r="S372" s="19">
        <v>40</v>
      </c>
      <c r="T372" s="11" t="s">
        <v>49</v>
      </c>
      <c r="U372" s="11" t="s">
        <v>38</v>
      </c>
      <c r="V372" s="11">
        <v>5</v>
      </c>
      <c r="W372" s="11" t="s">
        <v>39</v>
      </c>
      <c r="X372" s="11" t="s">
        <v>3325</v>
      </c>
      <c r="Y372" s="11" t="s">
        <v>109</v>
      </c>
      <c r="Z372" s="11" t="s">
        <v>42</v>
      </c>
      <c r="AA372" s="11" t="s">
        <v>3234</v>
      </c>
    </row>
    <row r="373" spans="1:27">
      <c r="A373" s="11" t="s">
        <v>1526</v>
      </c>
      <c r="B373" s="11" t="s">
        <v>1527</v>
      </c>
      <c r="C373" s="11" t="s">
        <v>27</v>
      </c>
      <c r="D373" s="19">
        <v>68</v>
      </c>
      <c r="E373" s="11" t="s">
        <v>92</v>
      </c>
      <c r="F373" s="11" t="s">
        <v>29</v>
      </c>
      <c r="G373" s="11" t="s">
        <v>168</v>
      </c>
      <c r="H373" s="12">
        <v>46161</v>
      </c>
      <c r="I373" s="12" t="str">
        <f t="shared" si="5"/>
        <v>May</v>
      </c>
      <c r="J373" s="24">
        <v>0.53749999999999998</v>
      </c>
      <c r="K373" s="19">
        <v>24</v>
      </c>
      <c r="L373" s="12">
        <v>46162</v>
      </c>
      <c r="M373" s="24">
        <v>0.53749999999999998</v>
      </c>
      <c r="N373" s="11">
        <v>24</v>
      </c>
      <c r="O373" s="11" t="s">
        <v>68</v>
      </c>
      <c r="P373" s="11" t="s">
        <v>35</v>
      </c>
      <c r="Q373" s="11"/>
      <c r="R373" s="11" t="s">
        <v>36</v>
      </c>
      <c r="S373" s="19">
        <v>50</v>
      </c>
      <c r="T373" s="11" t="s">
        <v>37</v>
      </c>
      <c r="U373" s="11" t="s">
        <v>96</v>
      </c>
      <c r="V373" s="11">
        <v>1</v>
      </c>
      <c r="W373" s="11" t="s">
        <v>39</v>
      </c>
      <c r="X373" s="11" t="s">
        <v>3325</v>
      </c>
      <c r="Y373" s="11" t="s">
        <v>109</v>
      </c>
      <c r="Z373" s="11" t="s">
        <v>53</v>
      </c>
      <c r="AA373" s="11" t="s">
        <v>3234</v>
      </c>
    </row>
    <row r="374" spans="1:27">
      <c r="A374" s="11" t="s">
        <v>1529</v>
      </c>
      <c r="B374" s="11" t="s">
        <v>1530</v>
      </c>
      <c r="C374" s="11" t="s">
        <v>27</v>
      </c>
      <c r="D374" s="19">
        <v>3</v>
      </c>
      <c r="E374" s="11" t="s">
        <v>81</v>
      </c>
      <c r="F374" s="11" t="s">
        <v>82</v>
      </c>
      <c r="G374" s="11" t="s">
        <v>83</v>
      </c>
      <c r="H374" s="12">
        <v>46156</v>
      </c>
      <c r="I374" s="12" t="str">
        <f t="shared" si="5"/>
        <v>May</v>
      </c>
      <c r="J374" s="24">
        <v>0.53333333333333333</v>
      </c>
      <c r="K374" s="19">
        <v>8</v>
      </c>
      <c r="L374" s="12">
        <v>46157</v>
      </c>
      <c r="M374" s="24">
        <v>0.2</v>
      </c>
      <c r="N374" s="11">
        <v>16</v>
      </c>
      <c r="O374" s="11" t="s">
        <v>34</v>
      </c>
      <c r="P374" s="11" t="s">
        <v>35</v>
      </c>
      <c r="Q374" s="11"/>
      <c r="R374" s="11" t="s">
        <v>36</v>
      </c>
      <c r="S374" s="19">
        <v>20</v>
      </c>
      <c r="T374" s="11" t="s">
        <v>49</v>
      </c>
      <c r="U374" s="11" t="s">
        <v>38</v>
      </c>
      <c r="V374" s="11">
        <v>4</v>
      </c>
      <c r="W374" s="11" t="s">
        <v>62</v>
      </c>
      <c r="X374" s="11" t="s">
        <v>3325</v>
      </c>
      <c r="Y374" s="11" t="s">
        <v>109</v>
      </c>
      <c r="Z374" s="11" t="s">
        <v>42</v>
      </c>
      <c r="AA374" s="11" t="str">
        <f>IF(A374=" ", "Missing Value", " ")</f>
        <v xml:space="preserve"> </v>
      </c>
    </row>
    <row r="375" spans="1:27">
      <c r="A375" s="11" t="s">
        <v>1532</v>
      </c>
      <c r="B375" s="11" t="s">
        <v>1533</v>
      </c>
      <c r="C375" s="11" t="s">
        <v>27</v>
      </c>
      <c r="D375" s="19">
        <v>33</v>
      </c>
      <c r="E375" s="11" t="s">
        <v>149</v>
      </c>
      <c r="F375" s="11" t="s">
        <v>29</v>
      </c>
      <c r="G375" s="11" t="s">
        <v>30</v>
      </c>
      <c r="H375" s="12">
        <v>46147</v>
      </c>
      <c r="I375" s="12" t="str">
        <f t="shared" si="5"/>
        <v>May</v>
      </c>
      <c r="J375" s="24">
        <v>0.32430555555555557</v>
      </c>
      <c r="K375" s="19">
        <v>6</v>
      </c>
      <c r="L375" s="12">
        <v>46147</v>
      </c>
      <c r="M375" s="24">
        <v>0.86597222222222225</v>
      </c>
      <c r="N375" s="11">
        <v>13</v>
      </c>
      <c r="O375" s="11" t="s">
        <v>34</v>
      </c>
      <c r="P375" s="11" t="s">
        <v>35</v>
      </c>
      <c r="Q375" s="11"/>
      <c r="R375" s="11" t="s">
        <v>36</v>
      </c>
      <c r="S375" s="19">
        <v>40</v>
      </c>
      <c r="T375" s="11" t="s">
        <v>49</v>
      </c>
      <c r="U375" s="11" t="s">
        <v>96</v>
      </c>
      <c r="V375" s="11">
        <v>5</v>
      </c>
      <c r="W375" s="11" t="s">
        <v>62</v>
      </c>
      <c r="X375" s="11" t="s">
        <v>51</v>
      </c>
      <c r="Y375" s="11" t="s">
        <v>109</v>
      </c>
      <c r="Z375" s="11" t="s">
        <v>42</v>
      </c>
      <c r="AA375" s="11" t="str">
        <f>IF(A375=" ", "Missing Value", " ")</f>
        <v xml:space="preserve"> </v>
      </c>
    </row>
    <row r="376" spans="1:27">
      <c r="A376" s="11" t="s">
        <v>1534</v>
      </c>
      <c r="B376" s="11" t="s">
        <v>1535</v>
      </c>
      <c r="C376" s="11" t="s">
        <v>56</v>
      </c>
      <c r="D376" s="19">
        <v>6</v>
      </c>
      <c r="E376" s="11" t="s">
        <v>57</v>
      </c>
      <c r="F376" s="11" t="s">
        <v>29</v>
      </c>
      <c r="G376" s="11" t="s">
        <v>83</v>
      </c>
      <c r="H376" s="12">
        <v>46095</v>
      </c>
      <c r="I376" s="12" t="str">
        <f t="shared" si="5"/>
        <v>March</v>
      </c>
      <c r="J376" s="24">
        <v>0.35208333333333336</v>
      </c>
      <c r="K376" s="19">
        <v>3</v>
      </c>
      <c r="L376" s="12">
        <v>46095</v>
      </c>
      <c r="M376" s="24">
        <v>0.7270833333333333</v>
      </c>
      <c r="N376" s="11">
        <v>9</v>
      </c>
      <c r="O376" s="11" t="s">
        <v>34</v>
      </c>
      <c r="P376" s="11" t="s">
        <v>35</v>
      </c>
      <c r="Q376" s="11"/>
      <c r="R376" s="11" t="s">
        <v>36</v>
      </c>
      <c r="S376" s="19">
        <v>15</v>
      </c>
      <c r="T376" s="11" t="s">
        <v>49</v>
      </c>
      <c r="U376" s="11" t="s">
        <v>164</v>
      </c>
      <c r="V376" s="11">
        <v>3</v>
      </c>
      <c r="W376" s="11" t="s">
        <v>89</v>
      </c>
      <c r="X376" s="11" t="s">
        <v>3334</v>
      </c>
      <c r="Y376" s="11" t="s">
        <v>52</v>
      </c>
      <c r="Z376" s="11" t="s">
        <v>53</v>
      </c>
      <c r="AA376" s="11" t="s">
        <v>3234</v>
      </c>
    </row>
    <row r="377" spans="1:27">
      <c r="A377" s="11" t="s">
        <v>1537</v>
      </c>
      <c r="B377" s="11" t="s">
        <v>1538</v>
      </c>
      <c r="C377" s="11" t="s">
        <v>56</v>
      </c>
      <c r="D377" s="19">
        <v>51</v>
      </c>
      <c r="E377" s="11" t="s">
        <v>28</v>
      </c>
      <c r="F377" s="11" t="s">
        <v>29</v>
      </c>
      <c r="G377" s="11" t="s">
        <v>30</v>
      </c>
      <c r="H377" s="12">
        <v>46110</v>
      </c>
      <c r="I377" s="12" t="str">
        <f t="shared" si="5"/>
        <v>March</v>
      </c>
      <c r="J377" s="24">
        <v>0.52986111111111112</v>
      </c>
      <c r="K377" s="19">
        <v>5</v>
      </c>
      <c r="L377" s="12">
        <v>46110</v>
      </c>
      <c r="M377" s="24">
        <v>0.94652777777777775</v>
      </c>
      <c r="N377" s="11">
        <v>10</v>
      </c>
      <c r="O377" s="11" t="s">
        <v>34</v>
      </c>
      <c r="P377" s="11" t="s">
        <v>35</v>
      </c>
      <c r="Q377" s="11"/>
      <c r="R377" s="11" t="s">
        <v>36</v>
      </c>
      <c r="S377" s="19">
        <v>35</v>
      </c>
      <c r="T377" s="11" t="s">
        <v>37</v>
      </c>
      <c r="U377" s="11" t="s">
        <v>38</v>
      </c>
      <c r="V377" s="11">
        <v>2</v>
      </c>
      <c r="W377" s="11" t="s">
        <v>70</v>
      </c>
      <c r="X377" s="11" t="s">
        <v>3334</v>
      </c>
      <c r="Y377" s="11" t="s">
        <v>52</v>
      </c>
      <c r="Z377" s="11" t="s">
        <v>42</v>
      </c>
      <c r="AA377" s="11" t="str">
        <f>IF(A377=" ", "Missing Value", " ")</f>
        <v xml:space="preserve"> </v>
      </c>
    </row>
    <row r="378" spans="1:27">
      <c r="A378" s="11" t="s">
        <v>1540</v>
      </c>
      <c r="B378" s="11" t="s">
        <v>1541</v>
      </c>
      <c r="C378" s="11" t="s">
        <v>27</v>
      </c>
      <c r="D378" s="19">
        <v>41</v>
      </c>
      <c r="E378" s="11" t="s">
        <v>149</v>
      </c>
      <c r="F378" s="11" t="s">
        <v>29</v>
      </c>
      <c r="G378" s="11" t="s">
        <v>168</v>
      </c>
      <c r="H378" s="12">
        <v>46199</v>
      </c>
      <c r="I378" s="12" t="str">
        <f t="shared" si="5"/>
        <v>June</v>
      </c>
      <c r="J378" s="24">
        <v>0.40555555555555556</v>
      </c>
      <c r="K378" s="19">
        <v>6</v>
      </c>
      <c r="L378" s="12">
        <v>46199</v>
      </c>
      <c r="M378" s="24">
        <v>0.90555555555555556</v>
      </c>
      <c r="N378" s="11">
        <v>12</v>
      </c>
      <c r="O378" s="11" t="s">
        <v>34</v>
      </c>
      <c r="P378" s="11" t="s">
        <v>35</v>
      </c>
      <c r="Q378" s="11"/>
      <c r="R378" s="11" t="s">
        <v>36</v>
      </c>
      <c r="S378" s="19">
        <v>40</v>
      </c>
      <c r="T378" s="11" t="s">
        <v>49</v>
      </c>
      <c r="U378" s="11" t="s">
        <v>164</v>
      </c>
      <c r="V378" s="11">
        <v>3</v>
      </c>
      <c r="W378" s="11" t="s">
        <v>39</v>
      </c>
      <c r="X378" s="11" t="s">
        <v>3334</v>
      </c>
      <c r="Y378" s="11" t="s">
        <v>52</v>
      </c>
      <c r="Z378" s="11" t="s">
        <v>42</v>
      </c>
      <c r="AA378" s="11" t="s">
        <v>3234</v>
      </c>
    </row>
    <row r="379" spans="1:27">
      <c r="A379" s="11" t="s">
        <v>1543</v>
      </c>
      <c r="B379" s="11" t="s">
        <v>1544</v>
      </c>
      <c r="C379" s="11" t="s">
        <v>56</v>
      </c>
      <c r="D379" s="19">
        <v>27</v>
      </c>
      <c r="E379" s="11" t="s">
        <v>81</v>
      </c>
      <c r="F379" s="11" t="s">
        <v>82</v>
      </c>
      <c r="G379" s="11" t="s">
        <v>58</v>
      </c>
      <c r="H379" s="12">
        <v>46160</v>
      </c>
      <c r="I379" s="12" t="str">
        <f t="shared" si="5"/>
        <v>May</v>
      </c>
      <c r="J379" s="24">
        <v>0.45555555555555555</v>
      </c>
      <c r="K379" s="19">
        <v>8</v>
      </c>
      <c r="L379" s="12">
        <v>46160</v>
      </c>
      <c r="M379" s="24">
        <v>0.87222222222222223</v>
      </c>
      <c r="N379" s="11">
        <v>10</v>
      </c>
      <c r="O379" s="11" t="s">
        <v>34</v>
      </c>
      <c r="P379" s="11" t="s">
        <v>35</v>
      </c>
      <c r="Q379" s="11"/>
      <c r="R379" s="11" t="s">
        <v>36</v>
      </c>
      <c r="S379" s="19">
        <v>20</v>
      </c>
      <c r="T379" s="11" t="s">
        <v>49</v>
      </c>
      <c r="U379" s="11" t="s">
        <v>164</v>
      </c>
      <c r="V379" s="11">
        <v>5</v>
      </c>
      <c r="W379" s="11" t="s">
        <v>89</v>
      </c>
      <c r="X379" s="11" t="s">
        <v>3334</v>
      </c>
      <c r="Y379" s="11" t="s">
        <v>109</v>
      </c>
      <c r="Z379" s="11" t="s">
        <v>53</v>
      </c>
      <c r="AA379" s="11" t="s">
        <v>3234</v>
      </c>
    </row>
    <row r="380" spans="1:27">
      <c r="A380" s="11" t="s">
        <v>1547</v>
      </c>
      <c r="B380" s="11" t="s">
        <v>1548</v>
      </c>
      <c r="C380" s="11" t="s">
        <v>56</v>
      </c>
      <c r="D380" s="19">
        <v>55</v>
      </c>
      <c r="E380" s="11" t="s">
        <v>28</v>
      </c>
      <c r="F380" s="11" t="s">
        <v>29</v>
      </c>
      <c r="G380" s="11" t="s">
        <v>30</v>
      </c>
      <c r="H380" s="12">
        <v>46103</v>
      </c>
      <c r="I380" s="12" t="str">
        <f t="shared" si="5"/>
        <v>March</v>
      </c>
      <c r="J380" s="24">
        <v>0.46875</v>
      </c>
      <c r="K380" s="19">
        <v>5</v>
      </c>
      <c r="L380" s="12">
        <v>46103</v>
      </c>
      <c r="M380" s="24">
        <v>0.84375</v>
      </c>
      <c r="N380" s="11">
        <v>9</v>
      </c>
      <c r="O380" s="11" t="s">
        <v>34</v>
      </c>
      <c r="P380" s="11" t="s">
        <v>35</v>
      </c>
      <c r="Q380" s="11"/>
      <c r="R380" s="11" t="s">
        <v>36</v>
      </c>
      <c r="S380" s="19">
        <v>35</v>
      </c>
      <c r="T380" s="11" t="s">
        <v>49</v>
      </c>
      <c r="U380" s="11" t="s">
        <v>38</v>
      </c>
      <c r="V380" s="11">
        <v>4</v>
      </c>
      <c r="W380" s="11" t="s">
        <v>39</v>
      </c>
      <c r="X380" s="11" t="s">
        <v>51</v>
      </c>
      <c r="Y380" s="11" t="s">
        <v>52</v>
      </c>
      <c r="Z380" s="11" t="s">
        <v>71</v>
      </c>
      <c r="AA380" s="11" t="str">
        <f>IF(A380=" ", "Missing Value", " ")</f>
        <v xml:space="preserve"> </v>
      </c>
    </row>
    <row r="381" spans="1:27">
      <c r="A381" s="11" t="s">
        <v>1551</v>
      </c>
      <c r="B381" s="11" t="s">
        <v>1552</v>
      </c>
      <c r="C381" s="11" t="s">
        <v>56</v>
      </c>
      <c r="D381" s="19">
        <v>76</v>
      </c>
      <c r="E381" s="11" t="s">
        <v>173</v>
      </c>
      <c r="F381" s="11" t="s">
        <v>29</v>
      </c>
      <c r="G381" s="11" t="s">
        <v>168</v>
      </c>
      <c r="H381" s="12">
        <v>46108</v>
      </c>
      <c r="I381" s="12" t="str">
        <f t="shared" si="5"/>
        <v>March</v>
      </c>
      <c r="J381" s="24">
        <v>0.47222222222222221</v>
      </c>
      <c r="K381" s="19">
        <v>4</v>
      </c>
      <c r="L381" s="12">
        <v>46108</v>
      </c>
      <c r="M381" s="24">
        <v>0.63888888888888884</v>
      </c>
      <c r="N381" s="11">
        <v>4</v>
      </c>
      <c r="O381" s="11" t="s">
        <v>68</v>
      </c>
      <c r="P381" s="11" t="s">
        <v>35</v>
      </c>
      <c r="Q381" s="11"/>
      <c r="R381" s="11" t="s">
        <v>36</v>
      </c>
      <c r="S381" s="19">
        <v>25</v>
      </c>
      <c r="T381" s="11" t="s">
        <v>37</v>
      </c>
      <c r="U381" s="11" t="s">
        <v>96</v>
      </c>
      <c r="V381" s="11">
        <v>1</v>
      </c>
      <c r="W381" s="11" t="s">
        <v>89</v>
      </c>
      <c r="X381" s="11" t="s">
        <v>3334</v>
      </c>
      <c r="Y381" s="11" t="s">
        <v>109</v>
      </c>
      <c r="Z381" s="11" t="s">
        <v>71</v>
      </c>
      <c r="AA381" s="11" t="s">
        <v>3234</v>
      </c>
    </row>
    <row r="382" spans="1:27">
      <c r="A382" s="11" t="s">
        <v>1553</v>
      </c>
      <c r="B382" s="11" t="s">
        <v>1554</v>
      </c>
      <c r="C382" s="11" t="s">
        <v>27</v>
      </c>
      <c r="D382" s="19">
        <v>90</v>
      </c>
      <c r="E382" s="11" t="s">
        <v>81</v>
      </c>
      <c r="F382" s="11" t="s">
        <v>82</v>
      </c>
      <c r="G382" s="11" t="s">
        <v>83</v>
      </c>
      <c r="H382" s="12">
        <v>46141</v>
      </c>
      <c r="I382" s="12" t="str">
        <f t="shared" si="5"/>
        <v>April</v>
      </c>
      <c r="J382" s="24">
        <v>0.61736111111111114</v>
      </c>
      <c r="K382" s="19">
        <v>8</v>
      </c>
      <c r="L382" s="12">
        <v>46142</v>
      </c>
      <c r="M382" s="24">
        <v>7.5694444444444439E-2</v>
      </c>
      <c r="N382" s="11">
        <v>11</v>
      </c>
      <c r="O382" s="11" t="s">
        <v>34</v>
      </c>
      <c r="P382" s="11" t="s">
        <v>35</v>
      </c>
      <c r="Q382" s="11"/>
      <c r="R382" s="11" t="s">
        <v>36</v>
      </c>
      <c r="S382" s="19">
        <v>20</v>
      </c>
      <c r="T382" s="11" t="s">
        <v>37</v>
      </c>
      <c r="U382" s="11" t="s">
        <v>38</v>
      </c>
      <c r="V382" s="11">
        <v>2</v>
      </c>
      <c r="W382" s="11" t="s">
        <v>89</v>
      </c>
      <c r="X382" s="11" t="s">
        <v>51</v>
      </c>
      <c r="Y382" s="11" t="s">
        <v>52</v>
      </c>
      <c r="Z382" s="11" t="s">
        <v>53</v>
      </c>
      <c r="AA382" s="11" t="str">
        <f>IF(A382=" ", "Missing Value", " ")</f>
        <v xml:space="preserve"> </v>
      </c>
    </row>
    <row r="383" spans="1:27">
      <c r="A383" s="11" t="s">
        <v>1555</v>
      </c>
      <c r="B383" s="11" t="s">
        <v>1556</v>
      </c>
      <c r="C383" s="11" t="s">
        <v>27</v>
      </c>
      <c r="D383" s="19">
        <v>33</v>
      </c>
      <c r="E383" s="11" t="s">
        <v>28</v>
      </c>
      <c r="F383" s="11" t="s">
        <v>29</v>
      </c>
      <c r="G383" s="11" t="s">
        <v>30</v>
      </c>
      <c r="H383" s="12">
        <v>46165</v>
      </c>
      <c r="I383" s="12" t="str">
        <f t="shared" si="5"/>
        <v>May</v>
      </c>
      <c r="J383" s="24">
        <v>0.48125000000000001</v>
      </c>
      <c r="K383" s="19">
        <v>5</v>
      </c>
      <c r="L383" s="12">
        <v>46166</v>
      </c>
      <c r="M383" s="24">
        <v>2.2916666666666665E-2</v>
      </c>
      <c r="N383" s="11">
        <v>13</v>
      </c>
      <c r="O383" s="11" t="s">
        <v>34</v>
      </c>
      <c r="P383" s="11" t="s">
        <v>35</v>
      </c>
      <c r="Q383" s="11"/>
      <c r="R383" s="11" t="s">
        <v>36</v>
      </c>
      <c r="S383" s="19">
        <v>35</v>
      </c>
      <c r="T383" s="11" t="s">
        <v>49</v>
      </c>
      <c r="U383" s="11" t="s">
        <v>96</v>
      </c>
      <c r="V383" s="11">
        <v>4</v>
      </c>
      <c r="W383" s="11" t="s">
        <v>89</v>
      </c>
      <c r="X383" s="11" t="s">
        <v>3325</v>
      </c>
      <c r="Y383" s="11" t="s">
        <v>109</v>
      </c>
      <c r="Z383" s="11" t="s">
        <v>71</v>
      </c>
      <c r="AA383" s="11" t="str">
        <f>IF(A383=" ", "Missing Value", " ")</f>
        <v xml:space="preserve"> </v>
      </c>
    </row>
    <row r="384" spans="1:27">
      <c r="A384" s="11" t="s">
        <v>1559</v>
      </c>
      <c r="B384" s="11" t="s">
        <v>1560</v>
      </c>
      <c r="C384" s="11" t="s">
        <v>27</v>
      </c>
      <c r="D384" s="19">
        <v>2</v>
      </c>
      <c r="E384" s="11" t="s">
        <v>149</v>
      </c>
      <c r="F384" s="11" t="s">
        <v>29</v>
      </c>
      <c r="G384" s="11" t="s">
        <v>168</v>
      </c>
      <c r="H384" s="12">
        <v>46127</v>
      </c>
      <c r="I384" s="12" t="str">
        <f t="shared" si="5"/>
        <v>April</v>
      </c>
      <c r="J384" s="24">
        <v>0.43055555555555558</v>
      </c>
      <c r="K384" s="19">
        <v>6</v>
      </c>
      <c r="L384" s="12">
        <v>46127</v>
      </c>
      <c r="M384" s="24">
        <v>0.93055555555555558</v>
      </c>
      <c r="N384" s="11">
        <v>12</v>
      </c>
      <c r="O384" s="11" t="s">
        <v>34</v>
      </c>
      <c r="P384" s="11" t="s">
        <v>35</v>
      </c>
      <c r="Q384" s="11"/>
      <c r="R384" s="11" t="s">
        <v>36</v>
      </c>
      <c r="S384" s="19">
        <v>40</v>
      </c>
      <c r="T384" s="11" t="s">
        <v>49</v>
      </c>
      <c r="U384" s="11" t="s">
        <v>164</v>
      </c>
      <c r="V384" s="11">
        <v>4</v>
      </c>
      <c r="W384" s="11" t="s">
        <v>62</v>
      </c>
      <c r="X384" s="11" t="s">
        <v>51</v>
      </c>
      <c r="Y384" s="11" t="s">
        <v>41</v>
      </c>
      <c r="Z384" s="11" t="s">
        <v>71</v>
      </c>
      <c r="AA384" s="11" t="s">
        <v>3234</v>
      </c>
    </row>
    <row r="385" spans="1:27">
      <c r="A385" s="11" t="s">
        <v>1563</v>
      </c>
      <c r="B385" s="11" t="s">
        <v>1564</v>
      </c>
      <c r="C385" s="11" t="s">
        <v>56</v>
      </c>
      <c r="D385" s="19">
        <v>20</v>
      </c>
      <c r="E385" s="11" t="s">
        <v>57</v>
      </c>
      <c r="F385" s="11" t="s">
        <v>29</v>
      </c>
      <c r="G385" s="11" t="s">
        <v>58</v>
      </c>
      <c r="H385" s="12">
        <v>46079</v>
      </c>
      <c r="I385" s="12" t="str">
        <f t="shared" si="5"/>
        <v>February</v>
      </c>
      <c r="J385" s="24">
        <v>0.59583333333333333</v>
      </c>
      <c r="K385" s="19">
        <v>3</v>
      </c>
      <c r="L385" s="12">
        <v>46079</v>
      </c>
      <c r="M385" s="24">
        <v>0.9291666666666667</v>
      </c>
      <c r="N385" s="11">
        <v>8</v>
      </c>
      <c r="O385" s="11" t="s">
        <v>34</v>
      </c>
      <c r="P385" s="11" t="s">
        <v>35</v>
      </c>
      <c r="Q385" s="11"/>
      <c r="R385" s="11" t="s">
        <v>132</v>
      </c>
      <c r="S385" s="19">
        <v>15</v>
      </c>
      <c r="T385" s="11" t="s">
        <v>49</v>
      </c>
      <c r="U385" s="11" t="s">
        <v>96</v>
      </c>
      <c r="V385" s="11">
        <v>3</v>
      </c>
      <c r="W385" s="11" t="s">
        <v>39</v>
      </c>
      <c r="X385" s="11" t="s">
        <v>3333</v>
      </c>
      <c r="Y385" s="11" t="s">
        <v>109</v>
      </c>
      <c r="Z385" s="11" t="s">
        <v>42</v>
      </c>
      <c r="AA385" s="11" t="s">
        <v>3262</v>
      </c>
    </row>
    <row r="386" spans="1:27">
      <c r="A386" s="11" t="s">
        <v>1566</v>
      </c>
      <c r="B386" s="11" t="s">
        <v>1567</v>
      </c>
      <c r="C386" s="11" t="s">
        <v>27</v>
      </c>
      <c r="D386" s="19">
        <v>24</v>
      </c>
      <c r="E386" s="11" t="s">
        <v>81</v>
      </c>
      <c r="F386" s="11" t="s">
        <v>82</v>
      </c>
      <c r="G386" s="11" t="s">
        <v>83</v>
      </c>
      <c r="H386" s="12">
        <v>46023</v>
      </c>
      <c r="I386" s="12" t="str">
        <f t="shared" ref="I386:I449" si="6">TEXT(H386, "mmmm")</f>
        <v>January</v>
      </c>
      <c r="J386" s="24">
        <v>0.45</v>
      </c>
      <c r="K386" s="19">
        <v>8</v>
      </c>
      <c r="L386" s="12">
        <v>46023</v>
      </c>
      <c r="M386" s="24">
        <v>0.90833333333333333</v>
      </c>
      <c r="N386" s="11">
        <v>11</v>
      </c>
      <c r="O386" s="11" t="s">
        <v>34</v>
      </c>
      <c r="P386" s="11" t="s">
        <v>35</v>
      </c>
      <c r="Q386" s="11"/>
      <c r="R386" s="11" t="s">
        <v>36</v>
      </c>
      <c r="S386" s="19">
        <v>20</v>
      </c>
      <c r="T386" s="11" t="s">
        <v>49</v>
      </c>
      <c r="U386" s="11" t="s">
        <v>164</v>
      </c>
      <c r="V386" s="11">
        <v>3</v>
      </c>
      <c r="W386" s="11" t="s">
        <v>62</v>
      </c>
      <c r="X386" s="11" t="s">
        <v>3334</v>
      </c>
      <c r="Y386" s="11" t="s">
        <v>52</v>
      </c>
      <c r="Z386" s="11" t="s">
        <v>42</v>
      </c>
      <c r="AA386" s="11" t="str">
        <f>IF(A386=" ", "Missing Value", " ")</f>
        <v xml:space="preserve"> </v>
      </c>
    </row>
    <row r="387" spans="1:27">
      <c r="A387" s="11" t="s">
        <v>1570</v>
      </c>
      <c r="B387" s="11" t="s">
        <v>1571</v>
      </c>
      <c r="C387" s="11" t="s">
        <v>27</v>
      </c>
      <c r="D387" s="19">
        <v>27</v>
      </c>
      <c r="E387" s="11" t="s">
        <v>92</v>
      </c>
      <c r="F387" s="11" t="s">
        <v>29</v>
      </c>
      <c r="G387" s="11" t="s">
        <v>30</v>
      </c>
      <c r="H387" s="12">
        <v>46080</v>
      </c>
      <c r="I387" s="12" t="str">
        <f t="shared" si="6"/>
        <v>February</v>
      </c>
      <c r="J387" s="24">
        <v>0.47152777777777777</v>
      </c>
      <c r="K387" s="19">
        <v>24</v>
      </c>
      <c r="L387" s="12">
        <v>46081</v>
      </c>
      <c r="M387" s="24">
        <v>0.55486111111111114</v>
      </c>
      <c r="N387" s="11">
        <v>26</v>
      </c>
      <c r="O387" s="11" t="s">
        <v>34</v>
      </c>
      <c r="P387" s="11" t="s">
        <v>35</v>
      </c>
      <c r="Q387" s="11"/>
      <c r="R387" s="11" t="s">
        <v>36</v>
      </c>
      <c r="S387" s="19">
        <v>50</v>
      </c>
      <c r="T387" s="11" t="s">
        <v>49</v>
      </c>
      <c r="U387" s="11" t="s">
        <v>38</v>
      </c>
      <c r="V387" s="11">
        <v>3</v>
      </c>
      <c r="W387" s="11" t="s">
        <v>89</v>
      </c>
      <c r="X387" s="11" t="s">
        <v>3325</v>
      </c>
      <c r="Y387" s="11" t="s">
        <v>109</v>
      </c>
      <c r="Z387" s="11" t="s">
        <v>42</v>
      </c>
      <c r="AA387" s="11" t="s">
        <v>3234</v>
      </c>
    </row>
    <row r="388" spans="1:27">
      <c r="A388" s="11" t="s">
        <v>1574</v>
      </c>
      <c r="B388" s="11" t="s">
        <v>1575</v>
      </c>
      <c r="C388" s="11" t="s">
        <v>56</v>
      </c>
      <c r="D388" s="19">
        <v>29</v>
      </c>
      <c r="E388" s="11" t="s">
        <v>173</v>
      </c>
      <c r="F388" s="11" t="s">
        <v>29</v>
      </c>
      <c r="G388" s="11" t="s">
        <v>168</v>
      </c>
      <c r="H388" s="12">
        <v>46160</v>
      </c>
      <c r="I388" s="12" t="str">
        <f t="shared" si="6"/>
        <v>May</v>
      </c>
      <c r="J388" s="24">
        <v>0.45694444444444443</v>
      </c>
      <c r="K388" s="19">
        <v>4</v>
      </c>
      <c r="L388" s="12">
        <v>46160</v>
      </c>
      <c r="M388" s="24">
        <v>0.87361111111111112</v>
      </c>
      <c r="N388" s="11">
        <v>10</v>
      </c>
      <c r="O388" s="11" t="s">
        <v>34</v>
      </c>
      <c r="P388" s="11" t="s">
        <v>35</v>
      </c>
      <c r="Q388" s="11"/>
      <c r="R388" s="11" t="s">
        <v>36</v>
      </c>
      <c r="S388" s="19">
        <v>25</v>
      </c>
      <c r="T388" s="11" t="s">
        <v>49</v>
      </c>
      <c r="U388" s="11" t="s">
        <v>164</v>
      </c>
      <c r="V388" s="11">
        <v>1</v>
      </c>
      <c r="W388" s="11" t="s">
        <v>62</v>
      </c>
      <c r="X388" s="11" t="s">
        <v>3333</v>
      </c>
      <c r="Y388" s="11" t="s">
        <v>109</v>
      </c>
      <c r="Z388" s="11" t="s">
        <v>42</v>
      </c>
      <c r="AA388" s="11" t="s">
        <v>3234</v>
      </c>
    </row>
    <row r="389" spans="1:27">
      <c r="A389" s="11" t="s">
        <v>1578</v>
      </c>
      <c r="B389" s="11" t="s">
        <v>1579</v>
      </c>
      <c r="C389" s="11" t="s">
        <v>27</v>
      </c>
      <c r="D389" s="19">
        <v>32</v>
      </c>
      <c r="E389" s="11" t="s">
        <v>28</v>
      </c>
      <c r="F389" s="11" t="s">
        <v>29</v>
      </c>
      <c r="G389" s="11" t="s">
        <v>30</v>
      </c>
      <c r="H389" s="12">
        <v>46172</v>
      </c>
      <c r="I389" s="12" t="str">
        <f t="shared" si="6"/>
        <v>May</v>
      </c>
      <c r="J389" s="24">
        <v>0.42569444444444443</v>
      </c>
      <c r="K389" s="19">
        <v>5</v>
      </c>
      <c r="L389" s="12">
        <v>46172</v>
      </c>
      <c r="M389" s="24">
        <v>0.67569444444444449</v>
      </c>
      <c r="N389" s="11">
        <v>6</v>
      </c>
      <c r="O389" s="11" t="s">
        <v>34</v>
      </c>
      <c r="P389" s="11" t="s">
        <v>35</v>
      </c>
      <c r="Q389" s="11"/>
      <c r="R389" s="11" t="s">
        <v>36</v>
      </c>
      <c r="S389" s="19">
        <v>35</v>
      </c>
      <c r="T389" s="11" t="s">
        <v>37</v>
      </c>
      <c r="U389" s="11" t="s">
        <v>96</v>
      </c>
      <c r="V389" s="11">
        <v>3</v>
      </c>
      <c r="W389" s="11" t="s">
        <v>70</v>
      </c>
      <c r="X389" s="11" t="s">
        <v>3333</v>
      </c>
      <c r="Y389" s="11" t="s">
        <v>109</v>
      </c>
      <c r="Z389" s="11" t="s">
        <v>53</v>
      </c>
      <c r="AA389" s="11" t="str">
        <f>IF(A389=" ", "Missing Value", " ")</f>
        <v xml:space="preserve"> </v>
      </c>
    </row>
    <row r="390" spans="1:27">
      <c r="A390" s="11" t="s">
        <v>1582</v>
      </c>
      <c r="B390" s="11" t="s">
        <v>1583</v>
      </c>
      <c r="C390" s="11" t="s">
        <v>27</v>
      </c>
      <c r="D390" s="19">
        <v>84</v>
      </c>
      <c r="E390" s="11" t="s">
        <v>28</v>
      </c>
      <c r="F390" s="11" t="s">
        <v>29</v>
      </c>
      <c r="G390" s="11" t="s">
        <v>30</v>
      </c>
      <c r="H390" s="12">
        <v>46193</v>
      </c>
      <c r="I390" s="12" t="str">
        <f t="shared" si="6"/>
        <v>June</v>
      </c>
      <c r="J390" s="24">
        <v>0.42430555555555555</v>
      </c>
      <c r="K390" s="19">
        <v>5</v>
      </c>
      <c r="L390" s="12">
        <v>46193</v>
      </c>
      <c r="M390" s="24">
        <v>0.6743055555555556</v>
      </c>
      <c r="N390" s="11">
        <v>6</v>
      </c>
      <c r="O390" s="11" t="s">
        <v>34</v>
      </c>
      <c r="P390" s="11" t="s">
        <v>35</v>
      </c>
      <c r="Q390" s="11"/>
      <c r="R390" s="11" t="s">
        <v>36</v>
      </c>
      <c r="S390" s="19">
        <v>35</v>
      </c>
      <c r="T390" s="11" t="s">
        <v>49</v>
      </c>
      <c r="U390" s="11" t="s">
        <v>96</v>
      </c>
      <c r="V390" s="11">
        <v>1</v>
      </c>
      <c r="W390" s="11" t="s">
        <v>62</v>
      </c>
      <c r="X390" s="11" t="s">
        <v>3333</v>
      </c>
      <c r="Y390" s="11" t="s">
        <v>52</v>
      </c>
      <c r="Z390" s="11" t="s">
        <v>71</v>
      </c>
      <c r="AA390" s="11" t="str">
        <f>IF(A390=" ", "Missing Value", " ")</f>
        <v xml:space="preserve"> </v>
      </c>
    </row>
    <row r="391" spans="1:27">
      <c r="A391" s="11" t="s">
        <v>1585</v>
      </c>
      <c r="B391" s="11" t="s">
        <v>1586</v>
      </c>
      <c r="C391" s="11" t="s">
        <v>56</v>
      </c>
      <c r="D391" s="19">
        <v>2</v>
      </c>
      <c r="E391" s="11" t="s">
        <v>92</v>
      </c>
      <c r="F391" s="11" t="s">
        <v>29</v>
      </c>
      <c r="G391" s="11" t="s">
        <v>93</v>
      </c>
      <c r="H391" s="12">
        <v>46038</v>
      </c>
      <c r="I391" s="12" t="str">
        <f t="shared" si="6"/>
        <v>January</v>
      </c>
      <c r="J391" s="24">
        <v>0.61041666666666672</v>
      </c>
      <c r="K391" s="19">
        <v>24</v>
      </c>
      <c r="L391" s="12">
        <v>46039</v>
      </c>
      <c r="M391" s="24">
        <v>0.77708333333333335</v>
      </c>
      <c r="N391" s="11">
        <v>28</v>
      </c>
      <c r="O391" s="11" t="s">
        <v>34</v>
      </c>
      <c r="P391" s="11" t="s">
        <v>35</v>
      </c>
      <c r="Q391" s="11"/>
      <c r="R391" s="11" t="s">
        <v>36</v>
      </c>
      <c r="S391" s="19">
        <v>50</v>
      </c>
      <c r="T391" s="11" t="s">
        <v>49</v>
      </c>
      <c r="U391" s="11" t="s">
        <v>164</v>
      </c>
      <c r="V391" s="11">
        <v>2</v>
      </c>
      <c r="W391" s="11" t="s">
        <v>62</v>
      </c>
      <c r="X391" s="11" t="s">
        <v>3334</v>
      </c>
      <c r="Y391" s="11" t="s">
        <v>109</v>
      </c>
      <c r="Z391" s="11" t="s">
        <v>42</v>
      </c>
      <c r="AA391" s="11" t="s">
        <v>3232</v>
      </c>
    </row>
    <row r="392" spans="1:27">
      <c r="A392" s="11" t="s">
        <v>1588</v>
      </c>
      <c r="B392" s="11" t="s">
        <v>1589</v>
      </c>
      <c r="C392" s="11" t="s">
        <v>27</v>
      </c>
      <c r="D392" s="19">
        <v>35</v>
      </c>
      <c r="E392" s="11" t="s">
        <v>149</v>
      </c>
      <c r="F392" s="11" t="s">
        <v>29</v>
      </c>
      <c r="G392" s="11" t="s">
        <v>83</v>
      </c>
      <c r="H392" s="12">
        <v>46037</v>
      </c>
      <c r="I392" s="12" t="str">
        <f t="shared" si="6"/>
        <v>January</v>
      </c>
      <c r="J392" s="24">
        <v>0.375</v>
      </c>
      <c r="K392" s="19">
        <v>6</v>
      </c>
      <c r="L392" s="12">
        <v>46037</v>
      </c>
      <c r="M392" s="24">
        <v>0.83333333333333337</v>
      </c>
      <c r="N392" s="11">
        <v>11</v>
      </c>
      <c r="O392" s="11" t="s">
        <v>34</v>
      </c>
      <c r="P392" s="11" t="s">
        <v>35</v>
      </c>
      <c r="Q392" s="11"/>
      <c r="R392" s="11" t="s">
        <v>36</v>
      </c>
      <c r="S392" s="19">
        <v>40</v>
      </c>
      <c r="T392" s="11" t="s">
        <v>49</v>
      </c>
      <c r="U392" s="11" t="s">
        <v>96</v>
      </c>
      <c r="V392" s="11">
        <v>1</v>
      </c>
      <c r="W392" s="11" t="s">
        <v>39</v>
      </c>
      <c r="X392" s="11" t="s">
        <v>3325</v>
      </c>
      <c r="Y392" s="11" t="s">
        <v>52</v>
      </c>
      <c r="Z392" s="11" t="s">
        <v>53</v>
      </c>
      <c r="AA392" s="11" t="s">
        <v>3234</v>
      </c>
    </row>
    <row r="393" spans="1:27">
      <c r="A393" s="11" t="s">
        <v>1590</v>
      </c>
      <c r="B393" s="11" t="s">
        <v>1591</v>
      </c>
      <c r="C393" s="11" t="s">
        <v>56</v>
      </c>
      <c r="D393" s="19">
        <v>36</v>
      </c>
      <c r="E393" s="11" t="s">
        <v>57</v>
      </c>
      <c r="F393" s="11" t="s">
        <v>29</v>
      </c>
      <c r="G393" s="11" t="s">
        <v>168</v>
      </c>
      <c r="H393" s="12">
        <v>46143</v>
      </c>
      <c r="I393" s="12" t="str">
        <f t="shared" si="6"/>
        <v>May</v>
      </c>
      <c r="J393" s="24">
        <v>0.62222222222222223</v>
      </c>
      <c r="K393" s="19">
        <v>3</v>
      </c>
      <c r="L393" s="12">
        <v>46143</v>
      </c>
      <c r="M393" s="24">
        <v>0.87222222222222223</v>
      </c>
      <c r="N393" s="11">
        <v>6</v>
      </c>
      <c r="O393" s="11" t="s">
        <v>34</v>
      </c>
      <c r="P393" s="11" t="s">
        <v>35</v>
      </c>
      <c r="Q393" s="11"/>
      <c r="R393" s="11" t="s">
        <v>36</v>
      </c>
      <c r="S393" s="19">
        <v>15</v>
      </c>
      <c r="T393" s="11" t="s">
        <v>37</v>
      </c>
      <c r="U393" s="11" t="s">
        <v>164</v>
      </c>
      <c r="V393" s="11">
        <v>3</v>
      </c>
      <c r="W393" s="11" t="s">
        <v>89</v>
      </c>
      <c r="X393" s="11" t="s">
        <v>3333</v>
      </c>
      <c r="Y393" s="11" t="s">
        <v>109</v>
      </c>
      <c r="Z393" s="11" t="s">
        <v>53</v>
      </c>
      <c r="AA393" s="11" t="s">
        <v>3234</v>
      </c>
    </row>
    <row r="394" spans="1:27">
      <c r="A394" s="11" t="s">
        <v>1593</v>
      </c>
      <c r="B394" s="11" t="s">
        <v>1594</v>
      </c>
      <c r="C394" s="11" t="s">
        <v>27</v>
      </c>
      <c r="D394" s="19">
        <v>73</v>
      </c>
      <c r="E394" s="11" t="s">
        <v>92</v>
      </c>
      <c r="F394" s="11" t="s">
        <v>29</v>
      </c>
      <c r="G394" s="11" t="s">
        <v>93</v>
      </c>
      <c r="H394" s="12">
        <v>46201</v>
      </c>
      <c r="I394" s="12" t="str">
        <f t="shared" si="6"/>
        <v>June</v>
      </c>
      <c r="J394" s="24">
        <v>0.62986111111111109</v>
      </c>
      <c r="K394" s="19">
        <v>24</v>
      </c>
      <c r="L394" s="12">
        <v>46202</v>
      </c>
      <c r="M394" s="24">
        <v>0.96319444444444446</v>
      </c>
      <c r="N394" s="11">
        <v>32</v>
      </c>
      <c r="O394" s="11" t="s">
        <v>34</v>
      </c>
      <c r="P394" s="11" t="s">
        <v>35</v>
      </c>
      <c r="Q394" s="11"/>
      <c r="R394" s="11" t="s">
        <v>36</v>
      </c>
      <c r="S394" s="19">
        <v>50</v>
      </c>
      <c r="T394" s="11" t="s">
        <v>37</v>
      </c>
      <c r="U394" s="11" t="s">
        <v>96</v>
      </c>
      <c r="V394" s="11">
        <v>1</v>
      </c>
      <c r="W394" s="11" t="s">
        <v>62</v>
      </c>
      <c r="X394" s="11" t="s">
        <v>3325</v>
      </c>
      <c r="Y394" s="11" t="s">
        <v>52</v>
      </c>
      <c r="Z394" s="11" t="s">
        <v>42</v>
      </c>
      <c r="AA394" s="11" t="str">
        <f>IF(A394=" ", "Missing Value", " ")</f>
        <v xml:space="preserve"> </v>
      </c>
    </row>
    <row r="395" spans="1:27">
      <c r="A395" s="11" t="s">
        <v>1595</v>
      </c>
      <c r="B395" s="11" t="s">
        <v>1596</v>
      </c>
      <c r="C395" s="11" t="s">
        <v>27</v>
      </c>
      <c r="D395" s="19">
        <v>33</v>
      </c>
      <c r="E395" s="11" t="s">
        <v>28</v>
      </c>
      <c r="F395" s="11" t="s">
        <v>29</v>
      </c>
      <c r="G395" s="11" t="s">
        <v>58</v>
      </c>
      <c r="H395" s="12">
        <v>46071</v>
      </c>
      <c r="I395" s="12" t="str">
        <f t="shared" si="6"/>
        <v>February</v>
      </c>
      <c r="J395" s="24">
        <v>0.5854166666666667</v>
      </c>
      <c r="K395" s="19">
        <v>5</v>
      </c>
      <c r="L395" s="12">
        <v>46071</v>
      </c>
      <c r="M395" s="24">
        <v>0.8354166666666667</v>
      </c>
      <c r="N395" s="11">
        <v>6</v>
      </c>
      <c r="O395" s="11" t="s">
        <v>34</v>
      </c>
      <c r="P395" s="11" t="s">
        <v>35</v>
      </c>
      <c r="Q395" s="11"/>
      <c r="R395" s="11" t="s">
        <v>36</v>
      </c>
      <c r="S395" s="19">
        <v>35</v>
      </c>
      <c r="T395" s="11" t="s">
        <v>37</v>
      </c>
      <c r="U395" s="11" t="s">
        <v>38</v>
      </c>
      <c r="V395" s="11">
        <v>1</v>
      </c>
      <c r="W395" s="11" t="s">
        <v>70</v>
      </c>
      <c r="X395" s="11" t="s">
        <v>3333</v>
      </c>
      <c r="Y395" s="11" t="s">
        <v>109</v>
      </c>
      <c r="Z395" s="11" t="s">
        <v>71</v>
      </c>
      <c r="AA395" s="11" t="s">
        <v>3234</v>
      </c>
    </row>
    <row r="396" spans="1:27">
      <c r="A396" s="11" t="s">
        <v>1597</v>
      </c>
      <c r="B396" s="11" t="s">
        <v>1598</v>
      </c>
      <c r="C396" s="11" t="s">
        <v>27</v>
      </c>
      <c r="D396" s="19">
        <v>67</v>
      </c>
      <c r="E396" s="11" t="s">
        <v>81</v>
      </c>
      <c r="F396" s="11" t="s">
        <v>82</v>
      </c>
      <c r="G396" s="11" t="s">
        <v>93</v>
      </c>
      <c r="H396" s="12">
        <v>46052</v>
      </c>
      <c r="I396" s="12" t="str">
        <f t="shared" si="6"/>
        <v>January</v>
      </c>
      <c r="J396" s="24">
        <v>0.63472222222222219</v>
      </c>
      <c r="K396" s="19">
        <v>8</v>
      </c>
      <c r="L396" s="12">
        <v>46053</v>
      </c>
      <c r="M396" s="24">
        <v>9.3055555555555558E-2</v>
      </c>
      <c r="N396" s="11">
        <v>11</v>
      </c>
      <c r="O396" s="11" t="s">
        <v>34</v>
      </c>
      <c r="P396" s="11" t="s">
        <v>35</v>
      </c>
      <c r="Q396" s="11"/>
      <c r="R396" s="11" t="s">
        <v>36</v>
      </c>
      <c r="S396" s="19">
        <v>20</v>
      </c>
      <c r="T396" s="11" t="s">
        <v>49</v>
      </c>
      <c r="U396" s="11" t="s">
        <v>164</v>
      </c>
      <c r="V396" s="11">
        <v>4</v>
      </c>
      <c r="W396" s="11" t="s">
        <v>39</v>
      </c>
      <c r="X396" s="11" t="s">
        <v>3325</v>
      </c>
      <c r="Y396" s="11" t="s">
        <v>52</v>
      </c>
      <c r="Z396" s="11" t="s">
        <v>42</v>
      </c>
      <c r="AA396" s="11" t="s">
        <v>3234</v>
      </c>
    </row>
    <row r="397" spans="1:27">
      <c r="A397" s="11" t="s">
        <v>1601</v>
      </c>
      <c r="B397" s="11" t="s">
        <v>1602</v>
      </c>
      <c r="C397" s="11" t="s">
        <v>56</v>
      </c>
      <c r="D397" s="19">
        <v>34</v>
      </c>
      <c r="E397" s="11" t="s">
        <v>92</v>
      </c>
      <c r="F397" s="11" t="s">
        <v>29</v>
      </c>
      <c r="G397" s="11" t="s">
        <v>168</v>
      </c>
      <c r="H397" s="12">
        <v>46042</v>
      </c>
      <c r="I397" s="12" t="str">
        <f t="shared" si="6"/>
        <v>January</v>
      </c>
      <c r="J397" s="24">
        <v>0.48680555555555555</v>
      </c>
      <c r="K397" s="19">
        <v>24</v>
      </c>
      <c r="L397" s="12">
        <v>46043</v>
      </c>
      <c r="M397" s="24">
        <v>0.44513888888888886</v>
      </c>
      <c r="N397" s="11">
        <v>23</v>
      </c>
      <c r="O397" s="11" t="s">
        <v>68</v>
      </c>
      <c r="P397" s="11" t="s">
        <v>35</v>
      </c>
      <c r="Q397" s="11"/>
      <c r="R397" s="11" t="s">
        <v>36</v>
      </c>
      <c r="S397" s="19">
        <v>50</v>
      </c>
      <c r="T397" s="11" t="s">
        <v>37</v>
      </c>
      <c r="U397" s="11" t="s">
        <v>38</v>
      </c>
      <c r="V397" s="11">
        <v>5</v>
      </c>
      <c r="W397" s="11" t="s">
        <v>89</v>
      </c>
      <c r="X397" s="11" t="s">
        <v>3334</v>
      </c>
      <c r="Y397" s="11" t="s">
        <v>52</v>
      </c>
      <c r="Z397" s="11" t="s">
        <v>53</v>
      </c>
      <c r="AA397" s="11" t="s">
        <v>3235</v>
      </c>
    </row>
    <row r="398" spans="1:27">
      <c r="A398" s="11" t="s">
        <v>1603</v>
      </c>
      <c r="B398" s="11" t="s">
        <v>1604</v>
      </c>
      <c r="C398" s="11" t="s">
        <v>27</v>
      </c>
      <c r="D398" s="19">
        <v>11</v>
      </c>
      <c r="E398" s="11" t="s">
        <v>81</v>
      </c>
      <c r="F398" s="11" t="s">
        <v>82</v>
      </c>
      <c r="G398" s="11" t="s">
        <v>83</v>
      </c>
      <c r="H398" s="12">
        <v>46190</v>
      </c>
      <c r="I398" s="12" t="str">
        <f t="shared" si="6"/>
        <v>June</v>
      </c>
      <c r="J398" s="24">
        <v>0.65277777777777779</v>
      </c>
      <c r="K398" s="19">
        <v>8</v>
      </c>
      <c r="L398" s="12">
        <v>46191</v>
      </c>
      <c r="M398" s="24">
        <v>2.7777777777777776E-2</v>
      </c>
      <c r="N398" s="11">
        <v>9</v>
      </c>
      <c r="O398" s="11" t="s">
        <v>34</v>
      </c>
      <c r="P398" s="11" t="s">
        <v>35</v>
      </c>
      <c r="Q398" s="11"/>
      <c r="R398" s="11" t="s">
        <v>36</v>
      </c>
      <c r="S398" s="19">
        <v>20</v>
      </c>
      <c r="T398" s="11" t="s">
        <v>49</v>
      </c>
      <c r="U398" s="11" t="s">
        <v>164</v>
      </c>
      <c r="V398" s="11">
        <v>1</v>
      </c>
      <c r="W398" s="11" t="s">
        <v>39</v>
      </c>
      <c r="X398" s="11" t="s">
        <v>3325</v>
      </c>
      <c r="Y398" s="11" t="s">
        <v>109</v>
      </c>
      <c r="Z398" s="11" t="s">
        <v>53</v>
      </c>
      <c r="AA398" s="11" t="str">
        <f>IF(A398=" ", "Missing Value", " ")</f>
        <v xml:space="preserve"> </v>
      </c>
    </row>
    <row r="399" spans="1:27">
      <c r="A399" s="11" t="s">
        <v>1607</v>
      </c>
      <c r="B399" s="11" t="s">
        <v>1608</v>
      </c>
      <c r="C399" s="11" t="s">
        <v>56</v>
      </c>
      <c r="D399" s="19">
        <v>8</v>
      </c>
      <c r="E399" s="11" t="s">
        <v>28</v>
      </c>
      <c r="F399" s="11" t="s">
        <v>29</v>
      </c>
      <c r="G399" s="11" t="s">
        <v>83</v>
      </c>
      <c r="H399" s="12">
        <v>46166</v>
      </c>
      <c r="I399" s="12" t="str">
        <f t="shared" si="6"/>
        <v>May</v>
      </c>
      <c r="J399" s="24">
        <v>0.37708333333333333</v>
      </c>
      <c r="K399" s="19">
        <v>5</v>
      </c>
      <c r="L399" s="12">
        <v>46166</v>
      </c>
      <c r="M399" s="24">
        <v>0.79374999999999996</v>
      </c>
      <c r="N399" s="11">
        <v>10</v>
      </c>
      <c r="O399" s="11" t="s">
        <v>34</v>
      </c>
      <c r="P399" s="11" t="s">
        <v>35</v>
      </c>
      <c r="Q399" s="11"/>
      <c r="R399" s="11" t="s">
        <v>36</v>
      </c>
      <c r="S399" s="19"/>
      <c r="T399" s="11" t="s">
        <v>49</v>
      </c>
      <c r="U399" s="11" t="s">
        <v>96</v>
      </c>
      <c r="V399" s="11">
        <v>4</v>
      </c>
      <c r="W399" s="11" t="s">
        <v>62</v>
      </c>
      <c r="X399" s="11" t="s">
        <v>3325</v>
      </c>
      <c r="Y399" s="11" t="s">
        <v>109</v>
      </c>
      <c r="Z399" s="11" t="s">
        <v>53</v>
      </c>
      <c r="AA399" s="11" t="s">
        <v>3234</v>
      </c>
    </row>
    <row r="400" spans="1:27">
      <c r="A400" s="11" t="s">
        <v>63</v>
      </c>
      <c r="B400" s="11" t="s">
        <v>1611</v>
      </c>
      <c r="C400" s="11" t="s">
        <v>56</v>
      </c>
      <c r="D400" s="19">
        <v>10</v>
      </c>
      <c r="E400" s="11" t="s">
        <v>57</v>
      </c>
      <c r="F400" s="11" t="s">
        <v>29</v>
      </c>
      <c r="G400" s="11" t="s">
        <v>83</v>
      </c>
      <c r="H400" s="12">
        <v>46183</v>
      </c>
      <c r="I400" s="12" t="str">
        <f t="shared" si="6"/>
        <v>June</v>
      </c>
      <c r="J400" s="24">
        <v>0.29930555555555555</v>
      </c>
      <c r="K400" s="19">
        <v>3</v>
      </c>
      <c r="L400" s="12">
        <v>46183</v>
      </c>
      <c r="M400" s="24">
        <v>0.63263888888888886</v>
      </c>
      <c r="N400" s="11">
        <v>8</v>
      </c>
      <c r="O400" s="11" t="s">
        <v>34</v>
      </c>
      <c r="P400" s="11" t="s">
        <v>270</v>
      </c>
      <c r="Q400" s="11" t="s">
        <v>620</v>
      </c>
      <c r="R400" s="11" t="s">
        <v>36</v>
      </c>
      <c r="S400" s="19">
        <v>15</v>
      </c>
      <c r="T400" s="11" t="s">
        <v>37</v>
      </c>
      <c r="U400" s="11" t="s">
        <v>96</v>
      </c>
      <c r="V400" s="11">
        <v>1</v>
      </c>
      <c r="W400" s="11" t="s">
        <v>39</v>
      </c>
      <c r="X400" s="11" t="s">
        <v>51</v>
      </c>
      <c r="Y400" s="11" t="s">
        <v>109</v>
      </c>
      <c r="Z400" s="11" t="s">
        <v>42</v>
      </c>
      <c r="AA400" s="11" t="s">
        <v>3290</v>
      </c>
    </row>
    <row r="401" spans="1:27">
      <c r="A401" s="11" t="s">
        <v>1613</v>
      </c>
      <c r="B401" s="11" t="s">
        <v>1614</v>
      </c>
      <c r="C401" s="11" t="s">
        <v>56</v>
      </c>
      <c r="D401" s="19">
        <v>79</v>
      </c>
      <c r="E401" s="11" t="s">
        <v>81</v>
      </c>
      <c r="F401" s="11" t="s">
        <v>82</v>
      </c>
      <c r="G401" s="11" t="s">
        <v>83</v>
      </c>
      <c r="H401" s="12">
        <v>46068</v>
      </c>
      <c r="I401" s="12" t="str">
        <f t="shared" si="6"/>
        <v>February</v>
      </c>
      <c r="J401" s="24">
        <v>0.63541666666666663</v>
      </c>
      <c r="K401" s="19">
        <v>8</v>
      </c>
      <c r="L401" s="12">
        <v>46068</v>
      </c>
      <c r="M401" s="24">
        <v>0.96875</v>
      </c>
      <c r="N401" s="11">
        <v>8</v>
      </c>
      <c r="O401" s="11" t="s">
        <v>68</v>
      </c>
      <c r="P401" s="11" t="s">
        <v>35</v>
      </c>
      <c r="Q401" s="11"/>
      <c r="R401" s="11" t="s">
        <v>36</v>
      </c>
      <c r="S401" s="19">
        <v>20</v>
      </c>
      <c r="T401" s="11" t="s">
        <v>49</v>
      </c>
      <c r="U401" s="11" t="s">
        <v>164</v>
      </c>
      <c r="V401" s="11">
        <v>2</v>
      </c>
      <c r="W401" s="11" t="s">
        <v>39</v>
      </c>
      <c r="X401" s="11" t="s">
        <v>3334</v>
      </c>
      <c r="Y401" s="11" t="s">
        <v>109</v>
      </c>
      <c r="Z401" s="11" t="s">
        <v>71</v>
      </c>
      <c r="AA401" s="11" t="str">
        <f>IF(A401=" ", "Missing Value", " ")</f>
        <v xml:space="preserve"> </v>
      </c>
    </row>
    <row r="402" spans="1:27">
      <c r="A402" s="11" t="s">
        <v>1616</v>
      </c>
      <c r="B402" s="11" t="s">
        <v>1617</v>
      </c>
      <c r="C402" s="11" t="s">
        <v>56</v>
      </c>
      <c r="D402" s="19">
        <v>51</v>
      </c>
      <c r="E402" s="11" t="s">
        <v>149</v>
      </c>
      <c r="F402" s="11" t="s">
        <v>29</v>
      </c>
      <c r="G402" s="11" t="s">
        <v>83</v>
      </c>
      <c r="H402" s="12">
        <v>46187</v>
      </c>
      <c r="I402" s="12" t="str">
        <f t="shared" si="6"/>
        <v>June</v>
      </c>
      <c r="J402" s="24">
        <v>0.34305555555555556</v>
      </c>
      <c r="K402" s="19">
        <v>6</v>
      </c>
      <c r="L402" s="12">
        <v>46187</v>
      </c>
      <c r="M402" s="24">
        <v>0.84305555555555556</v>
      </c>
      <c r="N402" s="11">
        <v>12</v>
      </c>
      <c r="O402" s="11" t="s">
        <v>34</v>
      </c>
      <c r="P402" s="11" t="s">
        <v>35</v>
      </c>
      <c r="Q402" s="11"/>
      <c r="R402" s="11" t="s">
        <v>36</v>
      </c>
      <c r="S402" s="19">
        <v>40</v>
      </c>
      <c r="T402" s="11" t="s">
        <v>49</v>
      </c>
      <c r="U402" s="11" t="s">
        <v>164</v>
      </c>
      <c r="V402" s="11">
        <v>1</v>
      </c>
      <c r="W402" s="11" t="s">
        <v>89</v>
      </c>
      <c r="X402" s="11" t="s">
        <v>3333</v>
      </c>
      <c r="Y402" s="11" t="s">
        <v>109</v>
      </c>
      <c r="Z402" s="11" t="s">
        <v>71</v>
      </c>
      <c r="AA402" s="11" t="s">
        <v>3234</v>
      </c>
    </row>
    <row r="403" spans="1:27">
      <c r="A403" s="11" t="s">
        <v>1620</v>
      </c>
      <c r="B403" s="11" t="s">
        <v>1621</v>
      </c>
      <c r="C403" s="11" t="s">
        <v>56</v>
      </c>
      <c r="D403" s="19">
        <v>4</v>
      </c>
      <c r="E403" s="11" t="s">
        <v>28</v>
      </c>
      <c r="F403" s="11" t="s">
        <v>29</v>
      </c>
      <c r="G403" s="11" t="s">
        <v>30</v>
      </c>
      <c r="H403" s="12">
        <v>46047</v>
      </c>
      <c r="I403" s="12" t="str">
        <f t="shared" si="6"/>
        <v>January</v>
      </c>
      <c r="J403" s="24">
        <v>0.625</v>
      </c>
      <c r="K403" s="19">
        <v>5</v>
      </c>
      <c r="L403" s="12">
        <v>46047</v>
      </c>
      <c r="M403" s="24">
        <v>0.95833333333333337</v>
      </c>
      <c r="N403" s="11">
        <v>8</v>
      </c>
      <c r="O403" s="11" t="s">
        <v>34</v>
      </c>
      <c r="P403" s="11" t="s">
        <v>35</v>
      </c>
      <c r="Q403" s="11"/>
      <c r="R403" s="11" t="s">
        <v>36</v>
      </c>
      <c r="S403" s="19">
        <v>35</v>
      </c>
      <c r="T403" s="11" t="s">
        <v>49</v>
      </c>
      <c r="U403" s="11" t="s">
        <v>38</v>
      </c>
      <c r="V403" s="11">
        <v>3</v>
      </c>
      <c r="W403" s="11" t="s">
        <v>62</v>
      </c>
      <c r="X403" s="11" t="s">
        <v>3334</v>
      </c>
      <c r="Y403" s="11" t="s">
        <v>109</v>
      </c>
      <c r="Z403" s="11" t="s">
        <v>71</v>
      </c>
      <c r="AA403" s="11" t="str">
        <f>IF(A403=" ", "Missing Value", " ")</f>
        <v xml:space="preserve"> </v>
      </c>
    </row>
    <row r="404" spans="1:27">
      <c r="A404" s="11" t="s">
        <v>1623</v>
      </c>
      <c r="B404" s="11" t="s">
        <v>1624</v>
      </c>
      <c r="C404" s="11" t="s">
        <v>56</v>
      </c>
      <c r="D404" s="19">
        <v>11</v>
      </c>
      <c r="E404" s="11" t="s">
        <v>92</v>
      </c>
      <c r="F404" s="11" t="s">
        <v>29</v>
      </c>
      <c r="G404" s="11" t="s">
        <v>83</v>
      </c>
      <c r="H404" s="12">
        <v>46064</v>
      </c>
      <c r="I404" s="12" t="str">
        <f t="shared" si="6"/>
        <v>February</v>
      </c>
      <c r="J404" s="24">
        <v>0.51666666666666672</v>
      </c>
      <c r="K404" s="19">
        <v>24</v>
      </c>
      <c r="L404" s="12">
        <v>46065</v>
      </c>
      <c r="M404" s="24">
        <v>0.6</v>
      </c>
      <c r="N404" s="11">
        <v>26</v>
      </c>
      <c r="O404" s="11" t="s">
        <v>34</v>
      </c>
      <c r="P404" s="11" t="s">
        <v>35</v>
      </c>
      <c r="Q404" s="11"/>
      <c r="R404" s="11" t="s">
        <v>36</v>
      </c>
      <c r="S404" s="19">
        <v>50</v>
      </c>
      <c r="T404" s="11" t="s">
        <v>49</v>
      </c>
      <c r="U404" s="11" t="s">
        <v>38</v>
      </c>
      <c r="V404" s="11">
        <v>4</v>
      </c>
      <c r="W404" s="11" t="s">
        <v>70</v>
      </c>
      <c r="X404" s="11" t="s">
        <v>3325</v>
      </c>
      <c r="Y404" s="11" t="s">
        <v>109</v>
      </c>
      <c r="Z404" s="11" t="s">
        <v>42</v>
      </c>
      <c r="AA404" s="11" t="s">
        <v>3247</v>
      </c>
    </row>
    <row r="405" spans="1:27">
      <c r="A405" s="11" t="s">
        <v>1628</v>
      </c>
      <c r="B405" s="11" t="s">
        <v>1629</v>
      </c>
      <c r="C405" s="11" t="s">
        <v>56</v>
      </c>
      <c r="D405" s="19">
        <v>48</v>
      </c>
      <c r="E405" s="11" t="s">
        <v>57</v>
      </c>
      <c r="F405" s="11" t="s">
        <v>29</v>
      </c>
      <c r="G405" s="11" t="s">
        <v>58</v>
      </c>
      <c r="H405" s="12">
        <v>46171</v>
      </c>
      <c r="I405" s="12" t="str">
        <f t="shared" si="6"/>
        <v>May</v>
      </c>
      <c r="J405" s="24">
        <v>0.67500000000000004</v>
      </c>
      <c r="K405" s="19">
        <v>3</v>
      </c>
      <c r="L405" s="12">
        <v>46172</v>
      </c>
      <c r="M405" s="24">
        <v>0.13333333333333333</v>
      </c>
      <c r="N405" s="11">
        <v>11</v>
      </c>
      <c r="O405" s="11" t="s">
        <v>34</v>
      </c>
      <c r="P405" s="11" t="s">
        <v>35</v>
      </c>
      <c r="Q405" s="11"/>
      <c r="R405" s="11" t="s">
        <v>36</v>
      </c>
      <c r="S405" s="19">
        <v>15</v>
      </c>
      <c r="T405" s="11" t="s">
        <v>49</v>
      </c>
      <c r="U405" s="11" t="s">
        <v>96</v>
      </c>
      <c r="V405" s="11">
        <v>2</v>
      </c>
      <c r="W405" s="11" t="s">
        <v>70</v>
      </c>
      <c r="X405" s="11" t="s">
        <v>3325</v>
      </c>
      <c r="Y405" s="11" t="s">
        <v>41</v>
      </c>
      <c r="Z405" s="11" t="s">
        <v>42</v>
      </c>
      <c r="AA405" s="11"/>
    </row>
    <row r="406" spans="1:27">
      <c r="A406" s="11" t="s">
        <v>1632</v>
      </c>
      <c r="B406" s="11" t="s">
        <v>1633</v>
      </c>
      <c r="C406" s="11" t="s">
        <v>27</v>
      </c>
      <c r="D406" s="19">
        <v>42</v>
      </c>
      <c r="E406" s="11" t="s">
        <v>92</v>
      </c>
      <c r="F406" s="11" t="s">
        <v>29</v>
      </c>
      <c r="G406" s="11" t="s">
        <v>168</v>
      </c>
      <c r="H406" s="12">
        <v>46062</v>
      </c>
      <c r="I406" s="12" t="str">
        <f t="shared" si="6"/>
        <v>February</v>
      </c>
      <c r="J406" s="24">
        <v>0.58402777777777781</v>
      </c>
      <c r="K406" s="19">
        <v>24</v>
      </c>
      <c r="L406" s="12">
        <v>46063</v>
      </c>
      <c r="M406" s="24">
        <v>0.62569444444444444</v>
      </c>
      <c r="N406" s="11">
        <v>25</v>
      </c>
      <c r="O406" s="11" t="s">
        <v>34</v>
      </c>
      <c r="P406" s="11" t="s">
        <v>35</v>
      </c>
      <c r="Q406" s="11"/>
      <c r="R406" s="11" t="s">
        <v>36</v>
      </c>
      <c r="S406" s="19">
        <v>50</v>
      </c>
      <c r="T406" s="11" t="s">
        <v>37</v>
      </c>
      <c r="U406" s="11" t="s">
        <v>38</v>
      </c>
      <c r="V406" s="11">
        <v>1</v>
      </c>
      <c r="W406" s="11" t="s">
        <v>70</v>
      </c>
      <c r="X406" s="11" t="s">
        <v>3334</v>
      </c>
      <c r="Y406" s="11" t="s">
        <v>52</v>
      </c>
      <c r="Z406" s="11" t="s">
        <v>53</v>
      </c>
      <c r="AA406" s="11" t="s">
        <v>3234</v>
      </c>
    </row>
    <row r="407" spans="1:27">
      <c r="A407" s="11" t="s">
        <v>1635</v>
      </c>
      <c r="B407" s="11" t="s">
        <v>1636</v>
      </c>
      <c r="C407" s="11" t="s">
        <v>56</v>
      </c>
      <c r="D407" s="19">
        <v>57</v>
      </c>
      <c r="E407" s="11" t="s">
        <v>149</v>
      </c>
      <c r="F407" s="11" t="s">
        <v>29</v>
      </c>
      <c r="G407" s="11" t="s">
        <v>168</v>
      </c>
      <c r="H407" s="12">
        <v>46027</v>
      </c>
      <c r="I407" s="12" t="str">
        <f t="shared" si="6"/>
        <v>January</v>
      </c>
      <c r="J407" s="24">
        <v>0.67708333333333337</v>
      </c>
      <c r="K407" s="19">
        <v>6</v>
      </c>
      <c r="L407" s="12">
        <v>46028</v>
      </c>
      <c r="M407" s="24">
        <v>0.26041666666666669</v>
      </c>
      <c r="N407" s="11">
        <v>14</v>
      </c>
      <c r="O407" s="11" t="s">
        <v>34</v>
      </c>
      <c r="P407" s="11" t="s">
        <v>35</v>
      </c>
      <c r="Q407" s="11"/>
      <c r="R407" s="11" t="s">
        <v>36</v>
      </c>
      <c r="S407" s="19">
        <v>40</v>
      </c>
      <c r="T407" s="11" t="s">
        <v>49</v>
      </c>
      <c r="U407" s="11" t="s">
        <v>164</v>
      </c>
      <c r="V407" s="11">
        <v>5</v>
      </c>
      <c r="W407" s="11" t="s">
        <v>89</v>
      </c>
      <c r="X407" s="11" t="s">
        <v>3333</v>
      </c>
      <c r="Y407" s="11" t="s">
        <v>52</v>
      </c>
      <c r="Z407" s="11" t="s">
        <v>71</v>
      </c>
      <c r="AA407" s="11" t="s">
        <v>3234</v>
      </c>
    </row>
    <row r="408" spans="1:27">
      <c r="A408" s="11" t="s">
        <v>1639</v>
      </c>
      <c r="B408" s="11" t="s">
        <v>1640</v>
      </c>
      <c r="C408" s="11" t="s">
        <v>27</v>
      </c>
      <c r="D408" s="19">
        <v>1</v>
      </c>
      <c r="E408" s="11" t="s">
        <v>92</v>
      </c>
      <c r="F408" s="11" t="s">
        <v>29</v>
      </c>
      <c r="G408" s="11" t="s">
        <v>93</v>
      </c>
      <c r="H408" s="12">
        <v>46023</v>
      </c>
      <c r="I408" s="12" t="str">
        <f t="shared" si="6"/>
        <v>January</v>
      </c>
      <c r="J408" s="24">
        <v>0.45277777777777778</v>
      </c>
      <c r="K408" s="19">
        <v>24</v>
      </c>
      <c r="L408" s="12">
        <v>46024</v>
      </c>
      <c r="M408" s="24">
        <v>0.53611111111111109</v>
      </c>
      <c r="N408" s="11">
        <v>26</v>
      </c>
      <c r="O408" s="11" t="s">
        <v>34</v>
      </c>
      <c r="P408" s="11" t="s">
        <v>35</v>
      </c>
      <c r="Q408" s="11"/>
      <c r="R408" s="11" t="s">
        <v>36</v>
      </c>
      <c r="S408" s="19">
        <v>50</v>
      </c>
      <c r="T408" s="11" t="s">
        <v>37</v>
      </c>
      <c r="U408" s="11" t="s">
        <v>38</v>
      </c>
      <c r="V408" s="11">
        <v>5</v>
      </c>
      <c r="W408" s="11" t="s">
        <v>70</v>
      </c>
      <c r="X408" s="11" t="s">
        <v>3325</v>
      </c>
      <c r="Y408" s="11" t="s">
        <v>41</v>
      </c>
      <c r="Z408" s="11" t="s">
        <v>42</v>
      </c>
      <c r="AA408" s="11" t="s">
        <v>3233</v>
      </c>
    </row>
    <row r="409" spans="1:27">
      <c r="A409" s="11" t="s">
        <v>1643</v>
      </c>
      <c r="B409" s="11" t="s">
        <v>1644</v>
      </c>
      <c r="C409" s="11" t="s">
        <v>27</v>
      </c>
      <c r="D409" s="19">
        <v>35</v>
      </c>
      <c r="E409" s="11" t="s">
        <v>92</v>
      </c>
      <c r="F409" s="11" t="s">
        <v>29</v>
      </c>
      <c r="G409" s="11" t="s">
        <v>93</v>
      </c>
      <c r="H409" s="12">
        <v>46051</v>
      </c>
      <c r="I409" s="12" t="str">
        <f t="shared" si="6"/>
        <v>January</v>
      </c>
      <c r="J409" s="24">
        <v>0.35555555555555557</v>
      </c>
      <c r="K409" s="19">
        <v>24</v>
      </c>
      <c r="L409" s="12">
        <v>46052</v>
      </c>
      <c r="M409" s="24">
        <v>0.56388888888888888</v>
      </c>
      <c r="N409" s="11">
        <v>29</v>
      </c>
      <c r="O409" s="11" t="s">
        <v>34</v>
      </c>
      <c r="P409" s="11" t="s">
        <v>35</v>
      </c>
      <c r="Q409" s="11"/>
      <c r="R409" s="11" t="s">
        <v>36</v>
      </c>
      <c r="S409" s="19">
        <v>50</v>
      </c>
      <c r="T409" s="11" t="s">
        <v>49</v>
      </c>
      <c r="U409" s="11" t="s">
        <v>38</v>
      </c>
      <c r="V409" s="11">
        <v>2</v>
      </c>
      <c r="W409" s="11" t="s">
        <v>89</v>
      </c>
      <c r="X409" s="11" t="s">
        <v>3325</v>
      </c>
      <c r="Y409" s="11" t="s">
        <v>52</v>
      </c>
      <c r="Z409" s="11" t="s">
        <v>42</v>
      </c>
      <c r="AA409" s="11" t="str">
        <f>IF(A409=" ", "Missing Value", " ")</f>
        <v xml:space="preserve"> </v>
      </c>
    </row>
    <row r="410" spans="1:27">
      <c r="A410" s="11" t="s">
        <v>1645</v>
      </c>
      <c r="B410" s="11" t="s">
        <v>1646</v>
      </c>
      <c r="C410" s="11" t="s">
        <v>56</v>
      </c>
      <c r="D410" s="19">
        <v>72</v>
      </c>
      <c r="E410" s="11" t="s">
        <v>57</v>
      </c>
      <c r="F410" s="11" t="s">
        <v>29</v>
      </c>
      <c r="G410" s="11" t="s">
        <v>168</v>
      </c>
      <c r="H410" s="12">
        <v>46056</v>
      </c>
      <c r="I410" s="12" t="str">
        <f t="shared" si="6"/>
        <v>February</v>
      </c>
      <c r="J410" s="24">
        <v>0.68541666666666667</v>
      </c>
      <c r="K410" s="19">
        <v>3</v>
      </c>
      <c r="L410" s="12">
        <v>46056</v>
      </c>
      <c r="M410" s="24">
        <v>0.9770833333333333</v>
      </c>
      <c r="N410" s="11">
        <v>7</v>
      </c>
      <c r="O410" s="11" t="s">
        <v>34</v>
      </c>
      <c r="P410" s="11" t="s">
        <v>35</v>
      </c>
      <c r="Q410" s="11"/>
      <c r="R410" s="11" t="s">
        <v>36</v>
      </c>
      <c r="S410" s="19">
        <v>15</v>
      </c>
      <c r="T410" s="11" t="s">
        <v>49</v>
      </c>
      <c r="U410" s="11" t="s">
        <v>164</v>
      </c>
      <c r="V410" s="11">
        <v>2</v>
      </c>
      <c r="W410" s="11" t="s">
        <v>89</v>
      </c>
      <c r="X410" s="11" t="s">
        <v>3334</v>
      </c>
      <c r="Y410" s="11" t="s">
        <v>109</v>
      </c>
      <c r="Z410" s="11" t="s">
        <v>53</v>
      </c>
      <c r="AA410" s="11" t="s">
        <v>3234</v>
      </c>
    </row>
    <row r="411" spans="1:27">
      <c r="A411" s="11" t="s">
        <v>1648</v>
      </c>
      <c r="B411" s="11" t="s">
        <v>1649</v>
      </c>
      <c r="C411" s="11" t="s">
        <v>56</v>
      </c>
      <c r="D411" s="19">
        <v>4</v>
      </c>
      <c r="E411" s="11" t="s">
        <v>173</v>
      </c>
      <c r="F411" s="11" t="s">
        <v>29</v>
      </c>
      <c r="G411" s="11" t="s">
        <v>83</v>
      </c>
      <c r="H411" s="12">
        <v>46068</v>
      </c>
      <c r="I411" s="12" t="str">
        <f t="shared" si="6"/>
        <v>February</v>
      </c>
      <c r="J411" s="24">
        <v>0.30138888888888887</v>
      </c>
      <c r="K411" s="19">
        <v>4</v>
      </c>
      <c r="L411" s="12">
        <v>46068</v>
      </c>
      <c r="M411" s="24">
        <v>0.63472222222222219</v>
      </c>
      <c r="N411" s="11">
        <v>8</v>
      </c>
      <c r="O411" s="11" t="s">
        <v>34</v>
      </c>
      <c r="P411" s="11" t="s">
        <v>270</v>
      </c>
      <c r="Q411" s="11" t="s">
        <v>391</v>
      </c>
      <c r="R411" s="11" t="s">
        <v>36</v>
      </c>
      <c r="S411" s="19">
        <v>25</v>
      </c>
      <c r="T411" s="11" t="s">
        <v>49</v>
      </c>
      <c r="U411" s="11" t="s">
        <v>96</v>
      </c>
      <c r="V411" s="11">
        <v>1</v>
      </c>
      <c r="W411" s="11" t="s">
        <v>89</v>
      </c>
      <c r="X411" s="11" t="s">
        <v>3333</v>
      </c>
      <c r="Y411" s="11" t="s">
        <v>41</v>
      </c>
      <c r="Z411" s="11" t="s">
        <v>53</v>
      </c>
      <c r="AA411" s="11" t="s">
        <v>3254</v>
      </c>
    </row>
    <row r="412" spans="1:27">
      <c r="A412" s="11" t="s">
        <v>1650</v>
      </c>
      <c r="B412" s="11" t="s">
        <v>1651</v>
      </c>
      <c r="C412" s="11" t="s">
        <v>27</v>
      </c>
      <c r="D412" s="19">
        <v>56</v>
      </c>
      <c r="E412" s="11" t="s">
        <v>92</v>
      </c>
      <c r="F412" s="11" t="s">
        <v>29</v>
      </c>
      <c r="G412" s="11" t="s">
        <v>83</v>
      </c>
      <c r="H412" s="12">
        <v>46184</v>
      </c>
      <c r="I412" s="12" t="str">
        <f t="shared" si="6"/>
        <v>June</v>
      </c>
      <c r="J412" s="24">
        <v>0.31319444444444444</v>
      </c>
      <c r="K412" s="19">
        <v>24</v>
      </c>
      <c r="L412" s="12">
        <v>46185</v>
      </c>
      <c r="M412" s="24">
        <v>0.64652777777777781</v>
      </c>
      <c r="N412" s="11">
        <v>32</v>
      </c>
      <c r="O412" s="11" t="s">
        <v>34</v>
      </c>
      <c r="P412" s="11" t="s">
        <v>35</v>
      </c>
      <c r="Q412" s="11"/>
      <c r="R412" s="11" t="s">
        <v>36</v>
      </c>
      <c r="S412" s="19">
        <v>50</v>
      </c>
      <c r="T412" s="11" t="s">
        <v>49</v>
      </c>
      <c r="U412" s="11" t="s">
        <v>38</v>
      </c>
      <c r="V412" s="11">
        <v>2</v>
      </c>
      <c r="W412" s="11" t="s">
        <v>39</v>
      </c>
      <c r="X412" s="11" t="s">
        <v>51</v>
      </c>
      <c r="Y412" s="11" t="s">
        <v>41</v>
      </c>
      <c r="Z412" s="11" t="s">
        <v>53</v>
      </c>
      <c r="AA412" s="11" t="s">
        <v>3234</v>
      </c>
    </row>
    <row r="413" spans="1:27">
      <c r="A413" s="11" t="s">
        <v>1653</v>
      </c>
      <c r="B413" s="11" t="s">
        <v>1654</v>
      </c>
      <c r="C413" s="11" t="s">
        <v>56</v>
      </c>
      <c r="D413" s="19">
        <v>78</v>
      </c>
      <c r="E413" s="11" t="s">
        <v>57</v>
      </c>
      <c r="F413" s="11" t="s">
        <v>29</v>
      </c>
      <c r="G413" s="11" t="s">
        <v>168</v>
      </c>
      <c r="H413" s="12">
        <v>46051</v>
      </c>
      <c r="I413" s="12" t="str">
        <f t="shared" si="6"/>
        <v>January</v>
      </c>
      <c r="J413" s="24">
        <v>0.3527777777777778</v>
      </c>
      <c r="K413" s="19">
        <v>3</v>
      </c>
      <c r="L413" s="12">
        <v>46051</v>
      </c>
      <c r="M413" s="24">
        <v>0.60277777777777775</v>
      </c>
      <c r="N413" s="11">
        <v>6</v>
      </c>
      <c r="O413" s="11" t="s">
        <v>34</v>
      </c>
      <c r="P413" s="11" t="s">
        <v>35</v>
      </c>
      <c r="Q413" s="11"/>
      <c r="R413" s="11" t="s">
        <v>36</v>
      </c>
      <c r="S413" s="19">
        <v>15</v>
      </c>
      <c r="T413" s="11" t="s">
        <v>37</v>
      </c>
      <c r="U413" s="11" t="s">
        <v>96</v>
      </c>
      <c r="V413" s="11">
        <v>1</v>
      </c>
      <c r="W413" s="11" t="s">
        <v>39</v>
      </c>
      <c r="X413" s="11" t="s">
        <v>51</v>
      </c>
      <c r="Y413" s="11" t="s">
        <v>41</v>
      </c>
      <c r="Z413" s="11" t="s">
        <v>71</v>
      </c>
      <c r="AA413" s="11" t="s">
        <v>3234</v>
      </c>
    </row>
    <row r="414" spans="1:27">
      <c r="A414" s="11" t="s">
        <v>1656</v>
      </c>
      <c r="B414" s="11" t="s">
        <v>1657</v>
      </c>
      <c r="C414" s="11" t="s">
        <v>56</v>
      </c>
      <c r="D414" s="19">
        <v>52</v>
      </c>
      <c r="E414" s="11" t="s">
        <v>149</v>
      </c>
      <c r="F414" s="11" t="s">
        <v>29</v>
      </c>
      <c r="G414" s="11" t="s">
        <v>30</v>
      </c>
      <c r="H414" s="12">
        <v>46145</v>
      </c>
      <c r="I414" s="12" t="str">
        <f t="shared" si="6"/>
        <v>May</v>
      </c>
      <c r="J414" s="24">
        <v>0.50902777777777775</v>
      </c>
      <c r="K414" s="19">
        <v>6</v>
      </c>
      <c r="L414" s="12">
        <v>46145</v>
      </c>
      <c r="M414" s="24">
        <v>0.84236111111111112</v>
      </c>
      <c r="N414" s="11">
        <v>8</v>
      </c>
      <c r="O414" s="11" t="s">
        <v>34</v>
      </c>
      <c r="P414" s="11" t="s">
        <v>35</v>
      </c>
      <c r="Q414" s="11"/>
      <c r="R414" s="11" t="s">
        <v>36</v>
      </c>
      <c r="S414" s="19">
        <v>40</v>
      </c>
      <c r="T414" s="11" t="s">
        <v>49</v>
      </c>
      <c r="U414" s="11" t="s">
        <v>38</v>
      </c>
      <c r="V414" s="11">
        <v>5</v>
      </c>
      <c r="W414" s="11" t="s">
        <v>62</v>
      </c>
      <c r="X414" s="11" t="s">
        <v>51</v>
      </c>
      <c r="Y414" s="11" t="s">
        <v>52</v>
      </c>
      <c r="Z414" s="11" t="s">
        <v>71</v>
      </c>
      <c r="AA414" s="11" t="str">
        <f>IF(A414=" ", "Missing Value", " ")</f>
        <v xml:space="preserve"> </v>
      </c>
    </row>
    <row r="415" spans="1:27">
      <c r="A415" s="11" t="s">
        <v>1659</v>
      </c>
      <c r="B415" s="11" t="s">
        <v>1660</v>
      </c>
      <c r="C415" s="11" t="s">
        <v>27</v>
      </c>
      <c r="D415" s="19">
        <v>61</v>
      </c>
      <c r="E415" s="11" t="s">
        <v>92</v>
      </c>
      <c r="F415" s="11" t="s">
        <v>29</v>
      </c>
      <c r="G415" s="11" t="s">
        <v>93</v>
      </c>
      <c r="H415" s="12">
        <v>46056</v>
      </c>
      <c r="I415" s="12" t="str">
        <f t="shared" si="6"/>
        <v>February</v>
      </c>
      <c r="J415" s="24">
        <v>0.63055555555555554</v>
      </c>
      <c r="K415" s="19">
        <v>24</v>
      </c>
      <c r="L415" s="12">
        <v>46057</v>
      </c>
      <c r="M415" s="24">
        <v>0.63055555555555554</v>
      </c>
      <c r="N415" s="11">
        <v>24</v>
      </c>
      <c r="O415" s="11" t="s">
        <v>68</v>
      </c>
      <c r="P415" s="11" t="s">
        <v>35</v>
      </c>
      <c r="Q415" s="11"/>
      <c r="R415" s="11" t="s">
        <v>36</v>
      </c>
      <c r="S415" s="19">
        <v>50</v>
      </c>
      <c r="T415" s="11" t="s">
        <v>49</v>
      </c>
      <c r="U415" s="11" t="s">
        <v>38</v>
      </c>
      <c r="V415" s="11">
        <v>4</v>
      </c>
      <c r="W415" s="11" t="s">
        <v>70</v>
      </c>
      <c r="X415" s="11" t="s">
        <v>3325</v>
      </c>
      <c r="Y415" s="11" t="s">
        <v>109</v>
      </c>
      <c r="Z415" s="11" t="s">
        <v>53</v>
      </c>
      <c r="AA415" s="11" t="str">
        <f>IF(A415=" ", "Missing Value", " ")</f>
        <v xml:space="preserve"> </v>
      </c>
    </row>
    <row r="416" spans="1:27">
      <c r="A416" s="11" t="s">
        <v>1662</v>
      </c>
      <c r="B416" s="11" t="s">
        <v>1663</v>
      </c>
      <c r="C416" s="11" t="s">
        <v>27</v>
      </c>
      <c r="D416" s="19">
        <v>52</v>
      </c>
      <c r="E416" s="11" t="s">
        <v>57</v>
      </c>
      <c r="F416" s="11" t="s">
        <v>29</v>
      </c>
      <c r="G416" s="11" t="s">
        <v>168</v>
      </c>
      <c r="H416" s="12">
        <v>46185</v>
      </c>
      <c r="I416" s="12" t="str">
        <f t="shared" si="6"/>
        <v>June</v>
      </c>
      <c r="J416" s="24">
        <v>0.48333333333333334</v>
      </c>
      <c r="K416" s="19">
        <v>3</v>
      </c>
      <c r="L416" s="12">
        <v>46185</v>
      </c>
      <c r="M416" s="24">
        <v>0.56666666666666665</v>
      </c>
      <c r="N416" s="11">
        <v>2</v>
      </c>
      <c r="O416" s="11" t="s">
        <v>68</v>
      </c>
      <c r="P416" s="11" t="s">
        <v>35</v>
      </c>
      <c r="Q416" s="11"/>
      <c r="R416" s="11" t="s">
        <v>36</v>
      </c>
      <c r="S416" s="19">
        <v>15</v>
      </c>
      <c r="T416" s="11" t="s">
        <v>49</v>
      </c>
      <c r="U416" s="11" t="s">
        <v>38</v>
      </c>
      <c r="V416" s="11">
        <v>3</v>
      </c>
      <c r="W416" s="11" t="s">
        <v>70</v>
      </c>
      <c r="X416" s="11" t="s">
        <v>51</v>
      </c>
      <c r="Y416" s="11" t="s">
        <v>41</v>
      </c>
      <c r="Z416" s="11" t="s">
        <v>42</v>
      </c>
      <c r="AA416" s="11" t="s">
        <v>3234</v>
      </c>
    </row>
    <row r="417" spans="1:27">
      <c r="A417" s="11" t="s">
        <v>1665</v>
      </c>
      <c r="B417" s="11" t="s">
        <v>1666</v>
      </c>
      <c r="C417" s="11" t="s">
        <v>27</v>
      </c>
      <c r="D417" s="19">
        <v>76</v>
      </c>
      <c r="E417" s="11" t="s">
        <v>28</v>
      </c>
      <c r="F417" s="11" t="s">
        <v>29</v>
      </c>
      <c r="G417" s="11" t="s">
        <v>30</v>
      </c>
      <c r="H417" s="12">
        <v>46081</v>
      </c>
      <c r="I417" s="12" t="str">
        <f t="shared" si="6"/>
        <v>February</v>
      </c>
      <c r="J417" s="24">
        <v>0.59027777777777779</v>
      </c>
      <c r="K417" s="19">
        <v>5</v>
      </c>
      <c r="L417" s="12">
        <v>46081</v>
      </c>
      <c r="M417" s="24">
        <v>0.84027777777777779</v>
      </c>
      <c r="N417" s="11">
        <v>6</v>
      </c>
      <c r="O417" s="11" t="s">
        <v>34</v>
      </c>
      <c r="P417" s="11" t="s">
        <v>35</v>
      </c>
      <c r="Q417" s="11"/>
      <c r="R417" s="11" t="s">
        <v>36</v>
      </c>
      <c r="S417" s="19">
        <v>35</v>
      </c>
      <c r="T417" s="11" t="s">
        <v>49</v>
      </c>
      <c r="U417" s="11" t="s">
        <v>38</v>
      </c>
      <c r="V417" s="11">
        <v>3</v>
      </c>
      <c r="W417" s="11" t="s">
        <v>39</v>
      </c>
      <c r="X417" s="11" t="s">
        <v>3325</v>
      </c>
      <c r="Y417" s="11" t="s">
        <v>109</v>
      </c>
      <c r="Z417" s="11" t="s">
        <v>71</v>
      </c>
      <c r="AA417" s="11" t="str">
        <f>IF(A417=" ", "Missing Value", " ")</f>
        <v xml:space="preserve"> </v>
      </c>
    </row>
    <row r="418" spans="1:27">
      <c r="A418" s="11" t="s">
        <v>1669</v>
      </c>
      <c r="B418" s="11" t="s">
        <v>1670</v>
      </c>
      <c r="C418" s="11" t="s">
        <v>56</v>
      </c>
      <c r="D418" s="19">
        <v>42</v>
      </c>
      <c r="E418" s="11" t="s">
        <v>81</v>
      </c>
      <c r="F418" s="11" t="s">
        <v>82</v>
      </c>
      <c r="G418" s="11" t="s">
        <v>83</v>
      </c>
      <c r="H418" s="12">
        <v>46195</v>
      </c>
      <c r="I418" s="12" t="str">
        <f t="shared" si="6"/>
        <v>June</v>
      </c>
      <c r="J418" s="24">
        <v>0.67777777777777781</v>
      </c>
      <c r="K418" s="19">
        <v>8</v>
      </c>
      <c r="L418" s="12">
        <v>46196</v>
      </c>
      <c r="M418" s="24">
        <v>0.30277777777777776</v>
      </c>
      <c r="N418" s="11">
        <v>15</v>
      </c>
      <c r="O418" s="11" t="s">
        <v>34</v>
      </c>
      <c r="P418" s="11" t="s">
        <v>35</v>
      </c>
      <c r="Q418" s="11"/>
      <c r="R418" s="11" t="s">
        <v>36</v>
      </c>
      <c r="S418" s="19">
        <v>20</v>
      </c>
      <c r="T418" s="11" t="s">
        <v>49</v>
      </c>
      <c r="U418" s="11" t="s">
        <v>38</v>
      </c>
      <c r="V418" s="11">
        <v>1</v>
      </c>
      <c r="W418" s="11" t="s">
        <v>89</v>
      </c>
      <c r="X418" s="11" t="s">
        <v>3325</v>
      </c>
      <c r="Y418" s="11" t="s">
        <v>109</v>
      </c>
      <c r="Z418" s="11" t="s">
        <v>71</v>
      </c>
      <c r="AA418" s="11" t="str">
        <f>IF(A418=" ", "Missing Value", " ")</f>
        <v xml:space="preserve"> </v>
      </c>
    </row>
    <row r="419" spans="1:27">
      <c r="A419" s="11" t="s">
        <v>1673</v>
      </c>
      <c r="B419" s="11" t="s">
        <v>1674</v>
      </c>
      <c r="C419" s="11" t="s">
        <v>27</v>
      </c>
      <c r="D419" s="19">
        <v>49</v>
      </c>
      <c r="E419" s="11" t="s">
        <v>81</v>
      </c>
      <c r="F419" s="11" t="s">
        <v>82</v>
      </c>
      <c r="G419" s="11" t="s">
        <v>83</v>
      </c>
      <c r="H419" s="12">
        <v>46052</v>
      </c>
      <c r="I419" s="12" t="str">
        <f t="shared" si="6"/>
        <v>January</v>
      </c>
      <c r="J419" s="24">
        <v>0.32777777777777778</v>
      </c>
      <c r="K419" s="19">
        <v>8</v>
      </c>
      <c r="L419" s="12">
        <v>46052</v>
      </c>
      <c r="M419" s="24">
        <v>0.78611111111111109</v>
      </c>
      <c r="N419" s="11">
        <v>11</v>
      </c>
      <c r="O419" s="11" t="s">
        <v>34</v>
      </c>
      <c r="P419" s="11" t="s">
        <v>35</v>
      </c>
      <c r="Q419" s="11"/>
      <c r="R419" s="11" t="s">
        <v>36</v>
      </c>
      <c r="S419" s="19">
        <v>20</v>
      </c>
      <c r="T419" s="11" t="s">
        <v>37</v>
      </c>
      <c r="U419" s="11" t="s">
        <v>164</v>
      </c>
      <c r="V419" s="11">
        <v>4</v>
      </c>
      <c r="W419" s="11" t="s">
        <v>39</v>
      </c>
      <c r="X419" s="11" t="s">
        <v>51</v>
      </c>
      <c r="Y419" s="11" t="s">
        <v>109</v>
      </c>
      <c r="Z419" s="11" t="s">
        <v>42</v>
      </c>
      <c r="AA419" s="11" t="str">
        <f>IF(A419=" ", "Missing Value", " ")</f>
        <v xml:space="preserve"> </v>
      </c>
    </row>
    <row r="420" spans="1:27">
      <c r="A420" s="11" t="s">
        <v>1677</v>
      </c>
      <c r="B420" s="11" t="s">
        <v>1678</v>
      </c>
      <c r="C420" s="11" t="s">
        <v>27</v>
      </c>
      <c r="D420" s="19">
        <v>66</v>
      </c>
      <c r="E420" s="11" t="s">
        <v>28</v>
      </c>
      <c r="F420" s="11" t="s">
        <v>29</v>
      </c>
      <c r="G420" s="11" t="s">
        <v>30</v>
      </c>
      <c r="H420" s="12">
        <v>46093</v>
      </c>
      <c r="I420" s="12" t="str">
        <f t="shared" si="6"/>
        <v>March</v>
      </c>
      <c r="J420" s="24">
        <v>0.50902777777777775</v>
      </c>
      <c r="K420" s="19">
        <v>5</v>
      </c>
      <c r="L420" s="12">
        <v>46093</v>
      </c>
      <c r="M420" s="24">
        <v>0.84236111111111112</v>
      </c>
      <c r="N420" s="11">
        <v>8</v>
      </c>
      <c r="O420" s="11" t="s">
        <v>34</v>
      </c>
      <c r="P420" s="11" t="s">
        <v>35</v>
      </c>
      <c r="Q420" s="11"/>
      <c r="R420" s="11" t="s">
        <v>36</v>
      </c>
      <c r="S420" s="19">
        <v>35</v>
      </c>
      <c r="T420" s="11" t="s">
        <v>49</v>
      </c>
      <c r="U420" s="11" t="s">
        <v>164</v>
      </c>
      <c r="V420" s="11">
        <v>1</v>
      </c>
      <c r="W420" s="11" t="s">
        <v>70</v>
      </c>
      <c r="X420" s="11" t="s">
        <v>51</v>
      </c>
      <c r="Y420" s="11" t="s">
        <v>109</v>
      </c>
      <c r="Z420" s="11" t="s">
        <v>53</v>
      </c>
      <c r="AA420" s="11" t="s">
        <v>3228</v>
      </c>
    </row>
    <row r="421" spans="1:27">
      <c r="A421" s="11" t="s">
        <v>1679</v>
      </c>
      <c r="B421" s="11" t="s">
        <v>1680</v>
      </c>
      <c r="C421" s="11" t="s">
        <v>56</v>
      </c>
      <c r="D421" s="19">
        <v>13</v>
      </c>
      <c r="E421" s="11" t="s">
        <v>28</v>
      </c>
      <c r="F421" s="11" t="s">
        <v>29</v>
      </c>
      <c r="G421" s="11" t="s">
        <v>83</v>
      </c>
      <c r="H421" s="12">
        <v>46064</v>
      </c>
      <c r="I421" s="12" t="str">
        <f t="shared" si="6"/>
        <v>February</v>
      </c>
      <c r="J421" s="24">
        <v>0.55763888888888891</v>
      </c>
      <c r="K421" s="19">
        <v>5</v>
      </c>
      <c r="L421" s="12">
        <v>46065</v>
      </c>
      <c r="M421" s="24">
        <v>5.7638888888888892E-2</v>
      </c>
      <c r="N421" s="11">
        <v>12</v>
      </c>
      <c r="O421" s="11" t="s">
        <v>34</v>
      </c>
      <c r="P421" s="11" t="s">
        <v>35</v>
      </c>
      <c r="Q421" s="11"/>
      <c r="R421" s="11" t="s">
        <v>36</v>
      </c>
      <c r="S421" s="19">
        <v>35</v>
      </c>
      <c r="T421" s="11" t="s">
        <v>49</v>
      </c>
      <c r="U421" s="11" t="s">
        <v>96</v>
      </c>
      <c r="V421" s="11">
        <v>1</v>
      </c>
      <c r="W421" s="11" t="s">
        <v>39</v>
      </c>
      <c r="X421" s="11" t="s">
        <v>3334</v>
      </c>
      <c r="Y421" s="11" t="s">
        <v>109</v>
      </c>
      <c r="Z421" s="11" t="s">
        <v>53</v>
      </c>
      <c r="AA421" s="11" t="s">
        <v>3234</v>
      </c>
    </row>
    <row r="422" spans="1:27">
      <c r="A422" s="11" t="s">
        <v>1682</v>
      </c>
      <c r="B422" s="11" t="s">
        <v>1683</v>
      </c>
      <c r="C422" s="11" t="s">
        <v>27</v>
      </c>
      <c r="D422" s="19">
        <v>12</v>
      </c>
      <c r="E422" s="11" t="s">
        <v>92</v>
      </c>
      <c r="F422" s="11" t="s">
        <v>29</v>
      </c>
      <c r="G422" s="11" t="s">
        <v>168</v>
      </c>
      <c r="H422" s="12">
        <v>46114</v>
      </c>
      <c r="I422" s="12" t="str">
        <f t="shared" si="6"/>
        <v>April</v>
      </c>
      <c r="J422" s="24">
        <v>0.46180555555555558</v>
      </c>
      <c r="K422" s="19">
        <v>24</v>
      </c>
      <c r="L422" s="12">
        <v>46115</v>
      </c>
      <c r="M422" s="24">
        <v>0.50347222222222221</v>
      </c>
      <c r="N422" s="11">
        <v>25</v>
      </c>
      <c r="O422" s="11" t="s">
        <v>34</v>
      </c>
      <c r="P422" s="11" t="s">
        <v>270</v>
      </c>
      <c r="Q422" s="11" t="s">
        <v>391</v>
      </c>
      <c r="R422" s="11" t="s">
        <v>36</v>
      </c>
      <c r="S422" s="19">
        <v>50</v>
      </c>
      <c r="T422" s="11" t="s">
        <v>49</v>
      </c>
      <c r="U422" s="11" t="s">
        <v>38</v>
      </c>
      <c r="V422" s="11">
        <v>5</v>
      </c>
      <c r="W422" s="11" t="s">
        <v>62</v>
      </c>
      <c r="X422" s="11" t="s">
        <v>3333</v>
      </c>
      <c r="Y422" s="11" t="s">
        <v>52</v>
      </c>
      <c r="Z422" s="11" t="s">
        <v>53</v>
      </c>
      <c r="AA422" s="11" t="s">
        <v>3257</v>
      </c>
    </row>
    <row r="423" spans="1:27">
      <c r="A423" s="11" t="s">
        <v>1686</v>
      </c>
      <c r="B423" s="11" t="s">
        <v>1687</v>
      </c>
      <c r="C423" s="11" t="s">
        <v>27</v>
      </c>
      <c r="D423" s="19">
        <v>56</v>
      </c>
      <c r="E423" s="11" t="s">
        <v>92</v>
      </c>
      <c r="F423" s="11" t="s">
        <v>29</v>
      </c>
      <c r="G423" s="11" t="s">
        <v>83</v>
      </c>
      <c r="H423" s="12">
        <v>46189</v>
      </c>
      <c r="I423" s="12" t="str">
        <f t="shared" si="6"/>
        <v>June</v>
      </c>
      <c r="J423" s="24">
        <v>0.70486111111111116</v>
      </c>
      <c r="K423" s="19">
        <v>24</v>
      </c>
      <c r="L423" s="12">
        <v>46190</v>
      </c>
      <c r="M423" s="24">
        <v>0.91319444444444442</v>
      </c>
      <c r="N423" s="11">
        <v>29</v>
      </c>
      <c r="O423" s="11" t="s">
        <v>34</v>
      </c>
      <c r="P423" s="11" t="s">
        <v>270</v>
      </c>
      <c r="Q423" s="11" t="s">
        <v>677</v>
      </c>
      <c r="R423" s="11" t="s">
        <v>36</v>
      </c>
      <c r="S423" s="19">
        <v>50</v>
      </c>
      <c r="T423" s="11" t="s">
        <v>37</v>
      </c>
      <c r="U423" s="11" t="s">
        <v>38</v>
      </c>
      <c r="V423" s="11">
        <v>3</v>
      </c>
      <c r="W423" s="11" t="s">
        <v>62</v>
      </c>
      <c r="X423" s="11" t="s">
        <v>51</v>
      </c>
      <c r="Y423" s="11" t="s">
        <v>109</v>
      </c>
      <c r="Z423" s="11" t="s">
        <v>53</v>
      </c>
      <c r="AA423" s="11" t="s">
        <v>3254</v>
      </c>
    </row>
    <row r="424" spans="1:27">
      <c r="A424" s="11" t="s">
        <v>1689</v>
      </c>
      <c r="B424" s="11" t="s">
        <v>1690</v>
      </c>
      <c r="C424" s="11" t="s">
        <v>27</v>
      </c>
      <c r="D424" s="19">
        <v>23</v>
      </c>
      <c r="E424" s="11" t="s">
        <v>81</v>
      </c>
      <c r="F424" s="11" t="s">
        <v>82</v>
      </c>
      <c r="G424" s="11" t="s">
        <v>83</v>
      </c>
      <c r="H424" s="12">
        <v>46075</v>
      </c>
      <c r="I424" s="12" t="str">
        <f t="shared" si="6"/>
        <v>February</v>
      </c>
      <c r="J424" s="24">
        <v>0.29583333333333334</v>
      </c>
      <c r="K424" s="19">
        <v>8</v>
      </c>
      <c r="L424" s="12">
        <v>46075</v>
      </c>
      <c r="M424" s="24">
        <v>0.71250000000000002</v>
      </c>
      <c r="N424" s="11">
        <v>10</v>
      </c>
      <c r="O424" s="11" t="s">
        <v>34</v>
      </c>
      <c r="P424" s="11" t="s">
        <v>270</v>
      </c>
      <c r="Q424" s="11" t="s">
        <v>620</v>
      </c>
      <c r="R424" s="11" t="s">
        <v>36</v>
      </c>
      <c r="S424" s="19">
        <v>20</v>
      </c>
      <c r="T424" s="11" t="s">
        <v>49</v>
      </c>
      <c r="U424" s="11" t="s">
        <v>38</v>
      </c>
      <c r="V424" s="11">
        <v>5</v>
      </c>
      <c r="W424" s="11" t="s">
        <v>39</v>
      </c>
      <c r="X424" s="11" t="s">
        <v>3334</v>
      </c>
      <c r="Y424" s="11" t="s">
        <v>52</v>
      </c>
      <c r="Z424" s="11" t="s">
        <v>42</v>
      </c>
      <c r="AA424" s="11" t="s">
        <v>3251</v>
      </c>
    </row>
    <row r="425" spans="1:27">
      <c r="A425" s="11" t="s">
        <v>1692</v>
      </c>
      <c r="B425" s="11" t="s">
        <v>1693</v>
      </c>
      <c r="C425" s="11" t="s">
        <v>56</v>
      </c>
      <c r="D425" s="19">
        <v>73</v>
      </c>
      <c r="E425" s="11" t="s">
        <v>173</v>
      </c>
      <c r="F425" s="11" t="s">
        <v>29</v>
      </c>
      <c r="G425" s="11" t="s">
        <v>168</v>
      </c>
      <c r="H425" s="12">
        <v>46158</v>
      </c>
      <c r="I425" s="12" t="str">
        <f t="shared" si="6"/>
        <v>May</v>
      </c>
      <c r="J425" s="24">
        <v>0.33541666666666664</v>
      </c>
      <c r="K425" s="19">
        <v>4</v>
      </c>
      <c r="L425" s="12">
        <v>46158</v>
      </c>
      <c r="M425" s="24">
        <v>0.8354166666666667</v>
      </c>
      <c r="N425" s="11">
        <v>12</v>
      </c>
      <c r="O425" s="11" t="s">
        <v>34</v>
      </c>
      <c r="P425" s="11" t="s">
        <v>35</v>
      </c>
      <c r="Q425" s="11"/>
      <c r="R425" s="11" t="s">
        <v>36</v>
      </c>
      <c r="S425" s="19">
        <v>25</v>
      </c>
      <c r="T425" s="11" t="s">
        <v>49</v>
      </c>
      <c r="U425" s="11" t="s">
        <v>38</v>
      </c>
      <c r="V425" s="11">
        <v>1</v>
      </c>
      <c r="W425" s="11" t="s">
        <v>89</v>
      </c>
      <c r="X425" s="11" t="s">
        <v>3325</v>
      </c>
      <c r="Y425" s="11" t="s">
        <v>52</v>
      </c>
      <c r="Z425" s="11" t="s">
        <v>42</v>
      </c>
      <c r="AA425" s="11" t="s">
        <v>3234</v>
      </c>
    </row>
    <row r="426" spans="1:27">
      <c r="A426" s="11" t="s">
        <v>1694</v>
      </c>
      <c r="B426" s="11" t="s">
        <v>1695</v>
      </c>
      <c r="C426" s="11" t="s">
        <v>27</v>
      </c>
      <c r="D426" s="19">
        <v>54</v>
      </c>
      <c r="E426" s="11" t="s">
        <v>92</v>
      </c>
      <c r="F426" s="11" t="s">
        <v>29</v>
      </c>
      <c r="G426" s="11" t="s">
        <v>58</v>
      </c>
      <c r="H426" s="12">
        <v>46171</v>
      </c>
      <c r="I426" s="12" t="str">
        <f t="shared" si="6"/>
        <v>May</v>
      </c>
      <c r="J426" s="24">
        <v>0.3659722222222222</v>
      </c>
      <c r="K426" s="19">
        <v>24</v>
      </c>
      <c r="L426" s="12">
        <v>46172</v>
      </c>
      <c r="M426" s="24">
        <v>0.65763888888888888</v>
      </c>
      <c r="N426" s="11">
        <v>31</v>
      </c>
      <c r="O426" s="11" t="s">
        <v>34</v>
      </c>
      <c r="P426" s="11" t="s">
        <v>270</v>
      </c>
      <c r="Q426" s="11" t="s">
        <v>677</v>
      </c>
      <c r="R426" s="11" t="s">
        <v>36</v>
      </c>
      <c r="S426" s="19">
        <v>50</v>
      </c>
      <c r="T426" s="11" t="s">
        <v>49</v>
      </c>
      <c r="U426" s="11" t="s">
        <v>164</v>
      </c>
      <c r="V426" s="11">
        <v>3</v>
      </c>
      <c r="W426" s="11" t="s">
        <v>62</v>
      </c>
      <c r="X426" s="11" t="s">
        <v>3334</v>
      </c>
      <c r="Y426" s="11" t="s">
        <v>109</v>
      </c>
      <c r="Z426" s="11" t="s">
        <v>53</v>
      </c>
      <c r="AA426" s="11" t="s">
        <v>3254</v>
      </c>
    </row>
    <row r="427" spans="1:27">
      <c r="A427" s="11" t="s">
        <v>1696</v>
      </c>
      <c r="B427" s="11" t="s">
        <v>1697</v>
      </c>
      <c r="C427" s="11" t="s">
        <v>56</v>
      </c>
      <c r="D427" s="19">
        <v>41</v>
      </c>
      <c r="E427" s="11" t="s">
        <v>57</v>
      </c>
      <c r="F427" s="11" t="s">
        <v>29</v>
      </c>
      <c r="G427" s="11" t="s">
        <v>83</v>
      </c>
      <c r="H427" s="12">
        <v>46100</v>
      </c>
      <c r="I427" s="12" t="str">
        <f t="shared" si="6"/>
        <v>March</v>
      </c>
      <c r="J427" s="24">
        <v>0.29444444444444445</v>
      </c>
      <c r="K427" s="19">
        <v>3</v>
      </c>
      <c r="L427" s="12">
        <v>46100</v>
      </c>
      <c r="M427" s="24">
        <v>0.62777777777777777</v>
      </c>
      <c r="N427" s="11">
        <v>8</v>
      </c>
      <c r="O427" s="11" t="s">
        <v>34</v>
      </c>
      <c r="P427" s="11" t="s">
        <v>35</v>
      </c>
      <c r="Q427" s="11"/>
      <c r="R427" s="11" t="s">
        <v>36</v>
      </c>
      <c r="S427" s="19">
        <v>15</v>
      </c>
      <c r="T427" s="11" t="s">
        <v>49</v>
      </c>
      <c r="U427" s="11" t="s">
        <v>164</v>
      </c>
      <c r="V427" s="11">
        <v>4</v>
      </c>
      <c r="W427" s="11" t="s">
        <v>70</v>
      </c>
      <c r="X427" s="11" t="s">
        <v>3325</v>
      </c>
      <c r="Y427" s="11" t="s">
        <v>52</v>
      </c>
      <c r="Z427" s="11" t="s">
        <v>42</v>
      </c>
      <c r="AA427" s="11" t="s">
        <v>3234</v>
      </c>
    </row>
    <row r="428" spans="1:27">
      <c r="A428" s="11" t="s">
        <v>1699</v>
      </c>
      <c r="B428" s="11" t="s">
        <v>1700</v>
      </c>
      <c r="C428" s="11" t="s">
        <v>27</v>
      </c>
      <c r="D428" s="19">
        <v>26</v>
      </c>
      <c r="E428" s="11" t="s">
        <v>28</v>
      </c>
      <c r="F428" s="11" t="s">
        <v>29</v>
      </c>
      <c r="G428" s="11" t="s">
        <v>168</v>
      </c>
      <c r="H428" s="12">
        <v>46036</v>
      </c>
      <c r="I428" s="12" t="str">
        <f t="shared" si="6"/>
        <v>January</v>
      </c>
      <c r="J428" s="24">
        <v>0.54861111111111116</v>
      </c>
      <c r="K428" s="19">
        <v>5</v>
      </c>
      <c r="L428" s="12">
        <v>46037</v>
      </c>
      <c r="M428" s="24">
        <v>4.8611111111111112E-2</v>
      </c>
      <c r="N428" s="11">
        <v>12</v>
      </c>
      <c r="O428" s="11" t="s">
        <v>34</v>
      </c>
      <c r="P428" s="11" t="s">
        <v>35</v>
      </c>
      <c r="Q428" s="11"/>
      <c r="R428" s="11" t="s">
        <v>36</v>
      </c>
      <c r="S428" s="19">
        <v>35</v>
      </c>
      <c r="T428" s="11" t="s">
        <v>37</v>
      </c>
      <c r="U428" s="11" t="s">
        <v>96</v>
      </c>
      <c r="V428" s="11">
        <v>1</v>
      </c>
      <c r="W428" s="11" t="s">
        <v>89</v>
      </c>
      <c r="X428" s="11" t="s">
        <v>3334</v>
      </c>
      <c r="Y428" s="11" t="s">
        <v>52</v>
      </c>
      <c r="Z428" s="11" t="s">
        <v>53</v>
      </c>
      <c r="AA428" s="11" t="s">
        <v>3234</v>
      </c>
    </row>
    <row r="429" spans="1:27">
      <c r="A429" s="11" t="s">
        <v>1702</v>
      </c>
      <c r="B429" s="11" t="s">
        <v>1703</v>
      </c>
      <c r="C429" s="11" t="s">
        <v>27</v>
      </c>
      <c r="D429" s="19">
        <v>28</v>
      </c>
      <c r="E429" s="11" t="s">
        <v>28</v>
      </c>
      <c r="F429" s="11" t="s">
        <v>29</v>
      </c>
      <c r="G429" s="11" t="s">
        <v>168</v>
      </c>
      <c r="H429" s="12">
        <v>46057</v>
      </c>
      <c r="I429" s="12" t="str">
        <f t="shared" si="6"/>
        <v>February</v>
      </c>
      <c r="J429" s="24">
        <v>0.52916666666666667</v>
      </c>
      <c r="K429" s="19">
        <v>5</v>
      </c>
      <c r="L429" s="12">
        <v>46057</v>
      </c>
      <c r="M429" s="24">
        <v>0.73750000000000004</v>
      </c>
      <c r="N429" s="11">
        <v>5</v>
      </c>
      <c r="O429" s="11" t="s">
        <v>68</v>
      </c>
      <c r="P429" s="11" t="s">
        <v>35</v>
      </c>
      <c r="Q429" s="11"/>
      <c r="R429" s="11" t="s">
        <v>36</v>
      </c>
      <c r="S429" s="19">
        <v>35</v>
      </c>
      <c r="T429" s="11" t="s">
        <v>49</v>
      </c>
      <c r="U429" s="11" t="s">
        <v>96</v>
      </c>
      <c r="V429" s="11">
        <v>1</v>
      </c>
      <c r="W429" s="11" t="s">
        <v>39</v>
      </c>
      <c r="X429" s="11" t="s">
        <v>3325</v>
      </c>
      <c r="Y429" s="11" t="s">
        <v>109</v>
      </c>
      <c r="Z429" s="11" t="s">
        <v>53</v>
      </c>
      <c r="AA429" s="11" t="s">
        <v>3234</v>
      </c>
    </row>
    <row r="430" spans="1:27">
      <c r="A430" s="11" t="s">
        <v>1704</v>
      </c>
      <c r="B430" s="11" t="s">
        <v>1705</v>
      </c>
      <c r="C430" s="11" t="s">
        <v>56</v>
      </c>
      <c r="D430" s="19">
        <v>39</v>
      </c>
      <c r="E430" s="11" t="s">
        <v>149</v>
      </c>
      <c r="F430" s="11" t="s">
        <v>29</v>
      </c>
      <c r="G430" s="11" t="s">
        <v>83</v>
      </c>
      <c r="H430" s="12">
        <v>46111</v>
      </c>
      <c r="I430" s="12" t="str">
        <f t="shared" si="6"/>
        <v>March</v>
      </c>
      <c r="J430" s="24">
        <v>0.66111111111111109</v>
      </c>
      <c r="K430" s="19">
        <v>6</v>
      </c>
      <c r="L430" s="12">
        <v>46112</v>
      </c>
      <c r="M430" s="24">
        <v>0.20277777777777778</v>
      </c>
      <c r="N430" s="11">
        <v>13</v>
      </c>
      <c r="O430" s="11" t="s">
        <v>34</v>
      </c>
      <c r="P430" s="11" t="s">
        <v>35</v>
      </c>
      <c r="Q430" s="11"/>
      <c r="R430" s="11" t="s">
        <v>36</v>
      </c>
      <c r="S430" s="19">
        <v>40</v>
      </c>
      <c r="T430" s="11" t="s">
        <v>37</v>
      </c>
      <c r="U430" s="11" t="s">
        <v>164</v>
      </c>
      <c r="V430" s="11">
        <v>1</v>
      </c>
      <c r="W430" s="11" t="s">
        <v>39</v>
      </c>
      <c r="X430" s="11" t="s">
        <v>3325</v>
      </c>
      <c r="Y430" s="11" t="s">
        <v>109</v>
      </c>
      <c r="Z430" s="11" t="s">
        <v>42</v>
      </c>
      <c r="AA430" s="11" t="s">
        <v>3234</v>
      </c>
    </row>
    <row r="431" spans="1:27">
      <c r="A431" s="11" t="s">
        <v>1706</v>
      </c>
      <c r="B431" s="11" t="s">
        <v>1707</v>
      </c>
      <c r="C431" s="11" t="s">
        <v>56</v>
      </c>
      <c r="D431" s="19">
        <v>75</v>
      </c>
      <c r="E431" s="11" t="s">
        <v>173</v>
      </c>
      <c r="F431" s="11" t="s">
        <v>29</v>
      </c>
      <c r="G431" s="11" t="s">
        <v>83</v>
      </c>
      <c r="H431" s="12">
        <v>46085</v>
      </c>
      <c r="I431" s="12" t="str">
        <f t="shared" si="6"/>
        <v>March</v>
      </c>
      <c r="J431" s="24">
        <v>0.67152777777777772</v>
      </c>
      <c r="K431" s="19">
        <v>4</v>
      </c>
      <c r="L431" s="12">
        <v>46086</v>
      </c>
      <c r="M431" s="24">
        <v>0.12986111111111112</v>
      </c>
      <c r="N431" s="11">
        <v>11</v>
      </c>
      <c r="O431" s="11" t="s">
        <v>34</v>
      </c>
      <c r="P431" s="11" t="s">
        <v>35</v>
      </c>
      <c r="Q431" s="11"/>
      <c r="R431" s="11" t="s">
        <v>36</v>
      </c>
      <c r="S431" s="19">
        <v>25</v>
      </c>
      <c r="T431" s="11" t="s">
        <v>49</v>
      </c>
      <c r="U431" s="11" t="s">
        <v>38</v>
      </c>
      <c r="V431" s="11">
        <v>3</v>
      </c>
      <c r="W431" s="11" t="s">
        <v>89</v>
      </c>
      <c r="X431" s="11" t="s">
        <v>3334</v>
      </c>
      <c r="Y431" s="11" t="s">
        <v>109</v>
      </c>
      <c r="Z431" s="11" t="s">
        <v>71</v>
      </c>
      <c r="AA431" s="11" t="s">
        <v>3234</v>
      </c>
    </row>
    <row r="432" spans="1:27">
      <c r="A432" s="11" t="s">
        <v>1709</v>
      </c>
      <c r="B432" s="11" t="s">
        <v>1710</v>
      </c>
      <c r="C432" s="11" t="s">
        <v>56</v>
      </c>
      <c r="D432" s="19">
        <v>18</v>
      </c>
      <c r="E432" s="11" t="s">
        <v>57</v>
      </c>
      <c r="F432" s="11" t="s">
        <v>29</v>
      </c>
      <c r="G432" s="11" t="s">
        <v>168</v>
      </c>
      <c r="H432" s="12">
        <v>46108</v>
      </c>
      <c r="I432" s="12" t="str">
        <f t="shared" si="6"/>
        <v>March</v>
      </c>
      <c r="J432" s="24">
        <v>0.45347222222222222</v>
      </c>
      <c r="K432" s="19">
        <v>3</v>
      </c>
      <c r="L432" s="12">
        <v>46108</v>
      </c>
      <c r="M432" s="24">
        <v>0.66180555555555554</v>
      </c>
      <c r="N432" s="11">
        <v>5</v>
      </c>
      <c r="O432" s="11" t="s">
        <v>34</v>
      </c>
      <c r="P432" s="11" t="s">
        <v>35</v>
      </c>
      <c r="Q432" s="11"/>
      <c r="R432" s="11" t="s">
        <v>36</v>
      </c>
      <c r="S432" s="19">
        <v>15</v>
      </c>
      <c r="T432" s="11" t="s">
        <v>49</v>
      </c>
      <c r="U432" s="11" t="s">
        <v>164</v>
      </c>
      <c r="V432" s="11">
        <v>4</v>
      </c>
      <c r="W432" s="11" t="s">
        <v>89</v>
      </c>
      <c r="X432" s="11" t="s">
        <v>51</v>
      </c>
      <c r="Y432" s="11" t="s">
        <v>109</v>
      </c>
      <c r="Z432" s="11" t="s">
        <v>71</v>
      </c>
      <c r="AA432" s="11" t="s">
        <v>3234</v>
      </c>
    </row>
    <row r="433" spans="1:27">
      <c r="A433" s="11" t="s">
        <v>1712</v>
      </c>
      <c r="B433" s="11" t="s">
        <v>1713</v>
      </c>
      <c r="C433" s="11" t="s">
        <v>56</v>
      </c>
      <c r="D433" s="19">
        <v>18</v>
      </c>
      <c r="E433" s="11" t="s">
        <v>149</v>
      </c>
      <c r="F433" s="11" t="s">
        <v>29</v>
      </c>
      <c r="G433" s="11" t="s">
        <v>30</v>
      </c>
      <c r="H433" s="12">
        <v>46156</v>
      </c>
      <c r="I433" s="12" t="str">
        <f t="shared" si="6"/>
        <v>May</v>
      </c>
      <c r="J433" s="24">
        <v>0.46875</v>
      </c>
      <c r="K433" s="19">
        <v>6</v>
      </c>
      <c r="L433" s="12">
        <v>46156</v>
      </c>
      <c r="M433" s="24">
        <v>0.92708333333333337</v>
      </c>
      <c r="N433" s="11">
        <v>11</v>
      </c>
      <c r="O433" s="11" t="s">
        <v>34</v>
      </c>
      <c r="P433" s="11" t="s">
        <v>35</v>
      </c>
      <c r="Q433" s="11"/>
      <c r="R433" s="11" t="s">
        <v>36</v>
      </c>
      <c r="S433" s="19">
        <v>40</v>
      </c>
      <c r="T433" s="11" t="s">
        <v>49</v>
      </c>
      <c r="U433" s="11" t="s">
        <v>96</v>
      </c>
      <c r="V433" s="11">
        <v>5</v>
      </c>
      <c r="W433" s="11" t="s">
        <v>39</v>
      </c>
      <c r="X433" s="11" t="s">
        <v>51</v>
      </c>
      <c r="Y433" s="11" t="s">
        <v>41</v>
      </c>
      <c r="Z433" s="11" t="s">
        <v>71</v>
      </c>
      <c r="AA433" s="11" t="str">
        <f>IF(A433=" ", "Missing Value", " ")</f>
        <v xml:space="preserve"> </v>
      </c>
    </row>
    <row r="434" spans="1:27">
      <c r="A434" s="11" t="s">
        <v>1714</v>
      </c>
      <c r="B434" s="11" t="s">
        <v>1715</v>
      </c>
      <c r="C434" s="11" t="s">
        <v>56</v>
      </c>
      <c r="D434" s="19">
        <v>90</v>
      </c>
      <c r="E434" s="11" t="s">
        <v>57</v>
      </c>
      <c r="F434" s="11" t="s">
        <v>29</v>
      </c>
      <c r="G434" s="11" t="s">
        <v>58</v>
      </c>
      <c r="H434" s="12">
        <v>46094</v>
      </c>
      <c r="I434" s="12" t="str">
        <f t="shared" si="6"/>
        <v>March</v>
      </c>
      <c r="J434" s="24">
        <v>0.54097222222222219</v>
      </c>
      <c r="K434" s="19">
        <v>3</v>
      </c>
      <c r="L434" s="12">
        <v>46094</v>
      </c>
      <c r="M434" s="24">
        <v>0.87430555555555556</v>
      </c>
      <c r="N434" s="11">
        <v>8</v>
      </c>
      <c r="O434" s="11" t="s">
        <v>34</v>
      </c>
      <c r="P434" s="11" t="s">
        <v>35</v>
      </c>
      <c r="Q434" s="11"/>
      <c r="R434" s="11" t="s">
        <v>36</v>
      </c>
      <c r="S434" s="19">
        <v>15</v>
      </c>
      <c r="T434" s="11" t="s">
        <v>49</v>
      </c>
      <c r="U434" s="11" t="s">
        <v>38</v>
      </c>
      <c r="V434" s="11">
        <v>1</v>
      </c>
      <c r="W434" s="11" t="s">
        <v>39</v>
      </c>
      <c r="X434" s="11" t="s">
        <v>3334</v>
      </c>
      <c r="Y434" s="11" t="s">
        <v>41</v>
      </c>
      <c r="Z434" s="11" t="s">
        <v>71</v>
      </c>
      <c r="AA434" s="11"/>
    </row>
    <row r="435" spans="1:27">
      <c r="A435" s="11" t="s">
        <v>1718</v>
      </c>
      <c r="B435" s="11" t="s">
        <v>1719</v>
      </c>
      <c r="C435" s="11" t="s">
        <v>56</v>
      </c>
      <c r="D435" s="19">
        <v>83</v>
      </c>
      <c r="E435" s="11" t="s">
        <v>149</v>
      </c>
      <c r="F435" s="11" t="s">
        <v>29</v>
      </c>
      <c r="G435" s="11" t="s">
        <v>168</v>
      </c>
      <c r="H435" s="12">
        <v>46090</v>
      </c>
      <c r="I435" s="12" t="str">
        <f t="shared" si="6"/>
        <v>March</v>
      </c>
      <c r="J435" s="24">
        <v>0.52361111111111114</v>
      </c>
      <c r="K435" s="19">
        <v>6</v>
      </c>
      <c r="L435" s="12">
        <v>46090</v>
      </c>
      <c r="M435" s="24">
        <v>0.7319444444444444</v>
      </c>
      <c r="N435" s="11">
        <v>5</v>
      </c>
      <c r="O435" s="11" t="s">
        <v>68</v>
      </c>
      <c r="P435" s="11" t="s">
        <v>35</v>
      </c>
      <c r="Q435" s="11"/>
      <c r="R435" s="11" t="s">
        <v>36</v>
      </c>
      <c r="S435" s="19">
        <v>40</v>
      </c>
      <c r="T435" s="11" t="s">
        <v>37</v>
      </c>
      <c r="U435" s="11" t="s">
        <v>96</v>
      </c>
      <c r="V435" s="11">
        <v>2</v>
      </c>
      <c r="W435" s="11" t="s">
        <v>70</v>
      </c>
      <c r="X435" s="11" t="s">
        <v>3333</v>
      </c>
      <c r="Y435" s="11" t="s">
        <v>109</v>
      </c>
      <c r="Z435" s="11" t="s">
        <v>53</v>
      </c>
      <c r="AA435" s="11" t="s">
        <v>3234</v>
      </c>
    </row>
    <row r="436" spans="1:27">
      <c r="A436" s="11" t="s">
        <v>1722</v>
      </c>
      <c r="B436" s="11" t="s">
        <v>1723</v>
      </c>
      <c r="C436" s="11" t="s">
        <v>27</v>
      </c>
      <c r="D436" s="19">
        <v>77</v>
      </c>
      <c r="E436" s="11" t="s">
        <v>92</v>
      </c>
      <c r="F436" s="11" t="s">
        <v>29</v>
      </c>
      <c r="G436" s="11" t="s">
        <v>93</v>
      </c>
      <c r="H436" s="12">
        <v>46136</v>
      </c>
      <c r="I436" s="12" t="str">
        <f t="shared" si="6"/>
        <v>April</v>
      </c>
      <c r="J436" s="24">
        <v>0.61597222222222225</v>
      </c>
      <c r="K436" s="19">
        <v>24</v>
      </c>
      <c r="L436" s="12">
        <v>46137</v>
      </c>
      <c r="M436" s="24">
        <v>0.94930555555555551</v>
      </c>
      <c r="N436" s="11">
        <v>32</v>
      </c>
      <c r="O436" s="11" t="s">
        <v>34</v>
      </c>
      <c r="P436" s="11" t="s">
        <v>35</v>
      </c>
      <c r="Q436" s="11"/>
      <c r="R436" s="11" t="s">
        <v>132</v>
      </c>
      <c r="S436" s="19">
        <v>50</v>
      </c>
      <c r="T436" s="11" t="s">
        <v>37</v>
      </c>
      <c r="U436" s="11" t="s">
        <v>96</v>
      </c>
      <c r="V436" s="11">
        <v>1</v>
      </c>
      <c r="W436" s="11" t="s">
        <v>39</v>
      </c>
      <c r="X436" s="11" t="s">
        <v>3325</v>
      </c>
      <c r="Y436" s="11" t="s">
        <v>109</v>
      </c>
      <c r="Z436" s="11" t="s">
        <v>42</v>
      </c>
      <c r="AA436" s="11" t="s">
        <v>3262</v>
      </c>
    </row>
    <row r="437" spans="1:27">
      <c r="A437" s="11" t="s">
        <v>1724</v>
      </c>
      <c r="B437" s="11" t="s">
        <v>1725</v>
      </c>
      <c r="C437" s="11" t="s">
        <v>56</v>
      </c>
      <c r="D437" s="19">
        <v>28</v>
      </c>
      <c r="E437" s="11" t="s">
        <v>28</v>
      </c>
      <c r="F437" s="11" t="s">
        <v>29</v>
      </c>
      <c r="G437" s="11" t="s">
        <v>30</v>
      </c>
      <c r="H437" s="12">
        <v>46073</v>
      </c>
      <c r="I437" s="12" t="str">
        <f t="shared" si="6"/>
        <v>February</v>
      </c>
      <c r="J437" s="24">
        <v>0.57013888888888886</v>
      </c>
      <c r="K437" s="19">
        <v>5</v>
      </c>
      <c r="L437" s="12">
        <v>46073</v>
      </c>
      <c r="M437" s="24">
        <v>0.9868055555555556</v>
      </c>
      <c r="N437" s="11">
        <v>10</v>
      </c>
      <c r="O437" s="11" t="s">
        <v>34</v>
      </c>
      <c r="P437" s="11" t="s">
        <v>35</v>
      </c>
      <c r="Q437" s="11"/>
      <c r="R437" s="11" t="s">
        <v>36</v>
      </c>
      <c r="S437" s="19">
        <v>35</v>
      </c>
      <c r="T437" s="11" t="s">
        <v>49</v>
      </c>
      <c r="U437" s="11" t="s">
        <v>96</v>
      </c>
      <c r="V437" s="11">
        <v>2</v>
      </c>
      <c r="W437" s="11" t="s">
        <v>89</v>
      </c>
      <c r="X437" s="11" t="s">
        <v>3333</v>
      </c>
      <c r="Y437" s="11" t="s">
        <v>52</v>
      </c>
      <c r="Z437" s="11" t="s">
        <v>42</v>
      </c>
      <c r="AA437" s="11" t="str">
        <f>IF(A437=" ", "Missing Value", " ")</f>
        <v xml:space="preserve"> </v>
      </c>
    </row>
    <row r="438" spans="1:27">
      <c r="A438" s="11" t="s">
        <v>1727</v>
      </c>
      <c r="B438" s="11" t="s">
        <v>1728</v>
      </c>
      <c r="C438" s="11" t="s">
        <v>56</v>
      </c>
      <c r="D438" s="19">
        <v>23</v>
      </c>
      <c r="E438" s="11" t="s">
        <v>81</v>
      </c>
      <c r="F438" s="11" t="s">
        <v>82</v>
      </c>
      <c r="G438" s="11" t="s">
        <v>168</v>
      </c>
      <c r="H438" s="12">
        <v>46094</v>
      </c>
      <c r="I438" s="12" t="str">
        <f t="shared" si="6"/>
        <v>March</v>
      </c>
      <c r="J438" s="24">
        <v>0.4777777777777778</v>
      </c>
      <c r="K438" s="19">
        <v>8</v>
      </c>
      <c r="L438" s="12">
        <v>46094</v>
      </c>
      <c r="M438" s="24">
        <v>0.85277777777777775</v>
      </c>
      <c r="N438" s="11">
        <v>9</v>
      </c>
      <c r="O438" s="11" t="s">
        <v>34</v>
      </c>
      <c r="P438" s="11" t="s">
        <v>35</v>
      </c>
      <c r="Q438" s="11"/>
      <c r="R438" s="11" t="s">
        <v>132</v>
      </c>
      <c r="S438" s="19">
        <v>20</v>
      </c>
      <c r="T438" s="11" t="s">
        <v>49</v>
      </c>
      <c r="U438" s="11" t="s">
        <v>38</v>
      </c>
      <c r="V438" s="11">
        <v>4</v>
      </c>
      <c r="W438" s="11" t="s">
        <v>70</v>
      </c>
      <c r="X438" s="11" t="s">
        <v>3325</v>
      </c>
      <c r="Y438" s="11" t="s">
        <v>41</v>
      </c>
      <c r="Z438" s="11" t="s">
        <v>53</v>
      </c>
      <c r="AA438" s="11" t="s">
        <v>3264</v>
      </c>
    </row>
    <row r="439" spans="1:27">
      <c r="A439" s="11" t="s">
        <v>1730</v>
      </c>
      <c r="B439" s="11" t="s">
        <v>1731</v>
      </c>
      <c r="C439" s="11" t="s">
        <v>27</v>
      </c>
      <c r="D439" s="19">
        <v>20</v>
      </c>
      <c r="E439" s="11" t="s">
        <v>81</v>
      </c>
      <c r="F439" s="11" t="s">
        <v>82</v>
      </c>
      <c r="G439" s="11" t="s">
        <v>83</v>
      </c>
      <c r="H439" s="12">
        <v>46076</v>
      </c>
      <c r="I439" s="12" t="str">
        <f t="shared" si="6"/>
        <v>February</v>
      </c>
      <c r="J439" s="24">
        <v>0.34305555555555556</v>
      </c>
      <c r="K439" s="19">
        <v>8</v>
      </c>
      <c r="L439" s="12">
        <v>46076</v>
      </c>
      <c r="M439" s="24">
        <v>0.67638888888888893</v>
      </c>
      <c r="N439" s="11">
        <v>8</v>
      </c>
      <c r="O439" s="11" t="s">
        <v>68</v>
      </c>
      <c r="P439" s="11" t="s">
        <v>35</v>
      </c>
      <c r="Q439" s="11"/>
      <c r="R439" s="11" t="s">
        <v>36</v>
      </c>
      <c r="S439" s="19">
        <v>20</v>
      </c>
      <c r="T439" s="11" t="s">
        <v>49</v>
      </c>
      <c r="U439" s="11" t="s">
        <v>96</v>
      </c>
      <c r="V439" s="11">
        <v>1</v>
      </c>
      <c r="W439" s="11" t="s">
        <v>70</v>
      </c>
      <c r="X439" s="11" t="s">
        <v>51</v>
      </c>
      <c r="Y439" s="11" t="s">
        <v>52</v>
      </c>
      <c r="Z439" s="11" t="s">
        <v>71</v>
      </c>
      <c r="AA439" s="11" t="str">
        <f>IF(A439=" ", "Missing Value", " ")</f>
        <v xml:space="preserve"> </v>
      </c>
    </row>
    <row r="440" spans="1:27">
      <c r="A440" s="11" t="s">
        <v>1732</v>
      </c>
      <c r="B440" s="11" t="s">
        <v>1733</v>
      </c>
      <c r="C440" s="11" t="s">
        <v>56</v>
      </c>
      <c r="D440" s="19">
        <v>46</v>
      </c>
      <c r="E440" s="11" t="s">
        <v>149</v>
      </c>
      <c r="F440" s="11" t="s">
        <v>29</v>
      </c>
      <c r="G440" s="11" t="s">
        <v>83</v>
      </c>
      <c r="H440" s="12">
        <v>46049</v>
      </c>
      <c r="I440" s="12" t="str">
        <f t="shared" si="6"/>
        <v>January</v>
      </c>
      <c r="J440" s="24">
        <v>0.47361111111111109</v>
      </c>
      <c r="K440" s="19">
        <v>6</v>
      </c>
      <c r="L440" s="12">
        <v>46049</v>
      </c>
      <c r="M440" s="24">
        <v>0.84861111111111109</v>
      </c>
      <c r="N440" s="11">
        <v>9</v>
      </c>
      <c r="O440" s="11" t="s">
        <v>34</v>
      </c>
      <c r="P440" s="11" t="s">
        <v>35</v>
      </c>
      <c r="Q440" s="11"/>
      <c r="R440" s="11" t="s">
        <v>36</v>
      </c>
      <c r="S440" s="19">
        <v>40</v>
      </c>
      <c r="T440" s="11" t="s">
        <v>49</v>
      </c>
      <c r="U440" s="11" t="s">
        <v>38</v>
      </c>
      <c r="V440" s="11">
        <v>5</v>
      </c>
      <c r="W440" s="11" t="s">
        <v>62</v>
      </c>
      <c r="X440" s="11" t="s">
        <v>3334</v>
      </c>
      <c r="Y440" s="11" t="s">
        <v>109</v>
      </c>
      <c r="Z440" s="11" t="s">
        <v>71</v>
      </c>
      <c r="AA440" s="11" t="s">
        <v>3234</v>
      </c>
    </row>
    <row r="441" spans="1:27">
      <c r="A441" s="11" t="s">
        <v>1735</v>
      </c>
      <c r="B441" s="11" t="s">
        <v>1736</v>
      </c>
      <c r="C441" s="11" t="s">
        <v>27</v>
      </c>
      <c r="D441" s="19">
        <v>20</v>
      </c>
      <c r="E441" s="11" t="s">
        <v>81</v>
      </c>
      <c r="F441" s="11" t="s">
        <v>82</v>
      </c>
      <c r="G441" s="11" t="s">
        <v>30</v>
      </c>
      <c r="H441" s="12">
        <v>46059</v>
      </c>
      <c r="I441" s="12" t="str">
        <f t="shared" si="6"/>
        <v>February</v>
      </c>
      <c r="J441" s="24">
        <v>0.48749999999999999</v>
      </c>
      <c r="K441" s="19">
        <v>8</v>
      </c>
      <c r="L441" s="12">
        <v>46059</v>
      </c>
      <c r="M441" s="24">
        <v>0.90416666666666667</v>
      </c>
      <c r="N441" s="11">
        <v>10</v>
      </c>
      <c r="O441" s="11" t="s">
        <v>34</v>
      </c>
      <c r="P441" s="11" t="s">
        <v>35</v>
      </c>
      <c r="Q441" s="11"/>
      <c r="R441" s="11" t="s">
        <v>36</v>
      </c>
      <c r="S441" s="19">
        <v>20</v>
      </c>
      <c r="T441" s="11" t="s">
        <v>37</v>
      </c>
      <c r="U441" s="11" t="s">
        <v>38</v>
      </c>
      <c r="V441" s="11">
        <v>4</v>
      </c>
      <c r="W441" s="11" t="s">
        <v>62</v>
      </c>
      <c r="X441" s="11" t="s">
        <v>3333</v>
      </c>
      <c r="Y441" s="11" t="s">
        <v>109</v>
      </c>
      <c r="Z441" s="11" t="s">
        <v>53</v>
      </c>
      <c r="AA441" s="11" t="s">
        <v>3234</v>
      </c>
    </row>
    <row r="442" spans="1:27">
      <c r="A442" s="11" t="s">
        <v>1739</v>
      </c>
      <c r="B442" s="11" t="s">
        <v>1740</v>
      </c>
      <c r="C442" s="11" t="s">
        <v>56</v>
      </c>
      <c r="D442" s="19">
        <v>7</v>
      </c>
      <c r="E442" s="11" t="s">
        <v>28</v>
      </c>
      <c r="F442" s="11" t="s">
        <v>29</v>
      </c>
      <c r="G442" s="11" t="s">
        <v>30</v>
      </c>
      <c r="H442" s="12">
        <v>46173</v>
      </c>
      <c r="I442" s="12" t="str">
        <f t="shared" si="6"/>
        <v>May</v>
      </c>
      <c r="J442" s="24">
        <v>0.52361111111111114</v>
      </c>
      <c r="K442" s="19">
        <v>5</v>
      </c>
      <c r="L442" s="12">
        <v>46173</v>
      </c>
      <c r="M442" s="24">
        <v>0.9819444444444444</v>
      </c>
      <c r="N442" s="11">
        <v>11</v>
      </c>
      <c r="O442" s="11" t="s">
        <v>34</v>
      </c>
      <c r="P442" s="11" t="s">
        <v>35</v>
      </c>
      <c r="Q442" s="11"/>
      <c r="R442" s="11" t="s">
        <v>36</v>
      </c>
      <c r="S442" s="19">
        <v>35</v>
      </c>
      <c r="T442" s="11" t="s">
        <v>49</v>
      </c>
      <c r="U442" s="11" t="s">
        <v>96</v>
      </c>
      <c r="V442" s="11">
        <v>1</v>
      </c>
      <c r="W442" s="11" t="s">
        <v>89</v>
      </c>
      <c r="X442" s="11" t="s">
        <v>3325</v>
      </c>
      <c r="Y442" s="11" t="s">
        <v>41</v>
      </c>
      <c r="Z442" s="11" t="s">
        <v>42</v>
      </c>
      <c r="AA442" s="11" t="str">
        <f>IF(A442=" ", "Missing Value", " ")</f>
        <v xml:space="preserve"> </v>
      </c>
    </row>
    <row r="443" spans="1:27">
      <c r="A443" s="11" t="s">
        <v>1742</v>
      </c>
      <c r="B443" s="11" t="s">
        <v>1743</v>
      </c>
      <c r="C443" s="11" t="s">
        <v>56</v>
      </c>
      <c r="D443" s="19">
        <v>64</v>
      </c>
      <c r="E443" s="11" t="s">
        <v>28</v>
      </c>
      <c r="F443" s="11" t="s">
        <v>29</v>
      </c>
      <c r="G443" s="11" t="s">
        <v>168</v>
      </c>
      <c r="H443" s="12">
        <v>46196</v>
      </c>
      <c r="I443" s="12" t="str">
        <f t="shared" si="6"/>
        <v>June</v>
      </c>
      <c r="J443" s="24">
        <v>0.44583333333333336</v>
      </c>
      <c r="K443" s="19">
        <v>5</v>
      </c>
      <c r="L443" s="12">
        <v>46196</v>
      </c>
      <c r="M443" s="24">
        <v>0.9458333333333333</v>
      </c>
      <c r="N443" s="11">
        <v>12</v>
      </c>
      <c r="O443" s="11" t="s">
        <v>34</v>
      </c>
      <c r="P443" s="11" t="s">
        <v>35</v>
      </c>
      <c r="Q443" s="11"/>
      <c r="R443" s="11" t="s">
        <v>36</v>
      </c>
      <c r="S443" s="19">
        <v>35</v>
      </c>
      <c r="T443" s="11" t="s">
        <v>49</v>
      </c>
      <c r="U443" s="11" t="s">
        <v>164</v>
      </c>
      <c r="V443" s="11">
        <v>3</v>
      </c>
      <c r="W443" s="11" t="s">
        <v>62</v>
      </c>
      <c r="X443" s="11" t="s">
        <v>3325</v>
      </c>
      <c r="Y443" s="11" t="s">
        <v>52</v>
      </c>
      <c r="Z443" s="11" t="s">
        <v>42</v>
      </c>
      <c r="AA443" s="11" t="s">
        <v>3234</v>
      </c>
    </row>
    <row r="444" spans="1:27">
      <c r="A444" s="11" t="s">
        <v>1746</v>
      </c>
      <c r="B444" s="11" t="s">
        <v>1747</v>
      </c>
      <c r="C444" s="11" t="s">
        <v>56</v>
      </c>
      <c r="D444" s="19">
        <v>18</v>
      </c>
      <c r="E444" s="11" t="s">
        <v>92</v>
      </c>
      <c r="F444" s="11" t="s">
        <v>29</v>
      </c>
      <c r="G444" s="11" t="s">
        <v>93</v>
      </c>
      <c r="H444" s="12">
        <v>46041</v>
      </c>
      <c r="I444" s="12" t="str">
        <f t="shared" si="6"/>
        <v>January</v>
      </c>
      <c r="J444" s="24">
        <v>0.49444444444444446</v>
      </c>
      <c r="K444" s="19">
        <v>24</v>
      </c>
      <c r="L444" s="12">
        <v>46042</v>
      </c>
      <c r="M444" s="24">
        <v>0.78611111111111109</v>
      </c>
      <c r="N444" s="11">
        <v>31</v>
      </c>
      <c r="O444" s="11" t="s">
        <v>34</v>
      </c>
      <c r="P444" s="11" t="s">
        <v>35</v>
      </c>
      <c r="Q444" s="11"/>
      <c r="R444" s="11" t="s">
        <v>36</v>
      </c>
      <c r="S444" s="19">
        <v>50</v>
      </c>
      <c r="T444" s="11" t="s">
        <v>49</v>
      </c>
      <c r="U444" s="11" t="s">
        <v>164</v>
      </c>
      <c r="V444" s="11">
        <v>3</v>
      </c>
      <c r="W444" s="11" t="s">
        <v>62</v>
      </c>
      <c r="X444" s="11" t="s">
        <v>3333</v>
      </c>
      <c r="Y444" s="11" t="s">
        <v>52</v>
      </c>
      <c r="Z444" s="11" t="s">
        <v>42</v>
      </c>
      <c r="AA444" s="11" t="s">
        <v>3232</v>
      </c>
    </row>
    <row r="445" spans="1:27">
      <c r="A445" s="11" t="s">
        <v>1749</v>
      </c>
      <c r="B445" s="11" t="s">
        <v>1750</v>
      </c>
      <c r="C445" s="11" t="s">
        <v>27</v>
      </c>
      <c r="D445" s="19">
        <v>22</v>
      </c>
      <c r="E445" s="11" t="s">
        <v>173</v>
      </c>
      <c r="F445" s="11" t="s">
        <v>29</v>
      </c>
      <c r="G445" s="11" t="s">
        <v>83</v>
      </c>
      <c r="H445" s="12">
        <v>46067</v>
      </c>
      <c r="I445" s="12" t="str">
        <f t="shared" si="6"/>
        <v>February</v>
      </c>
      <c r="J445" s="24">
        <v>0.29305555555555557</v>
      </c>
      <c r="K445" s="19">
        <v>4</v>
      </c>
      <c r="L445" s="12">
        <v>46067</v>
      </c>
      <c r="M445" s="24">
        <v>0.66805555555555551</v>
      </c>
      <c r="N445" s="11">
        <v>9</v>
      </c>
      <c r="O445" s="11" t="s">
        <v>34</v>
      </c>
      <c r="P445" s="11" t="s">
        <v>270</v>
      </c>
      <c r="Q445" s="11" t="s">
        <v>271</v>
      </c>
      <c r="R445" s="11" t="s">
        <v>36</v>
      </c>
      <c r="S445" s="19">
        <v>25</v>
      </c>
      <c r="T445" s="11" t="s">
        <v>49</v>
      </c>
      <c r="U445" s="11" t="s">
        <v>38</v>
      </c>
      <c r="V445" s="11">
        <v>3</v>
      </c>
      <c r="W445" s="11" t="s">
        <v>39</v>
      </c>
      <c r="X445" s="11" t="s">
        <v>3333</v>
      </c>
      <c r="Y445" s="11" t="s">
        <v>109</v>
      </c>
      <c r="Z445" s="11" t="s">
        <v>42</v>
      </c>
      <c r="AA445" s="11" t="s">
        <v>3254</v>
      </c>
    </row>
    <row r="446" spans="1:27">
      <c r="A446" s="11" t="s">
        <v>1753</v>
      </c>
      <c r="B446" s="11" t="s">
        <v>1754</v>
      </c>
      <c r="C446" s="11" t="s">
        <v>27</v>
      </c>
      <c r="D446" s="19">
        <v>70</v>
      </c>
      <c r="E446" s="11" t="s">
        <v>92</v>
      </c>
      <c r="F446" s="11" t="s">
        <v>29</v>
      </c>
      <c r="G446" s="11" t="s">
        <v>30</v>
      </c>
      <c r="H446" s="12">
        <v>46058</v>
      </c>
      <c r="I446" s="12" t="str">
        <f t="shared" si="6"/>
        <v>February</v>
      </c>
      <c r="J446" s="24">
        <v>0.37916666666666665</v>
      </c>
      <c r="K446" s="19">
        <v>24</v>
      </c>
      <c r="L446" s="12">
        <v>46059</v>
      </c>
      <c r="M446" s="24">
        <v>0.50416666666666665</v>
      </c>
      <c r="N446" s="11">
        <v>27</v>
      </c>
      <c r="O446" s="11" t="s">
        <v>34</v>
      </c>
      <c r="P446" s="11" t="s">
        <v>35</v>
      </c>
      <c r="Q446" s="11"/>
      <c r="R446" s="11" t="s">
        <v>36</v>
      </c>
      <c r="S446" s="19">
        <v>50</v>
      </c>
      <c r="T446" s="11" t="s">
        <v>49</v>
      </c>
      <c r="U446" s="11" t="s">
        <v>96</v>
      </c>
      <c r="V446" s="11">
        <v>5</v>
      </c>
      <c r="W446" s="11" t="s">
        <v>70</v>
      </c>
      <c r="X446" s="11" t="s">
        <v>3333</v>
      </c>
      <c r="Y446" s="11" t="s">
        <v>41</v>
      </c>
      <c r="Z446" s="11" t="s">
        <v>71</v>
      </c>
      <c r="AA446" s="11" t="s">
        <v>3234</v>
      </c>
    </row>
    <row r="447" spans="1:27">
      <c r="A447" s="11" t="s">
        <v>1756</v>
      </c>
      <c r="B447" s="11" t="s">
        <v>1757</v>
      </c>
      <c r="C447" s="11" t="s">
        <v>56</v>
      </c>
      <c r="D447" s="19">
        <v>59</v>
      </c>
      <c r="E447" s="11" t="s">
        <v>57</v>
      </c>
      <c r="F447" s="11" t="s">
        <v>29</v>
      </c>
      <c r="G447" s="11" t="s">
        <v>58</v>
      </c>
      <c r="H447" s="12">
        <v>46057</v>
      </c>
      <c r="I447" s="12" t="str">
        <f t="shared" si="6"/>
        <v>February</v>
      </c>
      <c r="J447" s="24">
        <v>0.44930555555555557</v>
      </c>
      <c r="K447" s="19">
        <v>3</v>
      </c>
      <c r="L447" s="12">
        <v>46057</v>
      </c>
      <c r="M447" s="24">
        <v>0.61597222222222225</v>
      </c>
      <c r="N447" s="11">
        <v>4</v>
      </c>
      <c r="O447" s="11" t="s">
        <v>34</v>
      </c>
      <c r="P447" s="11" t="s">
        <v>35</v>
      </c>
      <c r="Q447" s="11"/>
      <c r="R447" s="11" t="s">
        <v>36</v>
      </c>
      <c r="S447" s="19">
        <v>15</v>
      </c>
      <c r="T447" s="11" t="s">
        <v>49</v>
      </c>
      <c r="U447" s="11" t="s">
        <v>164</v>
      </c>
      <c r="V447" s="11">
        <v>1</v>
      </c>
      <c r="W447" s="11" t="s">
        <v>39</v>
      </c>
      <c r="X447" s="11" t="s">
        <v>51</v>
      </c>
      <c r="Y447" s="11" t="s">
        <v>52</v>
      </c>
      <c r="Z447" s="11" t="s">
        <v>42</v>
      </c>
      <c r="AA447" s="11"/>
    </row>
    <row r="448" spans="1:27">
      <c r="A448" s="11" t="s">
        <v>1758</v>
      </c>
      <c r="B448" s="11" t="s">
        <v>1759</v>
      </c>
      <c r="C448" s="11" t="s">
        <v>27</v>
      </c>
      <c r="D448" s="19">
        <v>7</v>
      </c>
      <c r="E448" s="11" t="s">
        <v>173</v>
      </c>
      <c r="F448" s="11" t="s">
        <v>29</v>
      </c>
      <c r="G448" s="11" t="s">
        <v>168</v>
      </c>
      <c r="H448" s="12">
        <v>46131</v>
      </c>
      <c r="I448" s="12" t="str">
        <f t="shared" si="6"/>
        <v>April</v>
      </c>
      <c r="J448" s="24">
        <v>0.38472222222222224</v>
      </c>
      <c r="K448" s="19">
        <v>4</v>
      </c>
      <c r="L448" s="12">
        <v>46131</v>
      </c>
      <c r="M448" s="24">
        <v>0.63472222222222219</v>
      </c>
      <c r="N448" s="11">
        <v>6</v>
      </c>
      <c r="O448" s="11" t="s">
        <v>34</v>
      </c>
      <c r="P448" s="11" t="s">
        <v>270</v>
      </c>
      <c r="Q448" s="11" t="s">
        <v>271</v>
      </c>
      <c r="R448" s="11" t="s">
        <v>36</v>
      </c>
      <c r="S448" s="19">
        <v>25</v>
      </c>
      <c r="T448" s="11" t="s">
        <v>49</v>
      </c>
      <c r="U448" s="11" t="s">
        <v>96</v>
      </c>
      <c r="V448" s="11">
        <v>3</v>
      </c>
      <c r="W448" s="11" t="s">
        <v>89</v>
      </c>
      <c r="X448" s="11" t="s">
        <v>3325</v>
      </c>
      <c r="Y448" s="11" t="s">
        <v>41</v>
      </c>
      <c r="Z448" s="11" t="s">
        <v>42</v>
      </c>
      <c r="AA448" s="11" t="s">
        <v>3254</v>
      </c>
    </row>
    <row r="449" spans="1:27">
      <c r="A449" s="11" t="s">
        <v>1761</v>
      </c>
      <c r="B449" s="11" t="s">
        <v>1762</v>
      </c>
      <c r="C449" s="11" t="s">
        <v>56</v>
      </c>
      <c r="D449" s="19">
        <v>58</v>
      </c>
      <c r="E449" s="11" t="s">
        <v>28</v>
      </c>
      <c r="F449" s="11" t="s">
        <v>29</v>
      </c>
      <c r="G449" s="11" t="s">
        <v>83</v>
      </c>
      <c r="H449" s="12">
        <v>46165</v>
      </c>
      <c r="I449" s="12" t="str">
        <f t="shared" si="6"/>
        <v>May</v>
      </c>
      <c r="J449" s="24">
        <v>0.65208333333333335</v>
      </c>
      <c r="K449" s="19">
        <v>5</v>
      </c>
      <c r="L449" s="12">
        <v>46166</v>
      </c>
      <c r="M449" s="24">
        <v>2.7083333333333334E-2</v>
      </c>
      <c r="N449" s="11">
        <v>9</v>
      </c>
      <c r="O449" s="11" t="s">
        <v>34</v>
      </c>
      <c r="P449" s="11" t="s">
        <v>35</v>
      </c>
      <c r="Q449" s="11"/>
      <c r="R449" s="11" t="s">
        <v>36</v>
      </c>
      <c r="S449" s="19">
        <v>35</v>
      </c>
      <c r="T449" s="11" t="s">
        <v>37</v>
      </c>
      <c r="U449" s="11" t="s">
        <v>164</v>
      </c>
      <c r="V449" s="11">
        <v>5</v>
      </c>
      <c r="W449" s="11" t="s">
        <v>62</v>
      </c>
      <c r="X449" s="11" t="s">
        <v>51</v>
      </c>
      <c r="Y449" s="11" t="s">
        <v>52</v>
      </c>
      <c r="Z449" s="11" t="s">
        <v>71</v>
      </c>
      <c r="AA449" s="11" t="s">
        <v>3234</v>
      </c>
    </row>
    <row r="450" spans="1:27">
      <c r="A450" s="11" t="s">
        <v>1764</v>
      </c>
      <c r="B450" s="11" t="s">
        <v>1765</v>
      </c>
      <c r="C450" s="11" t="s">
        <v>27</v>
      </c>
      <c r="D450" s="19">
        <v>150</v>
      </c>
      <c r="E450" s="11" t="s">
        <v>57</v>
      </c>
      <c r="F450" s="11" t="s">
        <v>29</v>
      </c>
      <c r="G450" s="11" t="s">
        <v>58</v>
      </c>
      <c r="H450" s="12">
        <v>46102</v>
      </c>
      <c r="I450" s="12" t="str">
        <f t="shared" ref="I450:I513" si="7">TEXT(H450, "mmmm")</f>
        <v>March</v>
      </c>
      <c r="J450" s="24">
        <v>0.62152777777777779</v>
      </c>
      <c r="K450" s="19">
        <v>3</v>
      </c>
      <c r="L450" s="12">
        <v>46102</v>
      </c>
      <c r="M450" s="24">
        <v>0.99652777777777779</v>
      </c>
      <c r="N450" s="11">
        <v>9</v>
      </c>
      <c r="O450" s="11" t="s">
        <v>34</v>
      </c>
      <c r="P450" s="11" t="s">
        <v>35</v>
      </c>
      <c r="Q450" s="11"/>
      <c r="R450" s="11" t="s">
        <v>36</v>
      </c>
      <c r="S450" s="19">
        <v>15</v>
      </c>
      <c r="T450" s="11" t="s">
        <v>37</v>
      </c>
      <c r="U450" s="11" t="s">
        <v>38</v>
      </c>
      <c r="V450" s="11">
        <v>5</v>
      </c>
      <c r="W450" s="11" t="s">
        <v>39</v>
      </c>
      <c r="X450" s="11" t="s">
        <v>3325</v>
      </c>
      <c r="Y450" s="11" t="s">
        <v>109</v>
      </c>
      <c r="Z450" s="11" t="s">
        <v>71</v>
      </c>
      <c r="AA450" s="11" t="s">
        <v>3230</v>
      </c>
    </row>
    <row r="451" spans="1:27">
      <c r="A451" s="11" t="s">
        <v>1768</v>
      </c>
      <c r="B451" s="11" t="s">
        <v>1769</v>
      </c>
      <c r="C451" s="11" t="s">
        <v>56</v>
      </c>
      <c r="D451" s="19">
        <v>53</v>
      </c>
      <c r="E451" s="11" t="s">
        <v>173</v>
      </c>
      <c r="F451" s="11" t="s">
        <v>29</v>
      </c>
      <c r="G451" s="11" t="s">
        <v>168</v>
      </c>
      <c r="H451" s="12">
        <v>46160</v>
      </c>
      <c r="I451" s="12" t="str">
        <f t="shared" si="7"/>
        <v>May</v>
      </c>
      <c r="J451" s="24">
        <v>0.67083333333333328</v>
      </c>
      <c r="K451" s="19">
        <v>4</v>
      </c>
      <c r="L451" s="12">
        <v>46161</v>
      </c>
      <c r="M451" s="24">
        <v>4.1666666666666666E-3</v>
      </c>
      <c r="N451" s="11">
        <v>8</v>
      </c>
      <c r="O451" s="11" t="s">
        <v>34</v>
      </c>
      <c r="P451" s="11" t="s">
        <v>35</v>
      </c>
      <c r="Q451" s="11"/>
      <c r="R451" s="11" t="s">
        <v>36</v>
      </c>
      <c r="S451" s="19">
        <v>25</v>
      </c>
      <c r="T451" s="11" t="s">
        <v>37</v>
      </c>
      <c r="U451" s="11" t="s">
        <v>164</v>
      </c>
      <c r="V451" s="11">
        <v>2</v>
      </c>
      <c r="W451" s="11" t="s">
        <v>62</v>
      </c>
      <c r="X451" s="11" t="s">
        <v>3334</v>
      </c>
      <c r="Y451" s="11" t="s">
        <v>109</v>
      </c>
      <c r="Z451" s="11" t="s">
        <v>42</v>
      </c>
      <c r="AA451" s="11" t="s">
        <v>3234</v>
      </c>
    </row>
    <row r="452" spans="1:27">
      <c r="A452" s="11" t="s">
        <v>1771</v>
      </c>
      <c r="B452" s="11" t="s">
        <v>1772</v>
      </c>
      <c r="C452" s="11" t="s">
        <v>27</v>
      </c>
      <c r="D452" s="19">
        <v>71</v>
      </c>
      <c r="E452" s="11" t="s">
        <v>81</v>
      </c>
      <c r="F452" s="11" t="s">
        <v>82</v>
      </c>
      <c r="G452" s="11" t="s">
        <v>83</v>
      </c>
      <c r="H452" s="12">
        <v>46135</v>
      </c>
      <c r="I452" s="12" t="str">
        <f t="shared" si="7"/>
        <v>April</v>
      </c>
      <c r="J452" s="24">
        <v>0.36319444444444443</v>
      </c>
      <c r="K452" s="19">
        <v>8</v>
      </c>
      <c r="L452" s="12">
        <v>46135</v>
      </c>
      <c r="M452" s="24">
        <v>0.65486111111111112</v>
      </c>
      <c r="N452" s="11">
        <v>7</v>
      </c>
      <c r="O452" s="11" t="s">
        <v>68</v>
      </c>
      <c r="P452" s="11" t="s">
        <v>35</v>
      </c>
      <c r="Q452" s="11"/>
      <c r="R452" s="11" t="s">
        <v>36</v>
      </c>
      <c r="S452" s="19">
        <v>20</v>
      </c>
      <c r="T452" s="11" t="s">
        <v>49</v>
      </c>
      <c r="U452" s="11" t="s">
        <v>164</v>
      </c>
      <c r="V452" s="11">
        <v>2</v>
      </c>
      <c r="W452" s="11" t="s">
        <v>62</v>
      </c>
      <c r="X452" s="11" t="s">
        <v>3325</v>
      </c>
      <c r="Y452" s="11" t="s">
        <v>52</v>
      </c>
      <c r="Z452" s="11" t="s">
        <v>53</v>
      </c>
      <c r="AA452" s="11" t="str">
        <f>IF(A452=" ", "Missing Value", " ")</f>
        <v xml:space="preserve"> </v>
      </c>
    </row>
    <row r="453" spans="1:27">
      <c r="A453" s="11" t="s">
        <v>1775</v>
      </c>
      <c r="B453" s="11" t="s">
        <v>1776</v>
      </c>
      <c r="C453" s="11" t="s">
        <v>56</v>
      </c>
      <c r="D453" s="19">
        <v>47</v>
      </c>
      <c r="E453" s="11" t="s">
        <v>149</v>
      </c>
      <c r="F453" s="11" t="s">
        <v>29</v>
      </c>
      <c r="G453" s="11" t="s">
        <v>83</v>
      </c>
      <c r="H453" s="12">
        <v>46087</v>
      </c>
      <c r="I453" s="12" t="str">
        <f t="shared" si="7"/>
        <v>March</v>
      </c>
      <c r="J453" s="24">
        <v>0.56041666666666667</v>
      </c>
      <c r="K453" s="19">
        <v>6</v>
      </c>
      <c r="L453" s="12">
        <v>46087</v>
      </c>
      <c r="M453" s="24">
        <v>0.81041666666666667</v>
      </c>
      <c r="N453" s="11">
        <v>6</v>
      </c>
      <c r="O453" s="11" t="s">
        <v>68</v>
      </c>
      <c r="P453" s="11" t="s">
        <v>35</v>
      </c>
      <c r="Q453" s="11"/>
      <c r="R453" s="11" t="s">
        <v>36</v>
      </c>
      <c r="S453" s="19">
        <v>40</v>
      </c>
      <c r="T453" s="11" t="s">
        <v>49</v>
      </c>
      <c r="U453" s="11" t="s">
        <v>38</v>
      </c>
      <c r="V453" s="11">
        <v>1</v>
      </c>
      <c r="W453" s="11" t="s">
        <v>89</v>
      </c>
      <c r="X453" s="11" t="s">
        <v>3325</v>
      </c>
      <c r="Y453" s="11" t="s">
        <v>41</v>
      </c>
      <c r="Z453" s="11" t="s">
        <v>42</v>
      </c>
      <c r="AA453" s="11" t="s">
        <v>3234</v>
      </c>
    </row>
    <row r="454" spans="1:27">
      <c r="A454" s="11" t="s">
        <v>1779</v>
      </c>
      <c r="B454" s="11" t="s">
        <v>1780</v>
      </c>
      <c r="C454" s="11" t="s">
        <v>56</v>
      </c>
      <c r="D454" s="19">
        <v>68</v>
      </c>
      <c r="E454" s="11" t="s">
        <v>92</v>
      </c>
      <c r="F454" s="11" t="s">
        <v>29</v>
      </c>
      <c r="G454" s="11" t="s">
        <v>83</v>
      </c>
      <c r="H454" s="12">
        <v>46142</v>
      </c>
      <c r="I454" s="12" t="str">
        <f t="shared" si="7"/>
        <v>April</v>
      </c>
      <c r="J454" s="24">
        <v>0.67291666666666672</v>
      </c>
      <c r="K454" s="19">
        <v>24</v>
      </c>
      <c r="L454" s="12">
        <v>46143</v>
      </c>
      <c r="M454" s="24">
        <v>0.67291666666666672</v>
      </c>
      <c r="N454" s="11">
        <v>24</v>
      </c>
      <c r="O454" s="11" t="s">
        <v>68</v>
      </c>
      <c r="P454" s="11" t="s">
        <v>35</v>
      </c>
      <c r="Q454" s="11"/>
      <c r="R454" s="11" t="s">
        <v>36</v>
      </c>
      <c r="S454" s="19">
        <v>50</v>
      </c>
      <c r="T454" s="11" t="s">
        <v>49</v>
      </c>
      <c r="U454" s="11" t="s">
        <v>164</v>
      </c>
      <c r="V454" s="11">
        <v>2</v>
      </c>
      <c r="W454" s="11" t="s">
        <v>62</v>
      </c>
      <c r="X454" s="11" t="s">
        <v>3334</v>
      </c>
      <c r="Y454" s="11" t="s">
        <v>52</v>
      </c>
      <c r="Z454" s="11" t="s">
        <v>53</v>
      </c>
      <c r="AA454" s="11" t="s">
        <v>3235</v>
      </c>
    </row>
    <row r="455" spans="1:27">
      <c r="A455" s="11" t="s">
        <v>1782</v>
      </c>
      <c r="B455" s="11" t="s">
        <v>1783</v>
      </c>
      <c r="C455" s="11" t="s">
        <v>27</v>
      </c>
      <c r="D455" s="19">
        <v>6</v>
      </c>
      <c r="E455" s="11" t="s">
        <v>149</v>
      </c>
      <c r="F455" s="11" t="s">
        <v>29</v>
      </c>
      <c r="G455" s="11" t="s">
        <v>30</v>
      </c>
      <c r="H455" s="12">
        <v>46182</v>
      </c>
      <c r="I455" s="12" t="str">
        <f t="shared" si="7"/>
        <v>June</v>
      </c>
      <c r="J455" s="24">
        <v>0.37222222222222223</v>
      </c>
      <c r="K455" s="19">
        <v>6</v>
      </c>
      <c r="L455" s="12">
        <v>46182</v>
      </c>
      <c r="M455" s="24">
        <v>0.8305555555555556</v>
      </c>
      <c r="N455" s="11">
        <v>11</v>
      </c>
      <c r="O455" s="11" t="s">
        <v>34</v>
      </c>
      <c r="P455" s="11" t="s">
        <v>35</v>
      </c>
      <c r="Q455" s="11"/>
      <c r="R455" s="11" t="s">
        <v>36</v>
      </c>
      <c r="S455" s="19">
        <v>40</v>
      </c>
      <c r="T455" s="11" t="s">
        <v>49</v>
      </c>
      <c r="U455" s="11" t="s">
        <v>38</v>
      </c>
      <c r="V455" s="11">
        <v>2</v>
      </c>
      <c r="W455" s="11" t="s">
        <v>70</v>
      </c>
      <c r="X455" s="11" t="s">
        <v>3325</v>
      </c>
      <c r="Y455" s="11" t="s">
        <v>109</v>
      </c>
      <c r="Z455" s="11" t="s">
        <v>42</v>
      </c>
      <c r="AA455" s="11" t="str">
        <f>IF(A455=" ", "Missing Value", " ")</f>
        <v xml:space="preserve"> </v>
      </c>
    </row>
    <row r="456" spans="1:27">
      <c r="A456" s="11" t="s">
        <v>1785</v>
      </c>
      <c r="B456" s="11" t="s">
        <v>1786</v>
      </c>
      <c r="C456" s="11" t="s">
        <v>56</v>
      </c>
      <c r="D456" s="19">
        <v>26</v>
      </c>
      <c r="E456" s="11" t="s">
        <v>81</v>
      </c>
      <c r="F456" s="11" t="s">
        <v>82</v>
      </c>
      <c r="G456" s="11" t="s">
        <v>83</v>
      </c>
      <c r="H456" s="12">
        <v>46084</v>
      </c>
      <c r="I456" s="12" t="str">
        <f t="shared" si="7"/>
        <v>March</v>
      </c>
      <c r="J456" s="24">
        <v>0.67291666666666672</v>
      </c>
      <c r="K456" s="19">
        <v>8</v>
      </c>
      <c r="L456" s="12">
        <v>46085</v>
      </c>
      <c r="M456" s="24">
        <v>4.791666666666667E-2</v>
      </c>
      <c r="N456" s="11">
        <v>9</v>
      </c>
      <c r="O456" s="11" t="s">
        <v>34</v>
      </c>
      <c r="P456" s="11" t="s">
        <v>35</v>
      </c>
      <c r="Q456" s="11"/>
      <c r="R456" s="11" t="s">
        <v>36</v>
      </c>
      <c r="S456" s="19">
        <v>20</v>
      </c>
      <c r="T456" s="11" t="s">
        <v>37</v>
      </c>
      <c r="U456" s="11" t="s">
        <v>96</v>
      </c>
      <c r="V456" s="11">
        <v>5</v>
      </c>
      <c r="W456" s="11" t="s">
        <v>62</v>
      </c>
      <c r="X456" s="11" t="s">
        <v>3325</v>
      </c>
      <c r="Y456" s="11" t="s">
        <v>52</v>
      </c>
      <c r="Z456" s="11" t="s">
        <v>53</v>
      </c>
      <c r="AA456" s="11" t="str">
        <f>IF(A456=" ", "Missing Value", " ")</f>
        <v xml:space="preserve"> </v>
      </c>
    </row>
    <row r="457" spans="1:27">
      <c r="A457" s="11" t="s">
        <v>1788</v>
      </c>
      <c r="B457" s="11" t="s">
        <v>1789</v>
      </c>
      <c r="C457" s="11" t="s">
        <v>56</v>
      </c>
      <c r="D457" s="19">
        <v>31</v>
      </c>
      <c r="E457" s="11" t="s">
        <v>81</v>
      </c>
      <c r="F457" s="11" t="s">
        <v>82</v>
      </c>
      <c r="G457" s="11" t="s">
        <v>83</v>
      </c>
      <c r="H457" s="12">
        <v>46092</v>
      </c>
      <c r="I457" s="12" t="str">
        <f t="shared" si="7"/>
        <v>March</v>
      </c>
      <c r="J457" s="24">
        <v>0.6166666666666667</v>
      </c>
      <c r="K457" s="19">
        <v>8</v>
      </c>
      <c r="L457" s="12">
        <v>46093</v>
      </c>
      <c r="M457" s="24">
        <v>0.28333333333333333</v>
      </c>
      <c r="N457" s="11">
        <v>16</v>
      </c>
      <c r="O457" s="11" t="s">
        <v>34</v>
      </c>
      <c r="P457" s="11" t="s">
        <v>35</v>
      </c>
      <c r="Q457" s="11"/>
      <c r="R457" s="11" t="s">
        <v>36</v>
      </c>
      <c r="S457" s="19">
        <v>20</v>
      </c>
      <c r="T457" s="11" t="s">
        <v>37</v>
      </c>
      <c r="U457" s="11" t="s">
        <v>96</v>
      </c>
      <c r="V457" s="11">
        <v>3</v>
      </c>
      <c r="W457" s="11" t="s">
        <v>70</v>
      </c>
      <c r="X457" s="11" t="s">
        <v>3325</v>
      </c>
      <c r="Y457" s="11" t="s">
        <v>41</v>
      </c>
      <c r="Z457" s="11" t="s">
        <v>53</v>
      </c>
      <c r="AA457" s="11" t="str">
        <f>IF(A457=" ", "Missing Value", " ")</f>
        <v xml:space="preserve"> </v>
      </c>
    </row>
    <row r="458" spans="1:27">
      <c r="A458" s="11" t="s">
        <v>1791</v>
      </c>
      <c r="B458" s="11" t="s">
        <v>1792</v>
      </c>
      <c r="C458" s="11" t="s">
        <v>27</v>
      </c>
      <c r="D458" s="19">
        <v>13</v>
      </c>
      <c r="E458" s="11" t="s">
        <v>28</v>
      </c>
      <c r="F458" s="11" t="s">
        <v>29</v>
      </c>
      <c r="G458" s="11" t="s">
        <v>83</v>
      </c>
      <c r="H458" s="12">
        <v>46170</v>
      </c>
      <c r="I458" s="12" t="str">
        <f t="shared" si="7"/>
        <v>May</v>
      </c>
      <c r="J458" s="24">
        <v>0.4236111111111111</v>
      </c>
      <c r="K458" s="19">
        <v>5</v>
      </c>
      <c r="L458" s="12">
        <v>46170</v>
      </c>
      <c r="M458" s="24">
        <v>0.88194444444444442</v>
      </c>
      <c r="N458" s="11">
        <v>11</v>
      </c>
      <c r="O458" s="11" t="s">
        <v>34</v>
      </c>
      <c r="P458" s="11" t="s">
        <v>35</v>
      </c>
      <c r="Q458" s="11"/>
      <c r="R458" s="11" t="s">
        <v>36</v>
      </c>
      <c r="S458" s="19">
        <v>35</v>
      </c>
      <c r="T458" s="11" t="s">
        <v>37</v>
      </c>
      <c r="U458" s="11" t="s">
        <v>96</v>
      </c>
      <c r="V458" s="11">
        <v>5</v>
      </c>
      <c r="W458" s="11" t="s">
        <v>89</v>
      </c>
      <c r="X458" s="11" t="s">
        <v>51</v>
      </c>
      <c r="Y458" s="11" t="s">
        <v>41</v>
      </c>
      <c r="Z458" s="11" t="s">
        <v>71</v>
      </c>
      <c r="AA458" s="11" t="s">
        <v>3234</v>
      </c>
    </row>
    <row r="459" spans="1:27">
      <c r="A459" s="11" t="s">
        <v>1795</v>
      </c>
      <c r="B459" s="11" t="s">
        <v>1796</v>
      </c>
      <c r="C459" s="11" t="s">
        <v>56</v>
      </c>
      <c r="D459" s="19">
        <v>10</v>
      </c>
      <c r="E459" s="11" t="s">
        <v>81</v>
      </c>
      <c r="F459" s="11" t="s">
        <v>82</v>
      </c>
      <c r="G459" s="11" t="s">
        <v>83</v>
      </c>
      <c r="H459" s="12">
        <v>46092</v>
      </c>
      <c r="I459" s="12" t="str">
        <f t="shared" si="7"/>
        <v>March</v>
      </c>
      <c r="J459" s="24">
        <v>0.42638888888888887</v>
      </c>
      <c r="K459" s="19">
        <v>8</v>
      </c>
      <c r="L459" s="12">
        <v>46093</v>
      </c>
      <c r="M459" s="24">
        <v>9.7222222222222224E-3</v>
      </c>
      <c r="N459" s="11">
        <v>14</v>
      </c>
      <c r="O459" s="11" t="s">
        <v>34</v>
      </c>
      <c r="P459" s="11" t="s">
        <v>35</v>
      </c>
      <c r="Q459" s="11"/>
      <c r="R459" s="11" t="s">
        <v>36</v>
      </c>
      <c r="S459" s="19">
        <v>20</v>
      </c>
      <c r="T459" s="11" t="s">
        <v>49</v>
      </c>
      <c r="U459" s="11" t="s">
        <v>38</v>
      </c>
      <c r="V459" s="11">
        <v>4</v>
      </c>
      <c r="W459" s="11" t="s">
        <v>39</v>
      </c>
      <c r="X459" s="11" t="s">
        <v>3325</v>
      </c>
      <c r="Y459" s="11" t="s">
        <v>52</v>
      </c>
      <c r="Z459" s="11" t="s">
        <v>53</v>
      </c>
      <c r="AA459" s="11" t="str">
        <f>IF(A459=" ", "Missing Value", " ")</f>
        <v xml:space="preserve"> </v>
      </c>
    </row>
    <row r="460" spans="1:27">
      <c r="A460" s="11" t="s">
        <v>1798</v>
      </c>
      <c r="B460" s="11" t="s">
        <v>1799</v>
      </c>
      <c r="C460" s="11" t="s">
        <v>56</v>
      </c>
      <c r="D460" s="19">
        <v>60</v>
      </c>
      <c r="E460" s="11" t="s">
        <v>57</v>
      </c>
      <c r="F460" s="11" t="s">
        <v>29</v>
      </c>
      <c r="G460" s="11" t="s">
        <v>58</v>
      </c>
      <c r="H460" s="12">
        <v>46024</v>
      </c>
      <c r="I460" s="12" t="str">
        <f t="shared" si="7"/>
        <v>January</v>
      </c>
      <c r="J460" s="24">
        <v>0.67638888888888893</v>
      </c>
      <c r="K460" s="19">
        <v>3</v>
      </c>
      <c r="L460" s="12">
        <v>46024</v>
      </c>
      <c r="M460" s="24">
        <v>0.80138888888888893</v>
      </c>
      <c r="N460" s="11">
        <v>3</v>
      </c>
      <c r="O460" s="11" t="s">
        <v>68</v>
      </c>
      <c r="P460" s="11" t="s">
        <v>35</v>
      </c>
      <c r="Q460" s="11"/>
      <c r="R460" s="11" t="s">
        <v>36</v>
      </c>
      <c r="S460" s="19">
        <v>15</v>
      </c>
      <c r="T460" s="11" t="s">
        <v>49</v>
      </c>
      <c r="U460" s="11" t="s">
        <v>38</v>
      </c>
      <c r="V460" s="11">
        <v>2</v>
      </c>
      <c r="W460" s="11" t="s">
        <v>62</v>
      </c>
      <c r="X460" s="11" t="s">
        <v>3334</v>
      </c>
      <c r="Y460" s="11" t="s">
        <v>41</v>
      </c>
      <c r="Z460" s="11" t="s">
        <v>71</v>
      </c>
      <c r="AA460" s="11"/>
    </row>
    <row r="461" spans="1:27">
      <c r="A461" s="11" t="s">
        <v>1800</v>
      </c>
      <c r="B461" s="11" t="s">
        <v>1801</v>
      </c>
      <c r="C461" s="11" t="s">
        <v>27</v>
      </c>
      <c r="D461" s="19">
        <v>60</v>
      </c>
      <c r="E461" s="11" t="s">
        <v>81</v>
      </c>
      <c r="F461" s="11" t="s">
        <v>82</v>
      </c>
      <c r="G461" s="11" t="s">
        <v>83</v>
      </c>
      <c r="H461" s="12">
        <v>46164</v>
      </c>
      <c r="I461" s="12" t="str">
        <f t="shared" si="7"/>
        <v>May</v>
      </c>
      <c r="J461" s="24">
        <v>0.37916666666666665</v>
      </c>
      <c r="K461" s="19">
        <v>8</v>
      </c>
      <c r="L461" s="12">
        <v>46164</v>
      </c>
      <c r="M461" s="24">
        <v>0.79583333333333328</v>
      </c>
      <c r="N461" s="11">
        <v>10</v>
      </c>
      <c r="O461" s="11" t="s">
        <v>34</v>
      </c>
      <c r="P461" s="11" t="s">
        <v>35</v>
      </c>
      <c r="Q461" s="11"/>
      <c r="R461" s="11" t="s">
        <v>36</v>
      </c>
      <c r="S461" s="19">
        <v>20</v>
      </c>
      <c r="T461" s="11" t="s">
        <v>49</v>
      </c>
      <c r="U461" s="11" t="s">
        <v>164</v>
      </c>
      <c r="V461" s="11">
        <v>5</v>
      </c>
      <c r="W461" s="11" t="s">
        <v>89</v>
      </c>
      <c r="X461" s="11" t="s">
        <v>51</v>
      </c>
      <c r="Y461" s="11" t="s">
        <v>109</v>
      </c>
      <c r="Z461" s="11" t="s">
        <v>42</v>
      </c>
      <c r="AA461" s="11" t="str">
        <f>IF(A461=" ", "Missing Value", " ")</f>
        <v xml:space="preserve"> </v>
      </c>
    </row>
    <row r="462" spans="1:27">
      <c r="A462" s="11" t="s">
        <v>1802</v>
      </c>
      <c r="B462" s="11" t="s">
        <v>1803</v>
      </c>
      <c r="C462" s="11" t="s">
        <v>27</v>
      </c>
      <c r="D462" s="19">
        <v>59</v>
      </c>
      <c r="E462" s="11" t="s">
        <v>92</v>
      </c>
      <c r="F462" s="11" t="s">
        <v>29</v>
      </c>
      <c r="G462" s="11" t="s">
        <v>83</v>
      </c>
      <c r="H462" s="12">
        <v>46113</v>
      </c>
      <c r="I462" s="12" t="str">
        <f t="shared" si="7"/>
        <v>April</v>
      </c>
      <c r="J462" s="24">
        <v>0.64027777777777772</v>
      </c>
      <c r="K462" s="19">
        <v>24</v>
      </c>
      <c r="L462" s="12">
        <v>46114</v>
      </c>
      <c r="M462" s="24">
        <v>0.59861111111111109</v>
      </c>
      <c r="N462" s="11">
        <v>23</v>
      </c>
      <c r="O462" s="11" t="s">
        <v>68</v>
      </c>
      <c r="P462" s="11" t="s">
        <v>35</v>
      </c>
      <c r="Q462" s="11"/>
      <c r="R462" s="11" t="s">
        <v>36</v>
      </c>
      <c r="S462" s="19">
        <v>50</v>
      </c>
      <c r="T462" s="11" t="s">
        <v>37</v>
      </c>
      <c r="U462" s="11" t="s">
        <v>164</v>
      </c>
      <c r="V462" s="11">
        <v>4</v>
      </c>
      <c r="W462" s="11" t="s">
        <v>89</v>
      </c>
      <c r="X462" s="11" t="s">
        <v>3333</v>
      </c>
      <c r="Y462" s="11" t="s">
        <v>52</v>
      </c>
      <c r="Z462" s="11" t="s">
        <v>53</v>
      </c>
      <c r="AA462" s="11" t="s">
        <v>3234</v>
      </c>
    </row>
    <row r="463" spans="1:27">
      <c r="A463" s="11" t="s">
        <v>1806</v>
      </c>
      <c r="B463" s="11" t="s">
        <v>1807</v>
      </c>
      <c r="C463" s="11" t="s">
        <v>27</v>
      </c>
      <c r="D463" s="19">
        <v>59</v>
      </c>
      <c r="E463" s="11" t="s">
        <v>149</v>
      </c>
      <c r="F463" s="11" t="s">
        <v>29</v>
      </c>
      <c r="G463" s="11" t="s">
        <v>83</v>
      </c>
      <c r="H463" s="12">
        <v>46179</v>
      </c>
      <c r="I463" s="12" t="str">
        <f t="shared" si="7"/>
        <v>June</v>
      </c>
      <c r="J463" s="24">
        <v>0.33680555555555558</v>
      </c>
      <c r="K463" s="19">
        <v>6</v>
      </c>
      <c r="L463" s="12">
        <v>46179</v>
      </c>
      <c r="M463" s="24">
        <v>0.83680555555555558</v>
      </c>
      <c r="N463" s="11">
        <v>12</v>
      </c>
      <c r="O463" s="11" t="s">
        <v>34</v>
      </c>
      <c r="P463" s="11" t="s">
        <v>270</v>
      </c>
      <c r="Q463" s="11" t="s">
        <v>620</v>
      </c>
      <c r="R463" s="11" t="s">
        <v>36</v>
      </c>
      <c r="S463" s="19">
        <v>40</v>
      </c>
      <c r="T463" s="11" t="s">
        <v>49</v>
      </c>
      <c r="U463" s="11" t="s">
        <v>38</v>
      </c>
      <c r="V463" s="11">
        <v>5</v>
      </c>
      <c r="W463" s="11" t="s">
        <v>89</v>
      </c>
      <c r="X463" s="11" t="s">
        <v>51</v>
      </c>
      <c r="Y463" s="11" t="s">
        <v>52</v>
      </c>
      <c r="Z463" s="11" t="s">
        <v>53</v>
      </c>
      <c r="AA463" s="11" t="s">
        <v>3254</v>
      </c>
    </row>
    <row r="464" spans="1:27">
      <c r="A464" s="11" t="s">
        <v>1809</v>
      </c>
      <c r="B464" s="11" t="s">
        <v>1810</v>
      </c>
      <c r="C464" s="11" t="s">
        <v>27</v>
      </c>
      <c r="D464" s="19">
        <v>85</v>
      </c>
      <c r="E464" s="11" t="s">
        <v>28</v>
      </c>
      <c r="F464" s="11" t="s">
        <v>29</v>
      </c>
      <c r="G464" s="11" t="s">
        <v>30</v>
      </c>
      <c r="H464" s="12">
        <v>46070</v>
      </c>
      <c r="I464" s="12" t="str">
        <f t="shared" si="7"/>
        <v>February</v>
      </c>
      <c r="J464" s="24">
        <v>0.61388888888888893</v>
      </c>
      <c r="K464" s="19">
        <v>5</v>
      </c>
      <c r="L464" s="12">
        <v>46071</v>
      </c>
      <c r="M464" s="24">
        <v>7.2222222222222215E-2</v>
      </c>
      <c r="N464" s="11">
        <v>11</v>
      </c>
      <c r="O464" s="11" t="s">
        <v>34</v>
      </c>
      <c r="P464" s="11" t="s">
        <v>35</v>
      </c>
      <c r="Q464" s="11"/>
      <c r="R464" s="11" t="s">
        <v>36</v>
      </c>
      <c r="S464" s="19">
        <v>35</v>
      </c>
      <c r="T464" s="11" t="s">
        <v>37</v>
      </c>
      <c r="U464" s="11" t="s">
        <v>164</v>
      </c>
      <c r="V464" s="11">
        <v>4</v>
      </c>
      <c r="W464" s="11" t="s">
        <v>70</v>
      </c>
      <c r="X464" s="11" t="s">
        <v>3325</v>
      </c>
      <c r="Y464" s="11" t="s">
        <v>109</v>
      </c>
      <c r="Z464" s="11" t="s">
        <v>42</v>
      </c>
      <c r="AA464" s="11" t="str">
        <f>IF(A464=" ", "Missing Value", " ")</f>
        <v xml:space="preserve"> </v>
      </c>
    </row>
    <row r="465" spans="1:27">
      <c r="A465" s="11" t="s">
        <v>1813</v>
      </c>
      <c r="B465" s="11" t="s">
        <v>1814</v>
      </c>
      <c r="C465" s="11" t="s">
        <v>27</v>
      </c>
      <c r="D465" s="19">
        <v>54</v>
      </c>
      <c r="E465" s="11" t="s">
        <v>92</v>
      </c>
      <c r="F465" s="11" t="s">
        <v>29</v>
      </c>
      <c r="G465" s="11" t="s">
        <v>168</v>
      </c>
      <c r="H465" s="12">
        <v>46075</v>
      </c>
      <c r="I465" s="12" t="str">
        <f t="shared" si="7"/>
        <v>February</v>
      </c>
      <c r="J465" s="24">
        <v>0.60833333333333328</v>
      </c>
      <c r="K465" s="19">
        <v>24</v>
      </c>
      <c r="L465" s="12">
        <v>46076</v>
      </c>
      <c r="M465" s="24">
        <v>0.77500000000000002</v>
      </c>
      <c r="N465" s="11">
        <v>28</v>
      </c>
      <c r="O465" s="11" t="s">
        <v>34</v>
      </c>
      <c r="P465" s="11" t="s">
        <v>35</v>
      </c>
      <c r="Q465" s="11"/>
      <c r="R465" s="11" t="s">
        <v>36</v>
      </c>
      <c r="S465" s="19">
        <v>50</v>
      </c>
      <c r="T465" s="11" t="s">
        <v>49</v>
      </c>
      <c r="U465" s="11" t="s">
        <v>38</v>
      </c>
      <c r="V465" s="11">
        <v>4</v>
      </c>
      <c r="W465" s="11" t="s">
        <v>89</v>
      </c>
      <c r="X465" s="11" t="s">
        <v>51</v>
      </c>
      <c r="Y465" s="11" t="s">
        <v>41</v>
      </c>
      <c r="Z465" s="11" t="s">
        <v>42</v>
      </c>
      <c r="AA465" s="11" t="s">
        <v>3234</v>
      </c>
    </row>
    <row r="466" spans="1:27">
      <c r="A466" s="11" t="s">
        <v>1817</v>
      </c>
      <c r="B466" s="11" t="s">
        <v>1818</v>
      </c>
      <c r="C466" s="11" t="s">
        <v>27</v>
      </c>
      <c r="D466" s="19">
        <v>70</v>
      </c>
      <c r="E466" s="11" t="s">
        <v>173</v>
      </c>
      <c r="F466" s="11" t="s">
        <v>29</v>
      </c>
      <c r="G466" s="11" t="s">
        <v>168</v>
      </c>
      <c r="H466" s="12">
        <v>46062</v>
      </c>
      <c r="I466" s="12" t="str">
        <f t="shared" si="7"/>
        <v>February</v>
      </c>
      <c r="J466" s="24">
        <v>0.41736111111111113</v>
      </c>
      <c r="K466" s="19">
        <v>4</v>
      </c>
      <c r="L466" s="12">
        <v>46062</v>
      </c>
      <c r="M466" s="24">
        <v>0.75069444444444444</v>
      </c>
      <c r="N466" s="11">
        <v>8</v>
      </c>
      <c r="O466" s="11" t="s">
        <v>34</v>
      </c>
      <c r="P466" s="11" t="s">
        <v>35</v>
      </c>
      <c r="Q466" s="11"/>
      <c r="R466" s="11" t="s">
        <v>36</v>
      </c>
      <c r="S466" s="19">
        <v>25</v>
      </c>
      <c r="T466" s="11" t="s">
        <v>49</v>
      </c>
      <c r="U466" s="11" t="s">
        <v>164</v>
      </c>
      <c r="V466" s="11">
        <v>3</v>
      </c>
      <c r="W466" s="11" t="s">
        <v>89</v>
      </c>
      <c r="X466" s="11" t="s">
        <v>3333</v>
      </c>
      <c r="Y466" s="11" t="s">
        <v>41</v>
      </c>
      <c r="Z466" s="11" t="s">
        <v>71</v>
      </c>
      <c r="AA466" s="11" t="s">
        <v>3234</v>
      </c>
    </row>
    <row r="467" spans="1:27">
      <c r="A467" s="11" t="s">
        <v>1821</v>
      </c>
      <c r="B467" s="11" t="s">
        <v>1822</v>
      </c>
      <c r="C467" s="11" t="s">
        <v>27</v>
      </c>
      <c r="D467" s="19">
        <v>80</v>
      </c>
      <c r="E467" s="11" t="s">
        <v>92</v>
      </c>
      <c r="F467" s="11" t="s">
        <v>29</v>
      </c>
      <c r="G467" s="11" t="s">
        <v>93</v>
      </c>
      <c r="H467" s="12">
        <v>46037</v>
      </c>
      <c r="I467" s="12" t="str">
        <f t="shared" si="7"/>
        <v>January</v>
      </c>
      <c r="J467" s="24">
        <v>0.52708333333333335</v>
      </c>
      <c r="K467" s="19">
        <v>24</v>
      </c>
      <c r="L467" s="12">
        <v>46038</v>
      </c>
      <c r="M467" s="24">
        <v>0.65208333333333335</v>
      </c>
      <c r="N467" s="11">
        <v>27</v>
      </c>
      <c r="O467" s="11" t="s">
        <v>34</v>
      </c>
      <c r="P467" s="11" t="s">
        <v>35</v>
      </c>
      <c r="Q467" s="11"/>
      <c r="R467" s="11" t="s">
        <v>36</v>
      </c>
      <c r="S467" s="19">
        <v>50</v>
      </c>
      <c r="T467" s="11" t="s">
        <v>37</v>
      </c>
      <c r="U467" s="11" t="s">
        <v>96</v>
      </c>
      <c r="V467" s="11">
        <v>5</v>
      </c>
      <c r="W467" s="11" t="s">
        <v>70</v>
      </c>
      <c r="X467" s="11" t="s">
        <v>3333</v>
      </c>
      <c r="Y467" s="11" t="s">
        <v>41</v>
      </c>
      <c r="Z467" s="11" t="s">
        <v>42</v>
      </c>
      <c r="AA467" s="11" t="str">
        <f>IF(A467=" ", "Missing Value", " ")</f>
        <v xml:space="preserve"> </v>
      </c>
    </row>
    <row r="468" spans="1:27">
      <c r="A468" s="11" t="s">
        <v>1824</v>
      </c>
      <c r="B468" s="11" t="s">
        <v>1825</v>
      </c>
      <c r="C468" s="11" t="s">
        <v>27</v>
      </c>
      <c r="D468" s="19">
        <v>7</v>
      </c>
      <c r="E468" s="11" t="s">
        <v>28</v>
      </c>
      <c r="F468" s="11" t="s">
        <v>29</v>
      </c>
      <c r="G468" s="11" t="s">
        <v>30</v>
      </c>
      <c r="H468" s="12">
        <v>46091</v>
      </c>
      <c r="I468" s="12" t="str">
        <f t="shared" si="7"/>
        <v>March</v>
      </c>
      <c r="J468" s="24">
        <v>0.33263888888888887</v>
      </c>
      <c r="K468" s="19">
        <v>5</v>
      </c>
      <c r="L468" s="12">
        <v>46091</v>
      </c>
      <c r="M468" s="24">
        <v>0.83263888888888893</v>
      </c>
      <c r="N468" s="11">
        <v>12</v>
      </c>
      <c r="O468" s="11" t="s">
        <v>34</v>
      </c>
      <c r="P468" s="11" t="s">
        <v>35</v>
      </c>
      <c r="Q468" s="11"/>
      <c r="R468" s="11" t="s">
        <v>36</v>
      </c>
      <c r="S468" s="19">
        <v>35</v>
      </c>
      <c r="T468" s="11" t="s">
        <v>37</v>
      </c>
      <c r="U468" s="11" t="s">
        <v>38</v>
      </c>
      <c r="V468" s="11">
        <v>3</v>
      </c>
      <c r="W468" s="11" t="s">
        <v>89</v>
      </c>
      <c r="X468" s="11" t="s">
        <v>3334</v>
      </c>
      <c r="Y468" s="11" t="s">
        <v>41</v>
      </c>
      <c r="Z468" s="11" t="s">
        <v>42</v>
      </c>
      <c r="AA468" s="11" t="str">
        <f>IF(A468=" ", "Missing Value", " ")</f>
        <v xml:space="preserve"> </v>
      </c>
    </row>
    <row r="469" spans="1:27">
      <c r="A469" s="11" t="s">
        <v>1827</v>
      </c>
      <c r="B469" s="11" t="s">
        <v>1828</v>
      </c>
      <c r="C469" s="11" t="s">
        <v>56</v>
      </c>
      <c r="D469" s="19">
        <v>61</v>
      </c>
      <c r="E469" s="11" t="s">
        <v>81</v>
      </c>
      <c r="F469" s="11" t="s">
        <v>82</v>
      </c>
      <c r="G469" s="11" t="s">
        <v>83</v>
      </c>
      <c r="H469" s="12">
        <v>46023</v>
      </c>
      <c r="I469" s="12" t="str">
        <f t="shared" si="7"/>
        <v>January</v>
      </c>
      <c r="J469" s="24">
        <v>0.48194444444444445</v>
      </c>
      <c r="K469" s="19">
        <v>8</v>
      </c>
      <c r="L469" s="12">
        <v>46023</v>
      </c>
      <c r="M469" s="24">
        <v>0.81527777777777777</v>
      </c>
      <c r="N469" s="11">
        <v>8</v>
      </c>
      <c r="O469" s="11" t="s">
        <v>68</v>
      </c>
      <c r="P469" s="11" t="s">
        <v>35</v>
      </c>
      <c r="Q469" s="11"/>
      <c r="R469" s="11" t="s">
        <v>36</v>
      </c>
      <c r="S469" s="19">
        <v>20</v>
      </c>
      <c r="T469" s="11" t="s">
        <v>37</v>
      </c>
      <c r="U469" s="11" t="s">
        <v>96</v>
      </c>
      <c r="V469" s="11">
        <v>2</v>
      </c>
      <c r="W469" s="11" t="s">
        <v>62</v>
      </c>
      <c r="X469" s="11" t="s">
        <v>51</v>
      </c>
      <c r="Y469" s="11" t="s">
        <v>109</v>
      </c>
      <c r="Z469" s="11" t="s">
        <v>53</v>
      </c>
      <c r="AA469" s="11" t="str">
        <f>IF(A469=" ", "Missing Value", " ")</f>
        <v xml:space="preserve"> </v>
      </c>
    </row>
    <row r="470" spans="1:27">
      <c r="A470" s="11" t="s">
        <v>1830</v>
      </c>
      <c r="B470" s="11" t="s">
        <v>1831</v>
      </c>
      <c r="C470" s="11" t="s">
        <v>56</v>
      </c>
      <c r="D470" s="19">
        <v>69</v>
      </c>
      <c r="E470" s="11" t="s">
        <v>81</v>
      </c>
      <c r="F470" s="11" t="s">
        <v>82</v>
      </c>
      <c r="G470" s="11" t="s">
        <v>83</v>
      </c>
      <c r="H470" s="12">
        <v>46132</v>
      </c>
      <c r="I470" s="12" t="str">
        <f t="shared" si="7"/>
        <v>April</v>
      </c>
      <c r="J470" s="24">
        <v>0.4826388888888889</v>
      </c>
      <c r="K470" s="19">
        <v>8</v>
      </c>
      <c r="L470" s="12">
        <v>46132</v>
      </c>
      <c r="M470" s="24">
        <v>0.85763888888888884</v>
      </c>
      <c r="N470" s="11">
        <v>9</v>
      </c>
      <c r="O470" s="11" t="s">
        <v>34</v>
      </c>
      <c r="P470" s="11" t="s">
        <v>35</v>
      </c>
      <c r="Q470" s="11"/>
      <c r="R470" s="11" t="s">
        <v>36</v>
      </c>
      <c r="S470" s="19">
        <v>20</v>
      </c>
      <c r="T470" s="11" t="s">
        <v>37</v>
      </c>
      <c r="U470" s="11" t="s">
        <v>164</v>
      </c>
      <c r="V470" s="11">
        <v>3</v>
      </c>
      <c r="W470" s="11" t="s">
        <v>39</v>
      </c>
      <c r="X470" s="11" t="s">
        <v>3334</v>
      </c>
      <c r="Y470" s="11" t="s">
        <v>52</v>
      </c>
      <c r="Z470" s="11" t="s">
        <v>71</v>
      </c>
      <c r="AA470" s="11" t="str">
        <f>IF(A470=" ", "Missing Value", " ")</f>
        <v xml:space="preserve"> </v>
      </c>
    </row>
    <row r="471" spans="1:27">
      <c r="A471" s="11" t="s">
        <v>1832</v>
      </c>
      <c r="B471" s="11" t="s">
        <v>1833</v>
      </c>
      <c r="C471" s="11" t="s">
        <v>27</v>
      </c>
      <c r="D471" s="19">
        <v>19</v>
      </c>
      <c r="E471" s="11" t="s">
        <v>57</v>
      </c>
      <c r="F471" s="11" t="s">
        <v>29</v>
      </c>
      <c r="G471" s="11" t="s">
        <v>58</v>
      </c>
      <c r="H471" s="12">
        <v>46047</v>
      </c>
      <c r="I471" s="12" t="str">
        <f t="shared" si="7"/>
        <v>January</v>
      </c>
      <c r="J471" s="24">
        <v>0.4513888888888889</v>
      </c>
      <c r="K471" s="19">
        <v>3</v>
      </c>
      <c r="L471" s="12">
        <v>46047</v>
      </c>
      <c r="M471" s="24">
        <v>0.70138888888888884</v>
      </c>
      <c r="N471" s="11">
        <v>6</v>
      </c>
      <c r="O471" s="11" t="s">
        <v>34</v>
      </c>
      <c r="P471" s="11" t="s">
        <v>35</v>
      </c>
      <c r="Q471" s="11"/>
      <c r="R471" s="11" t="s">
        <v>36</v>
      </c>
      <c r="S471" s="19">
        <v>15</v>
      </c>
      <c r="T471" s="11" t="s">
        <v>37</v>
      </c>
      <c r="U471" s="11" t="s">
        <v>96</v>
      </c>
      <c r="V471" s="11">
        <v>3</v>
      </c>
      <c r="W471" s="11" t="s">
        <v>62</v>
      </c>
      <c r="X471" s="11" t="s">
        <v>3325</v>
      </c>
      <c r="Y471" s="11" t="s">
        <v>109</v>
      </c>
      <c r="Z471" s="11" t="s">
        <v>53</v>
      </c>
      <c r="AA471" s="11"/>
    </row>
    <row r="472" spans="1:27">
      <c r="A472" s="11" t="s">
        <v>1835</v>
      </c>
      <c r="B472" s="11" t="s">
        <v>1836</v>
      </c>
      <c r="C472" s="11" t="s">
        <v>56</v>
      </c>
      <c r="D472" s="19">
        <v>27</v>
      </c>
      <c r="E472" s="11" t="s">
        <v>81</v>
      </c>
      <c r="F472" s="11" t="s">
        <v>82</v>
      </c>
      <c r="G472" s="11" t="s">
        <v>83</v>
      </c>
      <c r="H472" s="12">
        <v>46105</v>
      </c>
      <c r="I472" s="12" t="str">
        <f t="shared" si="7"/>
        <v>March</v>
      </c>
      <c r="J472" s="24">
        <v>0.43819444444444444</v>
      </c>
      <c r="K472" s="19">
        <v>8</v>
      </c>
      <c r="L472" s="12">
        <v>46105</v>
      </c>
      <c r="M472" s="24">
        <v>0.89652777777777781</v>
      </c>
      <c r="N472" s="11">
        <v>11</v>
      </c>
      <c r="O472" s="11" t="s">
        <v>34</v>
      </c>
      <c r="P472" s="11" t="s">
        <v>35</v>
      </c>
      <c r="Q472" s="11"/>
      <c r="R472" s="11" t="s">
        <v>36</v>
      </c>
      <c r="S472" s="19">
        <v>20</v>
      </c>
      <c r="T472" s="11" t="s">
        <v>37</v>
      </c>
      <c r="U472" s="11" t="s">
        <v>164</v>
      </c>
      <c r="V472" s="11">
        <v>1</v>
      </c>
      <c r="W472" s="11" t="s">
        <v>62</v>
      </c>
      <c r="X472" s="11" t="s">
        <v>3333</v>
      </c>
      <c r="Y472" s="11" t="s">
        <v>41</v>
      </c>
      <c r="Z472" s="11" t="s">
        <v>53</v>
      </c>
      <c r="AA472" s="11" t="str">
        <f>IF(A472=" ", "Missing Value", " ")</f>
        <v xml:space="preserve"> </v>
      </c>
    </row>
    <row r="473" spans="1:27">
      <c r="A473" s="11" t="s">
        <v>1838</v>
      </c>
      <c r="B473" s="11" t="s">
        <v>1839</v>
      </c>
      <c r="C473" s="11" t="s">
        <v>56</v>
      </c>
      <c r="D473" s="19">
        <v>28</v>
      </c>
      <c r="E473" s="11" t="s">
        <v>149</v>
      </c>
      <c r="F473" s="11" t="s">
        <v>29</v>
      </c>
      <c r="G473" s="11" t="s">
        <v>30</v>
      </c>
      <c r="H473" s="12">
        <v>46050</v>
      </c>
      <c r="I473" s="12" t="str">
        <f t="shared" si="7"/>
        <v>January</v>
      </c>
      <c r="J473" s="24">
        <v>0.56319444444444444</v>
      </c>
      <c r="K473" s="19">
        <v>6</v>
      </c>
      <c r="L473" s="12">
        <v>46050</v>
      </c>
      <c r="M473" s="24">
        <v>0.85486111111111107</v>
      </c>
      <c r="N473" s="11">
        <v>7</v>
      </c>
      <c r="O473" s="11" t="s">
        <v>34</v>
      </c>
      <c r="P473" s="11" t="s">
        <v>35</v>
      </c>
      <c r="Q473" s="11"/>
      <c r="R473" s="11" t="s">
        <v>36</v>
      </c>
      <c r="S473" s="19">
        <v>40</v>
      </c>
      <c r="T473" s="11" t="s">
        <v>37</v>
      </c>
      <c r="U473" s="11" t="s">
        <v>96</v>
      </c>
      <c r="V473" s="11">
        <v>5</v>
      </c>
      <c r="W473" s="11" t="s">
        <v>62</v>
      </c>
      <c r="X473" s="11" t="s">
        <v>3333</v>
      </c>
      <c r="Y473" s="11" t="s">
        <v>109</v>
      </c>
      <c r="Z473" s="11" t="s">
        <v>71</v>
      </c>
      <c r="AA473" s="11" t="str">
        <f>IF(A473=" ", "Missing Value", " ")</f>
        <v xml:space="preserve"> </v>
      </c>
    </row>
    <row r="474" spans="1:27">
      <c r="A474" s="11" t="s">
        <v>1841</v>
      </c>
      <c r="B474" s="11" t="s">
        <v>1842</v>
      </c>
      <c r="C474" s="11" t="s">
        <v>27</v>
      </c>
      <c r="D474" s="19">
        <v>15</v>
      </c>
      <c r="E474" s="11" t="s">
        <v>81</v>
      </c>
      <c r="F474" s="11" t="s">
        <v>82</v>
      </c>
      <c r="G474" s="11" t="s">
        <v>83</v>
      </c>
      <c r="H474" s="12">
        <v>46089</v>
      </c>
      <c r="I474" s="12" t="str">
        <f t="shared" si="7"/>
        <v>March</v>
      </c>
      <c r="J474" s="24">
        <v>0.61111111111111116</v>
      </c>
      <c r="K474" s="19">
        <v>8</v>
      </c>
      <c r="L474" s="12">
        <v>46089</v>
      </c>
      <c r="M474" s="24">
        <v>0.98611111111111116</v>
      </c>
      <c r="N474" s="11">
        <v>9</v>
      </c>
      <c r="O474" s="11" t="s">
        <v>34</v>
      </c>
      <c r="P474" s="11" t="s">
        <v>35</v>
      </c>
      <c r="Q474" s="11"/>
      <c r="R474" s="11" t="s">
        <v>36</v>
      </c>
      <c r="S474" s="19">
        <v>20</v>
      </c>
      <c r="T474" s="11" t="s">
        <v>49</v>
      </c>
      <c r="U474" s="11" t="s">
        <v>38</v>
      </c>
      <c r="V474" s="11">
        <v>4</v>
      </c>
      <c r="W474" s="11" t="s">
        <v>39</v>
      </c>
      <c r="X474" s="11" t="s">
        <v>3325</v>
      </c>
      <c r="Y474" s="11" t="s">
        <v>41</v>
      </c>
      <c r="Z474" s="11" t="s">
        <v>42</v>
      </c>
      <c r="AA474" s="11" t="str">
        <f>IF(A474=" ", "Missing Value", " ")</f>
        <v xml:space="preserve"> </v>
      </c>
    </row>
    <row r="475" spans="1:27">
      <c r="A475" s="11" t="s">
        <v>1844</v>
      </c>
      <c r="B475" s="11" t="s">
        <v>1845</v>
      </c>
      <c r="C475" s="11" t="s">
        <v>56</v>
      </c>
      <c r="D475" s="19">
        <v>7</v>
      </c>
      <c r="E475" s="11" t="s">
        <v>92</v>
      </c>
      <c r="F475" s="11" t="s">
        <v>29</v>
      </c>
      <c r="G475" s="11" t="s">
        <v>83</v>
      </c>
      <c r="H475" s="12">
        <v>46128</v>
      </c>
      <c r="I475" s="12" t="str">
        <f t="shared" si="7"/>
        <v>April</v>
      </c>
      <c r="J475" s="24">
        <v>0.66180555555555554</v>
      </c>
      <c r="K475" s="19">
        <v>24</v>
      </c>
      <c r="L475" s="12">
        <v>46129</v>
      </c>
      <c r="M475" s="24">
        <v>0.87013888888888891</v>
      </c>
      <c r="N475" s="11">
        <v>29</v>
      </c>
      <c r="O475" s="11" t="s">
        <v>34</v>
      </c>
      <c r="P475" s="11" t="s">
        <v>35</v>
      </c>
      <c r="Q475" s="11"/>
      <c r="R475" s="11" t="s">
        <v>36</v>
      </c>
      <c r="S475" s="19">
        <v>50</v>
      </c>
      <c r="T475" s="11" t="s">
        <v>49</v>
      </c>
      <c r="U475" s="11" t="s">
        <v>96</v>
      </c>
      <c r="V475" s="11">
        <v>3</v>
      </c>
      <c r="W475" s="11" t="s">
        <v>89</v>
      </c>
      <c r="X475" s="11" t="s">
        <v>51</v>
      </c>
      <c r="Y475" s="11" t="s">
        <v>52</v>
      </c>
      <c r="Z475" s="11" t="s">
        <v>53</v>
      </c>
      <c r="AA475" s="11" t="s">
        <v>3247</v>
      </c>
    </row>
    <row r="476" spans="1:27">
      <c r="A476" s="11" t="s">
        <v>1847</v>
      </c>
      <c r="B476" s="11" t="s">
        <v>1848</v>
      </c>
      <c r="C476" s="11" t="s">
        <v>27</v>
      </c>
      <c r="D476" s="19">
        <v>33</v>
      </c>
      <c r="E476" s="11" t="s">
        <v>57</v>
      </c>
      <c r="F476" s="11" t="s">
        <v>29</v>
      </c>
      <c r="G476" s="11" t="s">
        <v>168</v>
      </c>
      <c r="H476" s="12">
        <v>46157</v>
      </c>
      <c r="I476" s="12" t="str">
        <f t="shared" si="7"/>
        <v>May</v>
      </c>
      <c r="J476" s="24">
        <v>0.44027777777777777</v>
      </c>
      <c r="K476" s="19">
        <v>3</v>
      </c>
      <c r="L476" s="12">
        <v>46157</v>
      </c>
      <c r="M476" s="24">
        <v>0.52361111111111114</v>
      </c>
      <c r="N476" s="11">
        <v>2</v>
      </c>
      <c r="O476" s="11" t="s">
        <v>68</v>
      </c>
      <c r="P476" s="11" t="s">
        <v>35</v>
      </c>
      <c r="Q476" s="11"/>
      <c r="R476" s="11" t="s">
        <v>36</v>
      </c>
      <c r="S476" s="19">
        <v>15</v>
      </c>
      <c r="T476" s="11" t="s">
        <v>37</v>
      </c>
      <c r="U476" s="11" t="s">
        <v>38</v>
      </c>
      <c r="V476" s="11">
        <v>3</v>
      </c>
      <c r="W476" s="11" t="s">
        <v>89</v>
      </c>
      <c r="X476" s="11" t="s">
        <v>3334</v>
      </c>
      <c r="Y476" s="11" t="s">
        <v>41</v>
      </c>
      <c r="Z476" s="11" t="s">
        <v>42</v>
      </c>
      <c r="AA476" s="11" t="s">
        <v>3234</v>
      </c>
    </row>
    <row r="477" spans="1:27">
      <c r="A477" s="11" t="s">
        <v>1849</v>
      </c>
      <c r="B477" s="11" t="s">
        <v>1850</v>
      </c>
      <c r="C477" s="11" t="s">
        <v>27</v>
      </c>
      <c r="D477" s="19">
        <v>63</v>
      </c>
      <c r="E477" s="11" t="s">
        <v>28</v>
      </c>
      <c r="F477" s="11" t="s">
        <v>29</v>
      </c>
      <c r="G477" s="11" t="s">
        <v>30</v>
      </c>
      <c r="H477" s="12">
        <v>46193</v>
      </c>
      <c r="I477" s="12" t="str">
        <f t="shared" si="7"/>
        <v>June</v>
      </c>
      <c r="J477" s="24">
        <v>0.61944444444444446</v>
      </c>
      <c r="K477" s="19">
        <v>5</v>
      </c>
      <c r="L477" s="12">
        <v>46193</v>
      </c>
      <c r="M477" s="24">
        <v>0.91111111111111109</v>
      </c>
      <c r="N477" s="11">
        <v>7</v>
      </c>
      <c r="O477" s="11" t="s">
        <v>34</v>
      </c>
      <c r="P477" s="11" t="s">
        <v>35</v>
      </c>
      <c r="Q477" s="11"/>
      <c r="R477" s="11" t="s">
        <v>36</v>
      </c>
      <c r="S477" s="19">
        <v>35</v>
      </c>
      <c r="T477" s="11" t="s">
        <v>49</v>
      </c>
      <c r="U477" s="11" t="s">
        <v>96</v>
      </c>
      <c r="V477" s="11">
        <v>1</v>
      </c>
      <c r="W477" s="11" t="s">
        <v>39</v>
      </c>
      <c r="X477" s="11" t="s">
        <v>3333</v>
      </c>
      <c r="Y477" s="11" t="s">
        <v>109</v>
      </c>
      <c r="Z477" s="11" t="s">
        <v>53</v>
      </c>
      <c r="AA477" s="11" t="str">
        <f>IF(A477=" ", "Missing Value", " ")</f>
        <v xml:space="preserve"> </v>
      </c>
    </row>
    <row r="478" spans="1:27">
      <c r="A478" s="11" t="s">
        <v>1853</v>
      </c>
      <c r="B478" s="11" t="s">
        <v>1854</v>
      </c>
      <c r="C478" s="11" t="s">
        <v>27</v>
      </c>
      <c r="D478" s="19">
        <v>52</v>
      </c>
      <c r="E478" s="11" t="s">
        <v>28</v>
      </c>
      <c r="F478" s="11" t="s">
        <v>29</v>
      </c>
      <c r="G478" s="11" t="s">
        <v>58</v>
      </c>
      <c r="H478" s="12">
        <v>46054</v>
      </c>
      <c r="I478" s="12" t="str">
        <f t="shared" si="7"/>
        <v>February</v>
      </c>
      <c r="J478" s="24">
        <v>0.48333333333333334</v>
      </c>
      <c r="K478" s="19">
        <v>5</v>
      </c>
      <c r="L478" s="12">
        <v>46054</v>
      </c>
      <c r="M478" s="24">
        <v>0.65</v>
      </c>
      <c r="N478" s="11">
        <v>4</v>
      </c>
      <c r="O478" s="11" t="s">
        <v>68</v>
      </c>
      <c r="P478" s="11" t="s">
        <v>35</v>
      </c>
      <c r="Q478" s="11"/>
      <c r="R478" s="11" t="s">
        <v>36</v>
      </c>
      <c r="S478" s="19">
        <v>35</v>
      </c>
      <c r="T478" s="11" t="s">
        <v>49</v>
      </c>
      <c r="U478" s="11" t="s">
        <v>96</v>
      </c>
      <c r="V478" s="11">
        <v>2</v>
      </c>
      <c r="W478" s="11" t="s">
        <v>39</v>
      </c>
      <c r="X478" s="11" t="s">
        <v>3334</v>
      </c>
      <c r="Y478" s="11" t="s">
        <v>52</v>
      </c>
      <c r="Z478" s="11" t="s">
        <v>53</v>
      </c>
      <c r="AA478" s="11" t="s">
        <v>3234</v>
      </c>
    </row>
    <row r="479" spans="1:27">
      <c r="A479" s="11" t="s">
        <v>1855</v>
      </c>
      <c r="B479" s="11" t="s">
        <v>1856</v>
      </c>
      <c r="C479" s="11" t="s">
        <v>56</v>
      </c>
      <c r="D479" s="19">
        <v>2</v>
      </c>
      <c r="E479" s="11" t="s">
        <v>28</v>
      </c>
      <c r="F479" s="11" t="s">
        <v>29</v>
      </c>
      <c r="G479" s="11" t="s">
        <v>83</v>
      </c>
      <c r="H479" s="12">
        <v>46035</v>
      </c>
      <c r="I479" s="12" t="str">
        <f t="shared" si="7"/>
        <v>January</v>
      </c>
      <c r="J479" s="24">
        <v>0.44374999999999998</v>
      </c>
      <c r="K479" s="19">
        <v>5</v>
      </c>
      <c r="L479" s="12">
        <v>46035</v>
      </c>
      <c r="M479" s="24">
        <v>0.73541666666666672</v>
      </c>
      <c r="N479" s="11">
        <v>7</v>
      </c>
      <c r="O479" s="11" t="s">
        <v>34</v>
      </c>
      <c r="P479" s="11" t="s">
        <v>35</v>
      </c>
      <c r="Q479" s="11"/>
      <c r="R479" s="11" t="s">
        <v>132</v>
      </c>
      <c r="S479" s="19">
        <v>35</v>
      </c>
      <c r="T479" s="11" t="s">
        <v>49</v>
      </c>
      <c r="U479" s="11" t="s">
        <v>164</v>
      </c>
      <c r="V479" s="11">
        <v>4</v>
      </c>
      <c r="W479" s="11" t="s">
        <v>39</v>
      </c>
      <c r="X479" s="11" t="s">
        <v>51</v>
      </c>
      <c r="Y479" s="11" t="s">
        <v>41</v>
      </c>
      <c r="Z479" s="11" t="s">
        <v>53</v>
      </c>
      <c r="AA479" s="11" t="s">
        <v>3264</v>
      </c>
    </row>
    <row r="480" spans="1:27">
      <c r="A480" s="11" t="s">
        <v>1858</v>
      </c>
      <c r="B480" s="11" t="s">
        <v>1859</v>
      </c>
      <c r="C480" s="11" t="s">
        <v>27</v>
      </c>
      <c r="D480" s="19">
        <v>85</v>
      </c>
      <c r="E480" s="11" t="s">
        <v>28</v>
      </c>
      <c r="F480" s="11" t="s">
        <v>29</v>
      </c>
      <c r="G480" s="11" t="s">
        <v>30</v>
      </c>
      <c r="H480" s="12">
        <v>46177</v>
      </c>
      <c r="I480" s="12" t="str">
        <f t="shared" si="7"/>
        <v>June</v>
      </c>
      <c r="J480" s="24">
        <v>0.70208333333333328</v>
      </c>
      <c r="K480" s="19">
        <v>5</v>
      </c>
      <c r="L480" s="12">
        <v>46178</v>
      </c>
      <c r="M480" s="24">
        <v>0.24374999999999999</v>
      </c>
      <c r="N480" s="11">
        <v>13</v>
      </c>
      <c r="O480" s="11" t="s">
        <v>34</v>
      </c>
      <c r="P480" s="11" t="s">
        <v>35</v>
      </c>
      <c r="Q480" s="11"/>
      <c r="R480" s="11" t="s">
        <v>36</v>
      </c>
      <c r="S480" s="19">
        <v>35</v>
      </c>
      <c r="T480" s="11" t="s">
        <v>37</v>
      </c>
      <c r="U480" s="11" t="s">
        <v>38</v>
      </c>
      <c r="V480" s="11">
        <v>4</v>
      </c>
      <c r="W480" s="11" t="s">
        <v>39</v>
      </c>
      <c r="X480" s="11" t="s">
        <v>51</v>
      </c>
      <c r="Y480" s="11" t="s">
        <v>52</v>
      </c>
      <c r="Z480" s="11" t="s">
        <v>71</v>
      </c>
      <c r="AA480" s="11" t="str">
        <f>IF(A480=" ", "Missing Value", " ")</f>
        <v xml:space="preserve"> </v>
      </c>
    </row>
    <row r="481" spans="1:27">
      <c r="A481" s="11" t="s">
        <v>1861</v>
      </c>
      <c r="B481" s="11" t="s">
        <v>1862</v>
      </c>
      <c r="C481" s="11" t="s">
        <v>56</v>
      </c>
      <c r="D481" s="19">
        <v>60</v>
      </c>
      <c r="E481" s="11" t="s">
        <v>92</v>
      </c>
      <c r="F481" s="11" t="s">
        <v>29</v>
      </c>
      <c r="G481" s="11" t="s">
        <v>83</v>
      </c>
      <c r="H481" s="12">
        <v>46070</v>
      </c>
      <c r="I481" s="12" t="str">
        <f t="shared" si="7"/>
        <v>February</v>
      </c>
      <c r="J481" s="24">
        <v>0.50902777777777775</v>
      </c>
      <c r="K481" s="19">
        <v>24</v>
      </c>
      <c r="L481" s="12">
        <v>46071</v>
      </c>
      <c r="M481" s="24">
        <v>0.84236111111111112</v>
      </c>
      <c r="N481" s="11">
        <v>32</v>
      </c>
      <c r="O481" s="11" t="s">
        <v>34</v>
      </c>
      <c r="P481" s="11" t="s">
        <v>35</v>
      </c>
      <c r="Q481" s="11"/>
      <c r="R481" s="11" t="s">
        <v>36</v>
      </c>
      <c r="S481" s="19">
        <v>50</v>
      </c>
      <c r="T481" s="11" t="s">
        <v>49</v>
      </c>
      <c r="U481" s="11" t="s">
        <v>96</v>
      </c>
      <c r="V481" s="11">
        <v>3</v>
      </c>
      <c r="W481" s="11" t="s">
        <v>89</v>
      </c>
      <c r="X481" s="11" t="s">
        <v>3334</v>
      </c>
      <c r="Y481" s="11" t="s">
        <v>52</v>
      </c>
      <c r="Z481" s="11" t="s">
        <v>53</v>
      </c>
      <c r="AA481" s="11" t="s">
        <v>3246</v>
      </c>
    </row>
    <row r="482" spans="1:27">
      <c r="A482" s="11" t="s">
        <v>1863</v>
      </c>
      <c r="B482" s="11" t="s">
        <v>1864</v>
      </c>
      <c r="C482" s="11" t="s">
        <v>27</v>
      </c>
      <c r="D482" s="19">
        <v>70</v>
      </c>
      <c r="E482" s="11" t="s">
        <v>57</v>
      </c>
      <c r="F482" s="11" t="s">
        <v>29</v>
      </c>
      <c r="G482" s="11" t="s">
        <v>58</v>
      </c>
      <c r="H482" s="12">
        <v>46049</v>
      </c>
      <c r="I482" s="12" t="str">
        <f t="shared" si="7"/>
        <v>January</v>
      </c>
      <c r="J482" s="24">
        <v>0.65208333333333335</v>
      </c>
      <c r="K482" s="19">
        <v>3</v>
      </c>
      <c r="L482" s="12">
        <v>46049</v>
      </c>
      <c r="M482" s="24">
        <v>0.94374999999999998</v>
      </c>
      <c r="N482" s="11">
        <v>7</v>
      </c>
      <c r="O482" s="11" t="s">
        <v>34</v>
      </c>
      <c r="P482" s="11" t="s">
        <v>35</v>
      </c>
      <c r="Q482" s="11"/>
      <c r="R482" s="11" t="s">
        <v>36</v>
      </c>
      <c r="S482" s="19">
        <v>15</v>
      </c>
      <c r="T482" s="11" t="s">
        <v>49</v>
      </c>
      <c r="U482" s="11" t="s">
        <v>164</v>
      </c>
      <c r="V482" s="11">
        <v>4</v>
      </c>
      <c r="W482" s="11" t="s">
        <v>89</v>
      </c>
      <c r="X482" s="11" t="s">
        <v>3333</v>
      </c>
      <c r="Y482" s="11" t="s">
        <v>52</v>
      </c>
      <c r="Z482" s="11" t="s">
        <v>53</v>
      </c>
      <c r="AA482" s="11"/>
    </row>
    <row r="483" spans="1:27">
      <c r="A483" s="11" t="s">
        <v>1865</v>
      </c>
      <c r="B483" s="11" t="s">
        <v>1866</v>
      </c>
      <c r="C483" s="11" t="s">
        <v>56</v>
      </c>
      <c r="D483" s="19">
        <v>51</v>
      </c>
      <c r="E483" s="11" t="s">
        <v>149</v>
      </c>
      <c r="F483" s="11" t="s">
        <v>29</v>
      </c>
      <c r="G483" s="11" t="s">
        <v>30</v>
      </c>
      <c r="H483" s="12">
        <v>46033</v>
      </c>
      <c r="I483" s="12" t="str">
        <f t="shared" si="7"/>
        <v>January</v>
      </c>
      <c r="J483" s="24">
        <v>0.5</v>
      </c>
      <c r="K483" s="19">
        <v>6</v>
      </c>
      <c r="L483" s="12">
        <v>46033</v>
      </c>
      <c r="M483" s="24">
        <v>0.83333333333333337</v>
      </c>
      <c r="N483" s="11">
        <v>8</v>
      </c>
      <c r="O483" s="11" t="s">
        <v>34</v>
      </c>
      <c r="P483" s="11" t="s">
        <v>35</v>
      </c>
      <c r="Q483" s="11"/>
      <c r="R483" s="11" t="s">
        <v>36</v>
      </c>
      <c r="S483" s="19">
        <v>40</v>
      </c>
      <c r="T483" s="11" t="s">
        <v>37</v>
      </c>
      <c r="U483" s="11" t="s">
        <v>96</v>
      </c>
      <c r="V483" s="11">
        <v>4</v>
      </c>
      <c r="W483" s="11" t="s">
        <v>70</v>
      </c>
      <c r="X483" s="11" t="s">
        <v>3333</v>
      </c>
      <c r="Y483" s="11" t="s">
        <v>109</v>
      </c>
      <c r="Z483" s="11" t="s">
        <v>71</v>
      </c>
      <c r="AA483" s="11" t="str">
        <f>IF(A483=" ", "Missing Value", " ")</f>
        <v xml:space="preserve"> </v>
      </c>
    </row>
    <row r="484" spans="1:27">
      <c r="A484" s="11" t="s">
        <v>1869</v>
      </c>
      <c r="B484" s="11" t="s">
        <v>1870</v>
      </c>
      <c r="C484" s="11" t="s">
        <v>27</v>
      </c>
      <c r="D484" s="19">
        <v>14</v>
      </c>
      <c r="E484" s="11" t="s">
        <v>28</v>
      </c>
      <c r="F484" s="11" t="s">
        <v>29</v>
      </c>
      <c r="G484" s="11" t="s">
        <v>30</v>
      </c>
      <c r="H484" s="12">
        <v>46039</v>
      </c>
      <c r="I484" s="12" t="str">
        <f t="shared" si="7"/>
        <v>January</v>
      </c>
      <c r="J484" s="24">
        <v>0.52777777777777779</v>
      </c>
      <c r="K484" s="19">
        <v>5</v>
      </c>
      <c r="L484" s="12">
        <v>46039</v>
      </c>
      <c r="M484" s="24">
        <v>0.73611111111111116</v>
      </c>
      <c r="N484" s="11">
        <v>5</v>
      </c>
      <c r="O484" s="11" t="s">
        <v>68</v>
      </c>
      <c r="P484" s="11" t="s">
        <v>35</v>
      </c>
      <c r="Q484" s="11"/>
      <c r="R484" s="11" t="s">
        <v>36</v>
      </c>
      <c r="S484" s="19">
        <v>35</v>
      </c>
      <c r="T484" s="11" t="s">
        <v>37</v>
      </c>
      <c r="U484" s="11" t="s">
        <v>164</v>
      </c>
      <c r="V484" s="11">
        <v>5</v>
      </c>
      <c r="W484" s="11" t="s">
        <v>70</v>
      </c>
      <c r="X484" s="11" t="s">
        <v>3334</v>
      </c>
      <c r="Y484" s="11" t="s">
        <v>109</v>
      </c>
      <c r="Z484" s="11" t="s">
        <v>53</v>
      </c>
      <c r="AA484" s="11" t="str">
        <f>IF(A484=" ", "Missing Value", " ")</f>
        <v xml:space="preserve"> </v>
      </c>
    </row>
    <row r="485" spans="1:27">
      <c r="A485" s="11" t="s">
        <v>1873</v>
      </c>
      <c r="B485" s="11" t="s">
        <v>1874</v>
      </c>
      <c r="C485" s="11" t="s">
        <v>56</v>
      </c>
      <c r="D485" s="19">
        <v>70</v>
      </c>
      <c r="E485" s="11" t="s">
        <v>81</v>
      </c>
      <c r="F485" s="11" t="s">
        <v>82</v>
      </c>
      <c r="G485" s="11" t="s">
        <v>83</v>
      </c>
      <c r="H485" s="12">
        <v>46082</v>
      </c>
      <c r="I485" s="12" t="str">
        <f t="shared" si="7"/>
        <v>March</v>
      </c>
      <c r="J485" s="24">
        <v>0.32430555555555557</v>
      </c>
      <c r="K485" s="19">
        <v>8</v>
      </c>
      <c r="L485" s="12">
        <v>46082</v>
      </c>
      <c r="M485" s="24">
        <v>0.86597222222222225</v>
      </c>
      <c r="N485" s="11">
        <v>13</v>
      </c>
      <c r="O485" s="11" t="s">
        <v>34</v>
      </c>
      <c r="P485" s="11" t="s">
        <v>35</v>
      </c>
      <c r="Q485" s="11"/>
      <c r="R485" s="11" t="s">
        <v>36</v>
      </c>
      <c r="S485" s="19">
        <v>20</v>
      </c>
      <c r="T485" s="11" t="s">
        <v>49</v>
      </c>
      <c r="U485" s="11" t="s">
        <v>96</v>
      </c>
      <c r="V485" s="11">
        <v>1</v>
      </c>
      <c r="W485" s="11" t="s">
        <v>39</v>
      </c>
      <c r="X485" s="11" t="s">
        <v>3333</v>
      </c>
      <c r="Y485" s="11" t="s">
        <v>109</v>
      </c>
      <c r="Z485" s="11" t="s">
        <v>42</v>
      </c>
      <c r="AA485" s="11" t="str">
        <f>IF(A485=" ", "Missing Value", " ")</f>
        <v xml:space="preserve"> </v>
      </c>
    </row>
    <row r="486" spans="1:27">
      <c r="A486" s="11" t="s">
        <v>1875</v>
      </c>
      <c r="B486" s="11" t="s">
        <v>1876</v>
      </c>
      <c r="C486" s="11" t="s">
        <v>56</v>
      </c>
      <c r="D486" s="19">
        <v>45</v>
      </c>
      <c r="E486" s="11" t="s">
        <v>28</v>
      </c>
      <c r="F486" s="11" t="s">
        <v>29</v>
      </c>
      <c r="G486" s="11" t="s">
        <v>30</v>
      </c>
      <c r="H486" s="12">
        <v>46146</v>
      </c>
      <c r="I486" s="12" t="str">
        <f t="shared" si="7"/>
        <v>May</v>
      </c>
      <c r="J486" s="24">
        <v>0.54861111111111116</v>
      </c>
      <c r="K486" s="19">
        <v>5</v>
      </c>
      <c r="L486" s="12">
        <v>46147</v>
      </c>
      <c r="M486" s="24">
        <v>6.9444444444444441E-3</v>
      </c>
      <c r="N486" s="11">
        <v>11</v>
      </c>
      <c r="O486" s="11" t="s">
        <v>34</v>
      </c>
      <c r="P486" s="11" t="s">
        <v>35</v>
      </c>
      <c r="Q486" s="11"/>
      <c r="R486" s="11" t="s">
        <v>36</v>
      </c>
      <c r="S486" s="19">
        <v>35</v>
      </c>
      <c r="T486" s="11" t="s">
        <v>37</v>
      </c>
      <c r="U486" s="11" t="s">
        <v>164</v>
      </c>
      <c r="V486" s="11">
        <v>2</v>
      </c>
      <c r="W486" s="11" t="s">
        <v>70</v>
      </c>
      <c r="X486" s="11" t="s">
        <v>51</v>
      </c>
      <c r="Y486" s="11" t="s">
        <v>109</v>
      </c>
      <c r="Z486" s="11" t="s">
        <v>42</v>
      </c>
      <c r="AA486" s="11" t="str">
        <f>IF(A486=" ", "Missing Value", " ")</f>
        <v xml:space="preserve"> </v>
      </c>
    </row>
    <row r="487" spans="1:27">
      <c r="A487" s="11" t="s">
        <v>1878</v>
      </c>
      <c r="B487" s="11" t="s">
        <v>1879</v>
      </c>
      <c r="C487" s="11" t="s">
        <v>56</v>
      </c>
      <c r="D487" s="19">
        <v>60</v>
      </c>
      <c r="E487" s="11" t="s">
        <v>173</v>
      </c>
      <c r="F487" s="11" t="s">
        <v>29</v>
      </c>
      <c r="G487" s="11" t="s">
        <v>168</v>
      </c>
      <c r="H487" s="12">
        <v>46112</v>
      </c>
      <c r="I487" s="12" t="str">
        <f t="shared" si="7"/>
        <v>March</v>
      </c>
      <c r="J487" s="24">
        <v>0.4909722222222222</v>
      </c>
      <c r="K487" s="19">
        <v>4</v>
      </c>
      <c r="L487" s="12">
        <v>46112</v>
      </c>
      <c r="M487" s="24">
        <v>0.78263888888888888</v>
      </c>
      <c r="N487" s="11">
        <v>7</v>
      </c>
      <c r="O487" s="11" t="s">
        <v>34</v>
      </c>
      <c r="P487" s="11" t="s">
        <v>35</v>
      </c>
      <c r="Q487" s="11"/>
      <c r="R487" s="11" t="s">
        <v>132</v>
      </c>
      <c r="S487" s="19">
        <v>25</v>
      </c>
      <c r="T487" s="11" t="s">
        <v>49</v>
      </c>
      <c r="U487" s="11" t="s">
        <v>96</v>
      </c>
      <c r="V487" s="11">
        <v>4</v>
      </c>
      <c r="W487" s="11" t="s">
        <v>89</v>
      </c>
      <c r="X487" s="11" t="s">
        <v>3333</v>
      </c>
      <c r="Y487" s="11" t="s">
        <v>109</v>
      </c>
      <c r="Z487" s="11" t="s">
        <v>71</v>
      </c>
      <c r="AA487" s="11" t="s">
        <v>3264</v>
      </c>
    </row>
    <row r="488" spans="1:27">
      <c r="A488" s="11" t="s">
        <v>1880</v>
      </c>
      <c r="B488" s="11" t="s">
        <v>1881</v>
      </c>
      <c r="C488" s="11" t="s">
        <v>56</v>
      </c>
      <c r="D488" s="19">
        <v>78</v>
      </c>
      <c r="E488" s="11" t="s">
        <v>81</v>
      </c>
      <c r="F488" s="11" t="s">
        <v>82</v>
      </c>
      <c r="G488" s="11" t="s">
        <v>30</v>
      </c>
      <c r="H488" s="12">
        <v>46111</v>
      </c>
      <c r="I488" s="12" t="str">
        <f t="shared" si="7"/>
        <v>March</v>
      </c>
      <c r="J488" s="24">
        <v>0.56736111111111109</v>
      </c>
      <c r="K488" s="19">
        <v>8</v>
      </c>
      <c r="L488" s="12">
        <v>46111</v>
      </c>
      <c r="M488" s="24">
        <v>0.98402777777777772</v>
      </c>
      <c r="N488" s="11">
        <v>10</v>
      </c>
      <c r="O488" s="11" t="s">
        <v>34</v>
      </c>
      <c r="P488" s="11" t="s">
        <v>35</v>
      </c>
      <c r="Q488" s="11"/>
      <c r="R488" s="11" t="s">
        <v>36</v>
      </c>
      <c r="S488" s="19">
        <v>20</v>
      </c>
      <c r="T488" s="11" t="s">
        <v>37</v>
      </c>
      <c r="U488" s="11" t="s">
        <v>96</v>
      </c>
      <c r="V488" s="11">
        <v>4</v>
      </c>
      <c r="W488" s="11" t="s">
        <v>70</v>
      </c>
      <c r="X488" s="11" t="s">
        <v>3334</v>
      </c>
      <c r="Y488" s="11" t="s">
        <v>41</v>
      </c>
      <c r="Z488" s="11" t="s">
        <v>71</v>
      </c>
      <c r="AA488" s="11" t="s">
        <v>3234</v>
      </c>
    </row>
    <row r="489" spans="1:27">
      <c r="A489" s="11" t="s">
        <v>1883</v>
      </c>
      <c r="B489" s="11" t="s">
        <v>1884</v>
      </c>
      <c r="C489" s="11" t="s">
        <v>56</v>
      </c>
      <c r="D489" s="19">
        <v>43</v>
      </c>
      <c r="E489" s="11" t="s">
        <v>92</v>
      </c>
      <c r="F489" s="11" t="s">
        <v>29</v>
      </c>
      <c r="G489" s="11" t="s">
        <v>93</v>
      </c>
      <c r="H489" s="12">
        <v>46106</v>
      </c>
      <c r="I489" s="12" t="str">
        <f t="shared" si="7"/>
        <v>March</v>
      </c>
      <c r="J489" s="24">
        <v>0.63402777777777775</v>
      </c>
      <c r="K489" s="19">
        <v>24</v>
      </c>
      <c r="L489" s="12">
        <v>46107</v>
      </c>
      <c r="M489" s="24">
        <v>0.92569444444444449</v>
      </c>
      <c r="N489" s="11">
        <v>31</v>
      </c>
      <c r="O489" s="11" t="s">
        <v>34</v>
      </c>
      <c r="P489" s="11" t="s">
        <v>270</v>
      </c>
      <c r="Q489" s="11" t="s">
        <v>271</v>
      </c>
      <c r="R489" s="11" t="s">
        <v>36</v>
      </c>
      <c r="S489" s="19">
        <v>50</v>
      </c>
      <c r="T489" s="11" t="s">
        <v>37</v>
      </c>
      <c r="U489" s="11" t="s">
        <v>164</v>
      </c>
      <c r="V489" s="11">
        <v>1</v>
      </c>
      <c r="W489" s="11" t="s">
        <v>70</v>
      </c>
      <c r="X489" s="11" t="s">
        <v>3333</v>
      </c>
      <c r="Y489" s="11" t="s">
        <v>109</v>
      </c>
      <c r="Z489" s="11" t="s">
        <v>53</v>
      </c>
      <c r="AA489" s="11" t="s">
        <v>3256</v>
      </c>
    </row>
    <row r="490" spans="1:27">
      <c r="A490" s="11" t="s">
        <v>1886</v>
      </c>
      <c r="B490" s="11" t="s">
        <v>1887</v>
      </c>
      <c r="C490" s="11" t="s">
        <v>56</v>
      </c>
      <c r="D490" s="19">
        <v>45</v>
      </c>
      <c r="E490" s="11" t="s">
        <v>81</v>
      </c>
      <c r="F490" s="11" t="s">
        <v>82</v>
      </c>
      <c r="G490" s="11" t="s">
        <v>93</v>
      </c>
      <c r="H490" s="12">
        <v>46088</v>
      </c>
      <c r="I490" s="12" t="str">
        <f t="shared" si="7"/>
        <v>March</v>
      </c>
      <c r="J490" s="24">
        <v>0.41736111111111113</v>
      </c>
      <c r="K490" s="19">
        <v>8</v>
      </c>
      <c r="L490" s="12">
        <v>46088</v>
      </c>
      <c r="M490" s="24">
        <v>0.95902777777777781</v>
      </c>
      <c r="N490" s="11">
        <v>13</v>
      </c>
      <c r="O490" s="11" t="s">
        <v>34</v>
      </c>
      <c r="P490" s="11" t="s">
        <v>35</v>
      </c>
      <c r="Q490" s="11"/>
      <c r="R490" s="11" t="s">
        <v>36</v>
      </c>
      <c r="S490" s="19">
        <v>20</v>
      </c>
      <c r="T490" s="11" t="s">
        <v>49</v>
      </c>
      <c r="U490" s="11" t="s">
        <v>38</v>
      </c>
      <c r="V490" s="11">
        <v>2</v>
      </c>
      <c r="W490" s="11" t="s">
        <v>39</v>
      </c>
      <c r="X490" s="11" t="s">
        <v>3334</v>
      </c>
      <c r="Y490" s="11" t="s">
        <v>109</v>
      </c>
      <c r="Z490" s="11" t="s">
        <v>42</v>
      </c>
      <c r="AA490" s="11" t="s">
        <v>3234</v>
      </c>
    </row>
    <row r="491" spans="1:27">
      <c r="A491" s="11" t="s">
        <v>1888</v>
      </c>
      <c r="B491" s="11" t="s">
        <v>1889</v>
      </c>
      <c r="C491" s="11" t="s">
        <v>56</v>
      </c>
      <c r="D491" s="19">
        <v>48</v>
      </c>
      <c r="E491" s="11" t="s">
        <v>28</v>
      </c>
      <c r="F491" s="11" t="s">
        <v>29</v>
      </c>
      <c r="G491" s="11" t="s">
        <v>83</v>
      </c>
      <c r="H491" s="12">
        <v>46091</v>
      </c>
      <c r="I491" s="12" t="str">
        <f t="shared" si="7"/>
        <v>March</v>
      </c>
      <c r="J491" s="24">
        <v>0.32222222222222224</v>
      </c>
      <c r="K491" s="19">
        <v>5</v>
      </c>
      <c r="L491" s="12">
        <v>46091</v>
      </c>
      <c r="M491" s="24">
        <v>0.73888888888888893</v>
      </c>
      <c r="N491" s="11">
        <v>10</v>
      </c>
      <c r="O491" s="11" t="s">
        <v>34</v>
      </c>
      <c r="P491" s="11" t="s">
        <v>35</v>
      </c>
      <c r="Q491" s="11"/>
      <c r="R491" s="11" t="s">
        <v>36</v>
      </c>
      <c r="S491" s="19">
        <v>35</v>
      </c>
      <c r="T491" s="11" t="s">
        <v>37</v>
      </c>
      <c r="U491" s="11" t="s">
        <v>164</v>
      </c>
      <c r="V491" s="11">
        <v>3</v>
      </c>
      <c r="W491" s="11" t="s">
        <v>89</v>
      </c>
      <c r="X491" s="11" t="s">
        <v>3325</v>
      </c>
      <c r="Y491" s="11" t="s">
        <v>41</v>
      </c>
      <c r="Z491" s="11" t="s">
        <v>53</v>
      </c>
      <c r="AA491" s="11" t="s">
        <v>3234</v>
      </c>
    </row>
    <row r="492" spans="1:27">
      <c r="A492" s="11" t="s">
        <v>1891</v>
      </c>
      <c r="B492" s="11" t="s">
        <v>1892</v>
      </c>
      <c r="C492" s="11" t="s">
        <v>27</v>
      </c>
      <c r="D492" s="19">
        <v>36</v>
      </c>
      <c r="E492" s="11" t="s">
        <v>57</v>
      </c>
      <c r="F492" s="11" t="s">
        <v>29</v>
      </c>
      <c r="G492" s="11" t="s">
        <v>58</v>
      </c>
      <c r="H492" s="12">
        <v>46051</v>
      </c>
      <c r="I492" s="12" t="str">
        <f t="shared" si="7"/>
        <v>January</v>
      </c>
      <c r="J492" s="24">
        <v>0.58333333333333337</v>
      </c>
      <c r="K492" s="19">
        <v>3</v>
      </c>
      <c r="L492" s="12">
        <v>46052</v>
      </c>
      <c r="M492" s="24">
        <v>4.1666666666666664E-2</v>
      </c>
      <c r="N492" s="11">
        <v>11</v>
      </c>
      <c r="O492" s="11" t="s">
        <v>34</v>
      </c>
      <c r="P492" s="11" t="s">
        <v>35</v>
      </c>
      <c r="Q492" s="11"/>
      <c r="R492" s="11" t="s">
        <v>36</v>
      </c>
      <c r="S492" s="19">
        <v>15</v>
      </c>
      <c r="T492" s="11" t="s">
        <v>49</v>
      </c>
      <c r="U492" s="11" t="s">
        <v>96</v>
      </c>
      <c r="V492" s="11">
        <v>4</v>
      </c>
      <c r="W492" s="11" t="s">
        <v>62</v>
      </c>
      <c r="X492" s="11" t="s">
        <v>51</v>
      </c>
      <c r="Y492" s="11" t="s">
        <v>52</v>
      </c>
      <c r="Z492" s="11" t="s">
        <v>53</v>
      </c>
      <c r="AA492" s="11"/>
    </row>
    <row r="493" spans="1:27">
      <c r="A493" s="11" t="s">
        <v>1894</v>
      </c>
      <c r="B493" s="11" t="s">
        <v>1895</v>
      </c>
      <c r="C493" s="11" t="s">
        <v>56</v>
      </c>
      <c r="D493" s="19">
        <v>9</v>
      </c>
      <c r="E493" s="11" t="s">
        <v>81</v>
      </c>
      <c r="F493" s="11" t="s">
        <v>82</v>
      </c>
      <c r="G493" s="11" t="s">
        <v>83</v>
      </c>
      <c r="H493" s="12">
        <v>46087</v>
      </c>
      <c r="I493" s="12" t="str">
        <f t="shared" si="7"/>
        <v>March</v>
      </c>
      <c r="J493" s="24">
        <v>0.57986111111111116</v>
      </c>
      <c r="K493" s="19">
        <v>8</v>
      </c>
      <c r="L493" s="12">
        <v>46087</v>
      </c>
      <c r="M493" s="24">
        <v>0.91319444444444442</v>
      </c>
      <c r="N493" s="11">
        <v>8</v>
      </c>
      <c r="O493" s="11" t="s">
        <v>68</v>
      </c>
      <c r="P493" s="11" t="s">
        <v>35</v>
      </c>
      <c r="Q493" s="11"/>
      <c r="R493" s="11" t="s">
        <v>36</v>
      </c>
      <c r="S493" s="19">
        <v>20</v>
      </c>
      <c r="T493" s="11" t="s">
        <v>49</v>
      </c>
      <c r="U493" s="11" t="s">
        <v>96</v>
      </c>
      <c r="V493" s="11">
        <v>2</v>
      </c>
      <c r="W493" s="11" t="s">
        <v>70</v>
      </c>
      <c r="X493" s="11" t="s">
        <v>3334</v>
      </c>
      <c r="Y493" s="11" t="s">
        <v>41</v>
      </c>
      <c r="Z493" s="11" t="s">
        <v>53</v>
      </c>
      <c r="AA493" s="11" t="str">
        <f>IF(A493=" ", "Missing Value", " ")</f>
        <v xml:space="preserve"> </v>
      </c>
    </row>
    <row r="494" spans="1:27">
      <c r="A494" s="11" t="s">
        <v>1897</v>
      </c>
      <c r="B494" s="11" t="s">
        <v>1898</v>
      </c>
      <c r="C494" s="11" t="s">
        <v>27</v>
      </c>
      <c r="D494" s="19">
        <v>53</v>
      </c>
      <c r="E494" s="11" t="s">
        <v>57</v>
      </c>
      <c r="F494" s="11" t="s">
        <v>29</v>
      </c>
      <c r="G494" s="11" t="s">
        <v>58</v>
      </c>
      <c r="H494" s="12">
        <v>46076</v>
      </c>
      <c r="I494" s="12" t="str">
        <f t="shared" si="7"/>
        <v>February</v>
      </c>
      <c r="J494" s="24">
        <v>0.55763888888888891</v>
      </c>
      <c r="K494" s="19">
        <v>3</v>
      </c>
      <c r="L494" s="12">
        <v>46076</v>
      </c>
      <c r="M494" s="24">
        <v>0.93263888888888891</v>
      </c>
      <c r="N494" s="11">
        <v>9</v>
      </c>
      <c r="O494" s="11" t="s">
        <v>34</v>
      </c>
      <c r="P494" s="11" t="s">
        <v>35</v>
      </c>
      <c r="Q494" s="11"/>
      <c r="R494" s="11" t="s">
        <v>36</v>
      </c>
      <c r="S494" s="19">
        <v>15</v>
      </c>
      <c r="T494" s="11" t="s">
        <v>49</v>
      </c>
      <c r="U494" s="11" t="s">
        <v>164</v>
      </c>
      <c r="V494" s="11">
        <v>2</v>
      </c>
      <c r="W494" s="11" t="s">
        <v>62</v>
      </c>
      <c r="X494" s="11" t="s">
        <v>3334</v>
      </c>
      <c r="Y494" s="11" t="s">
        <v>109</v>
      </c>
      <c r="Z494" s="11" t="s">
        <v>42</v>
      </c>
      <c r="AA494" s="11"/>
    </row>
    <row r="495" spans="1:27">
      <c r="A495" s="11" t="s">
        <v>1900</v>
      </c>
      <c r="B495" s="11" t="s">
        <v>1901</v>
      </c>
      <c r="C495" s="11" t="s">
        <v>27</v>
      </c>
      <c r="D495" s="19">
        <v>46</v>
      </c>
      <c r="E495" s="11" t="s">
        <v>149</v>
      </c>
      <c r="F495" s="11" t="s">
        <v>29</v>
      </c>
      <c r="G495" s="11" t="s">
        <v>30</v>
      </c>
      <c r="H495" s="12">
        <v>46162</v>
      </c>
      <c r="I495" s="12" t="str">
        <f t="shared" si="7"/>
        <v>May</v>
      </c>
      <c r="J495" s="24">
        <v>0.43958333333333333</v>
      </c>
      <c r="K495" s="19">
        <v>6</v>
      </c>
      <c r="L495" s="12">
        <v>46162</v>
      </c>
      <c r="M495" s="24">
        <v>0.93958333333333333</v>
      </c>
      <c r="N495" s="11">
        <v>12</v>
      </c>
      <c r="O495" s="11" t="s">
        <v>34</v>
      </c>
      <c r="P495" s="11" t="s">
        <v>35</v>
      </c>
      <c r="Q495" s="11"/>
      <c r="R495" s="11" t="s">
        <v>36</v>
      </c>
      <c r="S495" s="19">
        <v>40</v>
      </c>
      <c r="T495" s="11" t="s">
        <v>49</v>
      </c>
      <c r="U495" s="11" t="s">
        <v>96</v>
      </c>
      <c r="V495" s="11">
        <v>1</v>
      </c>
      <c r="W495" s="11" t="s">
        <v>89</v>
      </c>
      <c r="X495" s="11" t="s">
        <v>3333</v>
      </c>
      <c r="Y495" s="11" t="s">
        <v>109</v>
      </c>
      <c r="Z495" s="11" t="s">
        <v>71</v>
      </c>
      <c r="AA495" s="11" t="str">
        <f>IF(A495=" ", "Missing Value", " ")</f>
        <v xml:space="preserve"> </v>
      </c>
    </row>
    <row r="496" spans="1:27">
      <c r="A496" s="11" t="s">
        <v>1904</v>
      </c>
      <c r="B496" s="11" t="s">
        <v>1905</v>
      </c>
      <c r="C496" s="11" t="s">
        <v>56</v>
      </c>
      <c r="D496" s="19">
        <v>53</v>
      </c>
      <c r="E496" s="11" t="s">
        <v>149</v>
      </c>
      <c r="F496" s="11" t="s">
        <v>29</v>
      </c>
      <c r="G496" s="11" t="s">
        <v>58</v>
      </c>
      <c r="H496" s="12">
        <v>46142</v>
      </c>
      <c r="I496" s="12" t="str">
        <f t="shared" si="7"/>
        <v>April</v>
      </c>
      <c r="J496" s="24">
        <v>0.68333333333333335</v>
      </c>
      <c r="K496" s="19">
        <v>6</v>
      </c>
      <c r="L496" s="12">
        <v>46143</v>
      </c>
      <c r="M496" s="24">
        <v>0.1</v>
      </c>
      <c r="N496" s="11">
        <v>10</v>
      </c>
      <c r="O496" s="11" t="s">
        <v>34</v>
      </c>
      <c r="P496" s="11" t="s">
        <v>35</v>
      </c>
      <c r="Q496" s="11"/>
      <c r="R496" s="11" t="s">
        <v>36</v>
      </c>
      <c r="S496" s="19">
        <v>40</v>
      </c>
      <c r="T496" s="11" t="s">
        <v>49</v>
      </c>
      <c r="U496" s="11" t="s">
        <v>96</v>
      </c>
      <c r="V496" s="11">
        <v>3</v>
      </c>
      <c r="W496" s="11" t="s">
        <v>62</v>
      </c>
      <c r="X496" s="11" t="s">
        <v>3334</v>
      </c>
      <c r="Y496" s="11" t="s">
        <v>41</v>
      </c>
      <c r="Z496" s="11" t="s">
        <v>53</v>
      </c>
      <c r="AA496" s="11" t="s">
        <v>3234</v>
      </c>
    </row>
    <row r="497" spans="1:27">
      <c r="A497" s="11" t="s">
        <v>1907</v>
      </c>
      <c r="B497" s="11" t="s">
        <v>1908</v>
      </c>
      <c r="C497" s="11" t="s">
        <v>27</v>
      </c>
      <c r="D497" s="19">
        <v>81</v>
      </c>
      <c r="E497" s="11" t="s">
        <v>57</v>
      </c>
      <c r="F497" s="11" t="s">
        <v>29</v>
      </c>
      <c r="G497" s="11" t="s">
        <v>83</v>
      </c>
      <c r="H497" s="12">
        <v>46191</v>
      </c>
      <c r="I497" s="12" t="str">
        <f t="shared" si="7"/>
        <v>June</v>
      </c>
      <c r="J497" s="24">
        <v>0.64236111111111116</v>
      </c>
      <c r="K497" s="19">
        <v>3</v>
      </c>
      <c r="L497" s="12">
        <v>46191</v>
      </c>
      <c r="M497" s="24">
        <v>0.85069444444444442</v>
      </c>
      <c r="N497" s="11">
        <v>5</v>
      </c>
      <c r="O497" s="11" t="s">
        <v>34</v>
      </c>
      <c r="P497" s="11" t="s">
        <v>35</v>
      </c>
      <c r="Q497" s="11"/>
      <c r="R497" s="11" t="s">
        <v>36</v>
      </c>
      <c r="S497" s="19">
        <v>15</v>
      </c>
      <c r="T497" s="11" t="s">
        <v>37</v>
      </c>
      <c r="U497" s="11" t="s">
        <v>164</v>
      </c>
      <c r="V497" s="11">
        <v>3</v>
      </c>
      <c r="W497" s="11" t="s">
        <v>89</v>
      </c>
      <c r="X497" s="11" t="s">
        <v>3334</v>
      </c>
      <c r="Y497" s="11" t="s">
        <v>52</v>
      </c>
      <c r="Z497" s="11" t="s">
        <v>53</v>
      </c>
      <c r="AA497" s="11" t="s">
        <v>3234</v>
      </c>
    </row>
    <row r="498" spans="1:27">
      <c r="A498" s="11" t="s">
        <v>1911</v>
      </c>
      <c r="B498" s="11" t="s">
        <v>1912</v>
      </c>
      <c r="C498" s="11" t="s">
        <v>27</v>
      </c>
      <c r="D498" s="19">
        <v>71</v>
      </c>
      <c r="E498" s="11" t="s">
        <v>173</v>
      </c>
      <c r="F498" s="11" t="s">
        <v>29</v>
      </c>
      <c r="G498" s="11" t="s">
        <v>168</v>
      </c>
      <c r="H498" s="12">
        <v>46160</v>
      </c>
      <c r="I498" s="12" t="str">
        <f t="shared" si="7"/>
        <v>May</v>
      </c>
      <c r="J498" s="24">
        <v>0.64722222222222225</v>
      </c>
      <c r="K498" s="19">
        <v>4</v>
      </c>
      <c r="L498" s="12">
        <v>46160</v>
      </c>
      <c r="M498" s="24">
        <v>0.77222222222222225</v>
      </c>
      <c r="N498" s="11">
        <v>3</v>
      </c>
      <c r="O498" s="11" t="s">
        <v>68</v>
      </c>
      <c r="P498" s="11" t="s">
        <v>35</v>
      </c>
      <c r="Q498" s="11"/>
      <c r="R498" s="11" t="s">
        <v>36</v>
      </c>
      <c r="S498" s="19">
        <v>25</v>
      </c>
      <c r="T498" s="11" t="s">
        <v>49</v>
      </c>
      <c r="U498" s="11" t="s">
        <v>38</v>
      </c>
      <c r="V498" s="11">
        <v>4</v>
      </c>
      <c r="W498" s="11" t="s">
        <v>62</v>
      </c>
      <c r="X498" s="11" t="s">
        <v>3334</v>
      </c>
      <c r="Y498" s="11" t="s">
        <v>41</v>
      </c>
      <c r="Z498" s="11" t="s">
        <v>71</v>
      </c>
      <c r="AA498" s="11" t="s">
        <v>3234</v>
      </c>
    </row>
    <row r="499" spans="1:27">
      <c r="A499" s="11" t="s">
        <v>1914</v>
      </c>
      <c r="B499" s="11" t="s">
        <v>1915</v>
      </c>
      <c r="C499" s="11" t="s">
        <v>27</v>
      </c>
      <c r="D499" s="19">
        <v>32</v>
      </c>
      <c r="E499" s="11" t="s">
        <v>92</v>
      </c>
      <c r="F499" s="11" t="s">
        <v>29</v>
      </c>
      <c r="G499" s="11" t="s">
        <v>168</v>
      </c>
      <c r="H499" s="12">
        <v>46171</v>
      </c>
      <c r="I499" s="12" t="str">
        <f t="shared" si="7"/>
        <v>May</v>
      </c>
      <c r="J499" s="24">
        <v>0.32430555555555557</v>
      </c>
      <c r="K499" s="19">
        <v>24</v>
      </c>
      <c r="L499" s="12">
        <v>46172</v>
      </c>
      <c r="M499" s="24">
        <v>0.32430555555555557</v>
      </c>
      <c r="N499" s="11">
        <v>24</v>
      </c>
      <c r="O499" s="11" t="s">
        <v>68</v>
      </c>
      <c r="P499" s="11" t="s">
        <v>35</v>
      </c>
      <c r="Q499" s="11"/>
      <c r="R499" s="11" t="s">
        <v>36</v>
      </c>
      <c r="S499" s="19">
        <v>50</v>
      </c>
      <c r="T499" s="11" t="s">
        <v>49</v>
      </c>
      <c r="U499" s="11" t="s">
        <v>96</v>
      </c>
      <c r="V499" s="11">
        <v>1</v>
      </c>
      <c r="W499" s="11" t="s">
        <v>62</v>
      </c>
      <c r="X499" s="11" t="s">
        <v>3334</v>
      </c>
      <c r="Y499" s="11" t="s">
        <v>41</v>
      </c>
      <c r="Z499" s="11" t="s">
        <v>53</v>
      </c>
      <c r="AA499" s="11" t="s">
        <v>3234</v>
      </c>
    </row>
    <row r="500" spans="1:27">
      <c r="A500" s="11" t="s">
        <v>1916</v>
      </c>
      <c r="B500" s="11" t="s">
        <v>1917</v>
      </c>
      <c r="C500" s="11" t="s">
        <v>27</v>
      </c>
      <c r="D500" s="19">
        <v>49</v>
      </c>
      <c r="E500" s="11" t="s">
        <v>92</v>
      </c>
      <c r="F500" s="11" t="s">
        <v>29</v>
      </c>
      <c r="G500" s="11" t="s">
        <v>83</v>
      </c>
      <c r="H500" s="12">
        <v>46052</v>
      </c>
      <c r="I500" s="12" t="str">
        <f t="shared" si="7"/>
        <v>January</v>
      </c>
      <c r="J500" s="24">
        <v>0.29444444444444445</v>
      </c>
      <c r="K500" s="19">
        <v>24</v>
      </c>
      <c r="L500" s="12">
        <v>46053</v>
      </c>
      <c r="M500" s="24">
        <v>0.58611111111111114</v>
      </c>
      <c r="N500" s="11">
        <v>31</v>
      </c>
      <c r="O500" s="11" t="s">
        <v>34</v>
      </c>
      <c r="P500" s="11" t="s">
        <v>35</v>
      </c>
      <c r="Q500" s="11"/>
      <c r="R500" s="11" t="s">
        <v>36</v>
      </c>
      <c r="S500" s="19">
        <v>50</v>
      </c>
      <c r="T500" s="11" t="s">
        <v>49</v>
      </c>
      <c r="U500" s="11" t="s">
        <v>96</v>
      </c>
      <c r="V500" s="11">
        <v>4</v>
      </c>
      <c r="W500" s="11" t="s">
        <v>70</v>
      </c>
      <c r="X500" s="11" t="s">
        <v>3325</v>
      </c>
      <c r="Y500" s="11" t="s">
        <v>41</v>
      </c>
      <c r="Z500" s="11" t="s">
        <v>42</v>
      </c>
      <c r="AA500" s="11" t="s">
        <v>3234</v>
      </c>
    </row>
    <row r="501" spans="1:27">
      <c r="A501" s="11" t="s">
        <v>1919</v>
      </c>
      <c r="B501" s="11" t="s">
        <v>1920</v>
      </c>
      <c r="C501" s="11" t="s">
        <v>27</v>
      </c>
      <c r="D501" s="19">
        <v>42</v>
      </c>
      <c r="E501" s="11" t="s">
        <v>57</v>
      </c>
      <c r="F501" s="11" t="s">
        <v>29</v>
      </c>
      <c r="G501" s="11" t="s">
        <v>58</v>
      </c>
      <c r="H501" s="12">
        <v>46150</v>
      </c>
      <c r="I501" s="12" t="str">
        <f t="shared" si="7"/>
        <v>May</v>
      </c>
      <c r="J501" s="24">
        <v>0.64027777777777772</v>
      </c>
      <c r="K501" s="19">
        <v>3</v>
      </c>
      <c r="L501" s="12">
        <v>46150</v>
      </c>
      <c r="M501" s="24">
        <v>0.72361111111111109</v>
      </c>
      <c r="N501" s="11">
        <v>2</v>
      </c>
      <c r="O501" s="11" t="s">
        <v>68</v>
      </c>
      <c r="P501" s="11" t="s">
        <v>35</v>
      </c>
      <c r="Q501" s="11"/>
      <c r="R501" s="11" t="s">
        <v>132</v>
      </c>
      <c r="S501" s="19">
        <v>15</v>
      </c>
      <c r="T501" s="11" t="s">
        <v>49</v>
      </c>
      <c r="U501" s="11" t="s">
        <v>38</v>
      </c>
      <c r="V501" s="11">
        <v>2</v>
      </c>
      <c r="W501" s="11" t="s">
        <v>89</v>
      </c>
      <c r="X501" s="11" t="s">
        <v>3325</v>
      </c>
      <c r="Y501" s="11" t="s">
        <v>109</v>
      </c>
      <c r="Z501" s="11" t="s">
        <v>71</v>
      </c>
      <c r="AA501" s="11" t="s">
        <v>3289</v>
      </c>
    </row>
    <row r="502" spans="1:27">
      <c r="A502" s="11" t="s">
        <v>1921</v>
      </c>
      <c r="B502" s="11" t="s">
        <v>1922</v>
      </c>
      <c r="C502" s="11" t="s">
        <v>27</v>
      </c>
      <c r="D502" s="19">
        <v>79</v>
      </c>
      <c r="E502" s="11" t="s">
        <v>81</v>
      </c>
      <c r="F502" s="11" t="s">
        <v>82</v>
      </c>
      <c r="G502" s="11" t="s">
        <v>168</v>
      </c>
      <c r="H502" s="12">
        <v>46031</v>
      </c>
      <c r="I502" s="12" t="str">
        <f t="shared" si="7"/>
        <v>January</v>
      </c>
      <c r="J502" s="24">
        <v>0.43611111111111112</v>
      </c>
      <c r="K502" s="19">
        <v>8</v>
      </c>
      <c r="L502" s="12">
        <v>46031</v>
      </c>
      <c r="M502" s="24">
        <v>0.81111111111111112</v>
      </c>
      <c r="N502" s="11">
        <v>9</v>
      </c>
      <c r="O502" s="11" t="s">
        <v>34</v>
      </c>
      <c r="P502" s="11" t="s">
        <v>35</v>
      </c>
      <c r="Q502" s="11"/>
      <c r="R502" s="11" t="s">
        <v>132</v>
      </c>
      <c r="S502" s="19">
        <v>20</v>
      </c>
      <c r="T502" s="11" t="s">
        <v>49</v>
      </c>
      <c r="U502" s="11" t="s">
        <v>164</v>
      </c>
      <c r="V502" s="11">
        <v>3</v>
      </c>
      <c r="W502" s="11" t="s">
        <v>39</v>
      </c>
      <c r="X502" s="11" t="s">
        <v>3325</v>
      </c>
      <c r="Y502" s="11" t="s">
        <v>109</v>
      </c>
      <c r="Z502" s="11" t="s">
        <v>71</v>
      </c>
      <c r="AA502" s="11" t="s">
        <v>3264</v>
      </c>
    </row>
    <row r="503" spans="1:27">
      <c r="A503" s="11" t="s">
        <v>1923</v>
      </c>
      <c r="B503" s="11" t="s">
        <v>1924</v>
      </c>
      <c r="C503" s="11" t="s">
        <v>27</v>
      </c>
      <c r="D503" s="19">
        <v>59</v>
      </c>
      <c r="E503" s="11" t="s">
        <v>57</v>
      </c>
      <c r="F503" s="11" t="s">
        <v>29</v>
      </c>
      <c r="G503" s="11" t="s">
        <v>168</v>
      </c>
      <c r="H503" s="12">
        <v>46115</v>
      </c>
      <c r="I503" s="12" t="str">
        <f t="shared" si="7"/>
        <v>April</v>
      </c>
      <c r="J503" s="24">
        <v>0.53680555555555554</v>
      </c>
      <c r="K503" s="19">
        <v>3</v>
      </c>
      <c r="L503" s="12">
        <v>46115</v>
      </c>
      <c r="M503" s="24">
        <v>0.70347222222222228</v>
      </c>
      <c r="N503" s="11">
        <v>4</v>
      </c>
      <c r="O503" s="11" t="s">
        <v>34</v>
      </c>
      <c r="P503" s="11" t="s">
        <v>35</v>
      </c>
      <c r="Q503" s="11"/>
      <c r="R503" s="11" t="s">
        <v>36</v>
      </c>
      <c r="S503" s="19">
        <v>15</v>
      </c>
      <c r="T503" s="11" t="s">
        <v>49</v>
      </c>
      <c r="U503" s="11" t="s">
        <v>38</v>
      </c>
      <c r="V503" s="11">
        <v>1</v>
      </c>
      <c r="W503" s="11" t="s">
        <v>62</v>
      </c>
      <c r="X503" s="11" t="s">
        <v>3325</v>
      </c>
      <c r="Y503" s="11" t="s">
        <v>52</v>
      </c>
      <c r="Z503" s="11" t="s">
        <v>42</v>
      </c>
      <c r="AA503" s="11" t="s">
        <v>3234</v>
      </c>
    </row>
    <row r="504" spans="1:27">
      <c r="A504" s="11" t="s">
        <v>1926</v>
      </c>
      <c r="B504" s="11" t="s">
        <v>1927</v>
      </c>
      <c r="C504" s="11" t="s">
        <v>27</v>
      </c>
      <c r="D504" s="19">
        <v>56</v>
      </c>
      <c r="E504" s="11" t="s">
        <v>81</v>
      </c>
      <c r="F504" s="11" t="s">
        <v>82</v>
      </c>
      <c r="G504" s="11" t="s">
        <v>83</v>
      </c>
      <c r="H504" s="12">
        <v>46168</v>
      </c>
      <c r="I504" s="12" t="str">
        <f t="shared" si="7"/>
        <v>May</v>
      </c>
      <c r="J504" s="24">
        <v>0.34652777777777777</v>
      </c>
      <c r="K504" s="19">
        <v>8</v>
      </c>
      <c r="L504" s="12">
        <v>46168</v>
      </c>
      <c r="M504" s="24">
        <v>0.8881944444444444</v>
      </c>
      <c r="N504" s="11">
        <v>13</v>
      </c>
      <c r="O504" s="11" t="s">
        <v>34</v>
      </c>
      <c r="P504" s="11" t="s">
        <v>35</v>
      </c>
      <c r="Q504" s="11"/>
      <c r="R504" s="11" t="s">
        <v>36</v>
      </c>
      <c r="S504" s="19">
        <v>20</v>
      </c>
      <c r="T504" s="11" t="s">
        <v>37</v>
      </c>
      <c r="U504" s="11" t="s">
        <v>164</v>
      </c>
      <c r="V504" s="11">
        <v>2</v>
      </c>
      <c r="W504" s="11" t="s">
        <v>62</v>
      </c>
      <c r="X504" s="11" t="s">
        <v>51</v>
      </c>
      <c r="Y504" s="11" t="s">
        <v>52</v>
      </c>
      <c r="Z504" s="11" t="s">
        <v>71</v>
      </c>
      <c r="AA504" s="11" t="str">
        <f>IF(A504=" ", "Missing Value", " ")</f>
        <v xml:space="preserve"> </v>
      </c>
    </row>
    <row r="505" spans="1:27">
      <c r="A505" s="11" t="s">
        <v>1928</v>
      </c>
      <c r="B505" s="11" t="s">
        <v>1929</v>
      </c>
      <c r="C505" s="11" t="s">
        <v>27</v>
      </c>
      <c r="D505" s="19">
        <v>66</v>
      </c>
      <c r="E505" s="11" t="s">
        <v>92</v>
      </c>
      <c r="F505" s="11" t="s">
        <v>29</v>
      </c>
      <c r="G505" s="11" t="s">
        <v>93</v>
      </c>
      <c r="H505" s="12">
        <v>46078</v>
      </c>
      <c r="I505" s="12" t="str">
        <f t="shared" si="7"/>
        <v>February</v>
      </c>
      <c r="J505" s="24">
        <v>0.48402777777777778</v>
      </c>
      <c r="K505" s="19">
        <v>24</v>
      </c>
      <c r="L505" s="12">
        <v>46079</v>
      </c>
      <c r="M505" s="24">
        <v>0.77569444444444446</v>
      </c>
      <c r="N505" s="11">
        <v>31</v>
      </c>
      <c r="O505" s="11" t="s">
        <v>34</v>
      </c>
      <c r="P505" s="11" t="s">
        <v>35</v>
      </c>
      <c r="Q505" s="11"/>
      <c r="R505" s="11" t="s">
        <v>36</v>
      </c>
      <c r="S505" s="19">
        <v>50</v>
      </c>
      <c r="T505" s="11" t="s">
        <v>49</v>
      </c>
      <c r="U505" s="11" t="s">
        <v>38</v>
      </c>
      <c r="V505" s="11">
        <v>1</v>
      </c>
      <c r="W505" s="11" t="s">
        <v>39</v>
      </c>
      <c r="X505" s="11" t="s">
        <v>3334</v>
      </c>
      <c r="Y505" s="11" t="s">
        <v>41</v>
      </c>
      <c r="Z505" s="11" t="s">
        <v>42</v>
      </c>
      <c r="AA505" s="11" t="str">
        <f>IF(A505=" ", "Missing Value", " ")</f>
        <v xml:space="preserve"> </v>
      </c>
    </row>
    <row r="506" spans="1:27">
      <c r="A506" s="11" t="s">
        <v>1931</v>
      </c>
      <c r="B506" s="11" t="s">
        <v>1932</v>
      </c>
      <c r="C506" s="11" t="s">
        <v>27</v>
      </c>
      <c r="D506" s="19">
        <v>1</v>
      </c>
      <c r="E506" s="11" t="s">
        <v>81</v>
      </c>
      <c r="F506" s="11" t="s">
        <v>82</v>
      </c>
      <c r="G506" s="11" t="s">
        <v>83</v>
      </c>
      <c r="H506" s="12">
        <v>46192</v>
      </c>
      <c r="I506" s="12" t="str">
        <f t="shared" si="7"/>
        <v>June</v>
      </c>
      <c r="J506" s="24">
        <v>0.49652777777777779</v>
      </c>
      <c r="K506" s="19">
        <v>8</v>
      </c>
      <c r="L506" s="12">
        <v>46193</v>
      </c>
      <c r="M506" s="24">
        <v>0.12152777777777778</v>
      </c>
      <c r="N506" s="11">
        <v>15</v>
      </c>
      <c r="O506" s="11" t="s">
        <v>34</v>
      </c>
      <c r="P506" s="11" t="s">
        <v>35</v>
      </c>
      <c r="Q506" s="11"/>
      <c r="R506" s="11" t="s">
        <v>36</v>
      </c>
      <c r="S506" s="19">
        <v>20</v>
      </c>
      <c r="T506" s="11" t="s">
        <v>37</v>
      </c>
      <c r="U506" s="11" t="s">
        <v>164</v>
      </c>
      <c r="V506" s="11">
        <v>3</v>
      </c>
      <c r="W506" s="11" t="s">
        <v>70</v>
      </c>
      <c r="X506" s="11" t="s">
        <v>3334</v>
      </c>
      <c r="Y506" s="11" t="s">
        <v>41</v>
      </c>
      <c r="Z506" s="11" t="s">
        <v>53</v>
      </c>
      <c r="AA506" s="11" t="str">
        <f>IF(A506=" ", "Missing Value", " ")</f>
        <v xml:space="preserve"> </v>
      </c>
    </row>
    <row r="507" spans="1:27">
      <c r="A507" s="11" t="s">
        <v>1935</v>
      </c>
      <c r="B507" s="11" t="s">
        <v>1936</v>
      </c>
      <c r="C507" s="11" t="s">
        <v>56</v>
      </c>
      <c r="D507" s="19">
        <v>22</v>
      </c>
      <c r="E507" s="11" t="s">
        <v>57</v>
      </c>
      <c r="F507" s="11" t="s">
        <v>29</v>
      </c>
      <c r="G507" s="11" t="s">
        <v>93</v>
      </c>
      <c r="H507" s="12">
        <v>46179</v>
      </c>
      <c r="I507" s="12" t="str">
        <f t="shared" si="7"/>
        <v>June</v>
      </c>
      <c r="J507" s="24">
        <v>0.32361111111111113</v>
      </c>
      <c r="K507" s="19">
        <v>3</v>
      </c>
      <c r="L507" s="12">
        <v>46179</v>
      </c>
      <c r="M507" s="24">
        <v>0.74027777777777781</v>
      </c>
      <c r="N507" s="11">
        <v>10</v>
      </c>
      <c r="O507" s="11" t="s">
        <v>34</v>
      </c>
      <c r="P507" s="11" t="s">
        <v>35</v>
      </c>
      <c r="Q507" s="11"/>
      <c r="R507" s="11" t="s">
        <v>132</v>
      </c>
      <c r="S507" s="19">
        <v>15</v>
      </c>
      <c r="T507" s="11" t="s">
        <v>49</v>
      </c>
      <c r="U507" s="11" t="s">
        <v>96</v>
      </c>
      <c r="V507" s="11">
        <v>2</v>
      </c>
      <c r="W507" s="11" t="s">
        <v>89</v>
      </c>
      <c r="X507" s="11" t="s">
        <v>3334</v>
      </c>
      <c r="Y507" s="11" t="s">
        <v>109</v>
      </c>
      <c r="Z507" s="11" t="s">
        <v>42</v>
      </c>
      <c r="AA507" s="11" t="s">
        <v>3264</v>
      </c>
    </row>
    <row r="508" spans="1:27">
      <c r="A508" s="11" t="s">
        <v>1938</v>
      </c>
      <c r="B508" s="11" t="s">
        <v>1939</v>
      </c>
      <c r="C508" s="11" t="s">
        <v>27</v>
      </c>
      <c r="D508" s="19">
        <v>13</v>
      </c>
      <c r="E508" s="11" t="s">
        <v>81</v>
      </c>
      <c r="F508" s="11" t="s">
        <v>82</v>
      </c>
      <c r="G508" s="11" t="s">
        <v>58</v>
      </c>
      <c r="H508" s="12">
        <v>46131</v>
      </c>
      <c r="I508" s="12" t="str">
        <f t="shared" si="7"/>
        <v>April</v>
      </c>
      <c r="J508" s="24">
        <v>0.43125000000000002</v>
      </c>
      <c r="K508" s="19">
        <v>8</v>
      </c>
      <c r="L508" s="12">
        <v>46131</v>
      </c>
      <c r="M508" s="24">
        <v>0.88958333333333328</v>
      </c>
      <c r="N508" s="11">
        <v>11</v>
      </c>
      <c r="O508" s="11" t="s">
        <v>34</v>
      </c>
      <c r="P508" s="11" t="s">
        <v>35</v>
      </c>
      <c r="Q508" s="11"/>
      <c r="R508" s="11" t="s">
        <v>36</v>
      </c>
      <c r="S508" s="19">
        <v>20</v>
      </c>
      <c r="T508" s="11" t="s">
        <v>49</v>
      </c>
      <c r="U508" s="11" t="s">
        <v>38</v>
      </c>
      <c r="V508" s="11">
        <v>2</v>
      </c>
      <c r="W508" s="11" t="s">
        <v>89</v>
      </c>
      <c r="X508" s="11" t="s">
        <v>51</v>
      </c>
      <c r="Y508" s="11" t="s">
        <v>109</v>
      </c>
      <c r="Z508" s="11" t="s">
        <v>42</v>
      </c>
      <c r="AA508" s="11" t="s">
        <v>3234</v>
      </c>
    </row>
    <row r="509" spans="1:27">
      <c r="A509" s="11" t="s">
        <v>1942</v>
      </c>
      <c r="B509" s="11" t="s">
        <v>1943</v>
      </c>
      <c r="C509" s="11" t="s">
        <v>56</v>
      </c>
      <c r="D509" s="19">
        <v>16</v>
      </c>
      <c r="E509" s="11" t="s">
        <v>149</v>
      </c>
      <c r="F509" s="11" t="s">
        <v>29</v>
      </c>
      <c r="G509" s="11" t="s">
        <v>168</v>
      </c>
      <c r="H509" s="12">
        <v>46065</v>
      </c>
      <c r="I509" s="12" t="str">
        <f t="shared" si="7"/>
        <v>February</v>
      </c>
      <c r="J509" s="24">
        <v>0.55625000000000002</v>
      </c>
      <c r="K509" s="19">
        <v>6</v>
      </c>
      <c r="L509" s="12">
        <v>46065</v>
      </c>
      <c r="M509" s="24">
        <v>0.84791666666666665</v>
      </c>
      <c r="N509" s="11">
        <v>7</v>
      </c>
      <c r="O509" s="11" t="s">
        <v>34</v>
      </c>
      <c r="P509" s="11" t="s">
        <v>35</v>
      </c>
      <c r="Q509" s="11"/>
      <c r="R509" s="11" t="s">
        <v>36</v>
      </c>
      <c r="S509" s="19">
        <v>40</v>
      </c>
      <c r="T509" s="11" t="s">
        <v>49</v>
      </c>
      <c r="U509" s="11" t="s">
        <v>96</v>
      </c>
      <c r="V509" s="11">
        <v>4</v>
      </c>
      <c r="W509" s="11" t="s">
        <v>62</v>
      </c>
      <c r="X509" s="11" t="s">
        <v>3333</v>
      </c>
      <c r="Y509" s="11" t="s">
        <v>52</v>
      </c>
      <c r="Z509" s="11" t="s">
        <v>71</v>
      </c>
      <c r="AA509" s="11" t="s">
        <v>3234</v>
      </c>
    </row>
    <row r="510" spans="1:27">
      <c r="A510" s="11" t="s">
        <v>1945</v>
      </c>
      <c r="B510" s="11" t="s">
        <v>1946</v>
      </c>
      <c r="C510" s="11" t="s">
        <v>56</v>
      </c>
      <c r="D510" s="19">
        <v>84</v>
      </c>
      <c r="E510" s="11" t="s">
        <v>92</v>
      </c>
      <c r="F510" s="11" t="s">
        <v>29</v>
      </c>
      <c r="G510" s="11" t="s">
        <v>83</v>
      </c>
      <c r="H510" s="12">
        <v>46100</v>
      </c>
      <c r="I510" s="12" t="str">
        <f t="shared" si="7"/>
        <v>March</v>
      </c>
      <c r="J510" s="24">
        <v>0.58819444444444446</v>
      </c>
      <c r="K510" s="19">
        <v>24</v>
      </c>
      <c r="L510" s="12">
        <v>46101</v>
      </c>
      <c r="M510" s="24">
        <v>0.71319444444444446</v>
      </c>
      <c r="N510" s="11">
        <v>27</v>
      </c>
      <c r="O510" s="11" t="s">
        <v>34</v>
      </c>
      <c r="P510" s="11" t="s">
        <v>35</v>
      </c>
      <c r="Q510" s="11"/>
      <c r="R510" s="11" t="s">
        <v>36</v>
      </c>
      <c r="S510" s="19">
        <v>50</v>
      </c>
      <c r="T510" s="11" t="s">
        <v>49</v>
      </c>
      <c r="U510" s="11" t="s">
        <v>164</v>
      </c>
      <c r="V510" s="11">
        <v>5</v>
      </c>
      <c r="W510" s="11" t="s">
        <v>62</v>
      </c>
      <c r="X510" s="11" t="s">
        <v>3334</v>
      </c>
      <c r="Y510" s="11" t="s">
        <v>41</v>
      </c>
      <c r="Z510" s="11" t="s">
        <v>53</v>
      </c>
      <c r="AA510" s="11" t="s">
        <v>3229</v>
      </c>
    </row>
    <row r="511" spans="1:27">
      <c r="A511" s="11" t="s">
        <v>1948</v>
      </c>
      <c r="B511" s="11" t="s">
        <v>1949</v>
      </c>
      <c r="C511" s="11" t="s">
        <v>27</v>
      </c>
      <c r="D511" s="19">
        <v>39</v>
      </c>
      <c r="E511" s="11" t="s">
        <v>149</v>
      </c>
      <c r="F511" s="11" t="s">
        <v>29</v>
      </c>
      <c r="G511" s="11" t="s">
        <v>30</v>
      </c>
      <c r="H511" s="12">
        <v>46156</v>
      </c>
      <c r="I511" s="12" t="str">
        <f t="shared" si="7"/>
        <v>May</v>
      </c>
      <c r="J511" s="24">
        <v>0.3576388888888889</v>
      </c>
      <c r="K511" s="19">
        <v>6</v>
      </c>
      <c r="L511" s="12">
        <v>46156</v>
      </c>
      <c r="M511" s="24">
        <v>0.56597222222222221</v>
      </c>
      <c r="N511" s="11">
        <v>5</v>
      </c>
      <c r="O511" s="11" t="s">
        <v>68</v>
      </c>
      <c r="P511" s="11" t="s">
        <v>35</v>
      </c>
      <c r="Q511" s="11"/>
      <c r="R511" s="11" t="s">
        <v>36</v>
      </c>
      <c r="S511" s="19">
        <v>40</v>
      </c>
      <c r="T511" s="11" t="s">
        <v>49</v>
      </c>
      <c r="U511" s="11" t="s">
        <v>38</v>
      </c>
      <c r="V511" s="11">
        <v>1</v>
      </c>
      <c r="W511" s="11" t="s">
        <v>39</v>
      </c>
      <c r="X511" s="11" t="s">
        <v>3334</v>
      </c>
      <c r="Y511" s="11" t="s">
        <v>52</v>
      </c>
      <c r="Z511" s="11" t="s">
        <v>71</v>
      </c>
      <c r="AA511" s="11" t="str">
        <f>IF(A511=" ", "Missing Value", " ")</f>
        <v xml:space="preserve"> </v>
      </c>
    </row>
    <row r="512" spans="1:27">
      <c r="A512" s="11" t="s">
        <v>1951</v>
      </c>
      <c r="B512" s="11" t="s">
        <v>1952</v>
      </c>
      <c r="C512" s="11" t="s">
        <v>27</v>
      </c>
      <c r="D512" s="19">
        <v>66</v>
      </c>
      <c r="E512" s="11" t="s">
        <v>149</v>
      </c>
      <c r="F512" s="11" t="s">
        <v>29</v>
      </c>
      <c r="G512" s="11" t="s">
        <v>83</v>
      </c>
      <c r="H512" s="12">
        <v>46098</v>
      </c>
      <c r="I512" s="12" t="str">
        <f t="shared" si="7"/>
        <v>March</v>
      </c>
      <c r="J512" s="24">
        <v>0.33680555555555558</v>
      </c>
      <c r="K512" s="19">
        <v>6</v>
      </c>
      <c r="L512" s="12">
        <v>46098</v>
      </c>
      <c r="M512" s="24">
        <v>0.67013888888888884</v>
      </c>
      <c r="N512" s="11">
        <v>8</v>
      </c>
      <c r="O512" s="11" t="s">
        <v>34</v>
      </c>
      <c r="P512" s="11" t="s">
        <v>35</v>
      </c>
      <c r="Q512" s="11"/>
      <c r="R512" s="11" t="s">
        <v>36</v>
      </c>
      <c r="S512" s="19">
        <v>40</v>
      </c>
      <c r="T512" s="11" t="s">
        <v>37</v>
      </c>
      <c r="U512" s="11" t="s">
        <v>96</v>
      </c>
      <c r="V512" s="11">
        <v>2</v>
      </c>
      <c r="W512" s="11" t="s">
        <v>70</v>
      </c>
      <c r="X512" s="11" t="s">
        <v>3333</v>
      </c>
      <c r="Y512" s="11" t="s">
        <v>41</v>
      </c>
      <c r="Z512" s="11" t="s">
        <v>42</v>
      </c>
      <c r="AA512" s="11" t="str">
        <f>IF(A512=" ", "Missing Value", " ")</f>
        <v xml:space="preserve"> </v>
      </c>
    </row>
    <row r="513" spans="1:27">
      <c r="A513" s="11" t="s">
        <v>1953</v>
      </c>
      <c r="B513" s="11" t="s">
        <v>1954</v>
      </c>
      <c r="C513" s="11" t="s">
        <v>56</v>
      </c>
      <c r="D513" s="19">
        <v>42</v>
      </c>
      <c r="E513" s="11" t="s">
        <v>92</v>
      </c>
      <c r="F513" s="11" t="s">
        <v>29</v>
      </c>
      <c r="G513" s="11" t="s">
        <v>93</v>
      </c>
      <c r="H513" s="12">
        <v>46079</v>
      </c>
      <c r="I513" s="12" t="str">
        <f t="shared" si="7"/>
        <v>February</v>
      </c>
      <c r="J513" s="24">
        <v>0.36527777777777776</v>
      </c>
      <c r="K513" s="19">
        <v>24</v>
      </c>
      <c r="L513" s="12">
        <v>46080</v>
      </c>
      <c r="M513" s="24">
        <v>0.49027777777777776</v>
      </c>
      <c r="N513" s="11">
        <v>27</v>
      </c>
      <c r="O513" s="11" t="s">
        <v>34</v>
      </c>
      <c r="P513" s="11" t="s">
        <v>35</v>
      </c>
      <c r="Q513" s="11"/>
      <c r="R513" s="11" t="s">
        <v>36</v>
      </c>
      <c r="S513" s="19">
        <v>50</v>
      </c>
      <c r="T513" s="11" t="s">
        <v>49</v>
      </c>
      <c r="U513" s="11" t="s">
        <v>38</v>
      </c>
      <c r="V513" s="11">
        <v>3</v>
      </c>
      <c r="W513" s="11" t="s">
        <v>62</v>
      </c>
      <c r="X513" s="11" t="s">
        <v>3325</v>
      </c>
      <c r="Y513" s="11" t="s">
        <v>41</v>
      </c>
      <c r="Z513" s="11" t="s">
        <v>71</v>
      </c>
      <c r="AA513" s="11" t="s">
        <v>3229</v>
      </c>
    </row>
    <row r="514" spans="1:27">
      <c r="A514" s="11" t="s">
        <v>1955</v>
      </c>
      <c r="B514" s="11" t="s">
        <v>1956</v>
      </c>
      <c r="C514" s="11" t="s">
        <v>56</v>
      </c>
      <c r="D514" s="19">
        <v>47</v>
      </c>
      <c r="E514" s="11" t="s">
        <v>173</v>
      </c>
      <c r="F514" s="11" t="s">
        <v>29</v>
      </c>
      <c r="G514" s="11" t="s">
        <v>168</v>
      </c>
      <c r="H514" s="12">
        <v>46071</v>
      </c>
      <c r="I514" s="12" t="str">
        <f t="shared" ref="I514:I577" si="8">TEXT(H514, "mmmm")</f>
        <v>February</v>
      </c>
      <c r="J514" s="24">
        <v>0.52222222222222225</v>
      </c>
      <c r="K514" s="19">
        <v>4</v>
      </c>
      <c r="L514" s="12">
        <v>46071</v>
      </c>
      <c r="M514" s="24">
        <v>0.64722222222222225</v>
      </c>
      <c r="N514" s="11">
        <v>3</v>
      </c>
      <c r="O514" s="11" t="s">
        <v>68</v>
      </c>
      <c r="P514" s="11" t="s">
        <v>35</v>
      </c>
      <c r="Q514" s="11"/>
      <c r="R514" s="11" t="s">
        <v>36</v>
      </c>
      <c r="S514" s="19">
        <v>25</v>
      </c>
      <c r="T514" s="11" t="s">
        <v>49</v>
      </c>
      <c r="U514" s="11" t="s">
        <v>96</v>
      </c>
      <c r="V514" s="11">
        <v>3</v>
      </c>
      <c r="W514" s="11" t="s">
        <v>62</v>
      </c>
      <c r="X514" s="11" t="s">
        <v>3325</v>
      </c>
      <c r="Y514" s="11" t="s">
        <v>52</v>
      </c>
      <c r="Z514" s="11" t="s">
        <v>71</v>
      </c>
      <c r="AA514" s="11" t="s">
        <v>3234</v>
      </c>
    </row>
    <row r="515" spans="1:27">
      <c r="A515" s="11" t="s">
        <v>1958</v>
      </c>
      <c r="B515" s="11" t="s">
        <v>1959</v>
      </c>
      <c r="C515" s="11" t="s">
        <v>56</v>
      </c>
      <c r="D515" s="19">
        <v>10</v>
      </c>
      <c r="E515" s="11" t="s">
        <v>92</v>
      </c>
      <c r="F515" s="11" t="s">
        <v>29</v>
      </c>
      <c r="G515" s="11" t="s">
        <v>83</v>
      </c>
      <c r="H515" s="12">
        <v>46090</v>
      </c>
      <c r="I515" s="12" t="str">
        <f t="shared" si="8"/>
        <v>March</v>
      </c>
      <c r="J515" s="24">
        <v>0.42916666666666664</v>
      </c>
      <c r="K515" s="19">
        <v>24</v>
      </c>
      <c r="L515" s="12">
        <v>46091</v>
      </c>
      <c r="M515" s="24">
        <v>0.38750000000000001</v>
      </c>
      <c r="N515" s="11">
        <v>23</v>
      </c>
      <c r="O515" s="11" t="s">
        <v>68</v>
      </c>
      <c r="P515" s="11" t="s">
        <v>35</v>
      </c>
      <c r="Q515" s="11"/>
      <c r="R515" s="11" t="s">
        <v>132</v>
      </c>
      <c r="S515" s="19">
        <v>50</v>
      </c>
      <c r="T515" s="11" t="s">
        <v>37</v>
      </c>
      <c r="U515" s="11" t="s">
        <v>96</v>
      </c>
      <c r="V515" s="11">
        <v>2</v>
      </c>
      <c r="W515" s="11" t="s">
        <v>89</v>
      </c>
      <c r="X515" s="11" t="s">
        <v>3325</v>
      </c>
      <c r="Y515" s="11" t="s">
        <v>52</v>
      </c>
      <c r="Z515" s="11" t="s">
        <v>53</v>
      </c>
      <c r="AA515" s="11" t="s">
        <v>3265</v>
      </c>
    </row>
    <row r="516" spans="1:27">
      <c r="A516" s="11" t="s">
        <v>1961</v>
      </c>
      <c r="B516" s="11" t="s">
        <v>1962</v>
      </c>
      <c r="C516" s="11" t="s">
        <v>27</v>
      </c>
      <c r="D516" s="19">
        <v>52</v>
      </c>
      <c r="E516" s="11" t="s">
        <v>92</v>
      </c>
      <c r="F516" s="11" t="s">
        <v>29</v>
      </c>
      <c r="G516" s="11" t="s">
        <v>83</v>
      </c>
      <c r="H516" s="12">
        <v>46098</v>
      </c>
      <c r="I516" s="12" t="str">
        <f t="shared" si="8"/>
        <v>March</v>
      </c>
      <c r="J516" s="24">
        <v>0.44166666666666665</v>
      </c>
      <c r="K516" s="19">
        <v>24</v>
      </c>
      <c r="L516" s="12">
        <v>46099</v>
      </c>
      <c r="M516" s="24">
        <v>0.4</v>
      </c>
      <c r="N516" s="11">
        <v>23</v>
      </c>
      <c r="O516" s="11" t="s">
        <v>68</v>
      </c>
      <c r="P516" s="11" t="s">
        <v>35</v>
      </c>
      <c r="Q516" s="11"/>
      <c r="R516" s="11" t="s">
        <v>36</v>
      </c>
      <c r="S516" s="19">
        <v>50</v>
      </c>
      <c r="T516" s="11" t="s">
        <v>49</v>
      </c>
      <c r="U516" s="11" t="s">
        <v>38</v>
      </c>
      <c r="V516" s="11">
        <v>2</v>
      </c>
      <c r="W516" s="11" t="s">
        <v>62</v>
      </c>
      <c r="X516" s="11" t="s">
        <v>3333</v>
      </c>
      <c r="Y516" s="11" t="s">
        <v>109</v>
      </c>
      <c r="Z516" s="11" t="s">
        <v>42</v>
      </c>
      <c r="AA516" s="11" t="s">
        <v>3234</v>
      </c>
    </row>
    <row r="517" spans="1:27">
      <c r="A517" s="11" t="s">
        <v>1965</v>
      </c>
      <c r="B517" s="11" t="s">
        <v>1966</v>
      </c>
      <c r="C517" s="11" t="s">
        <v>27</v>
      </c>
      <c r="D517" s="19">
        <v>8</v>
      </c>
      <c r="E517" s="11" t="s">
        <v>92</v>
      </c>
      <c r="F517" s="11" t="s">
        <v>29</v>
      </c>
      <c r="G517" s="11" t="s">
        <v>93</v>
      </c>
      <c r="H517" s="12">
        <v>46148</v>
      </c>
      <c r="I517" s="12" t="str">
        <f t="shared" si="8"/>
        <v>May</v>
      </c>
      <c r="J517" s="24">
        <v>0.62638888888888888</v>
      </c>
      <c r="K517" s="19">
        <v>24</v>
      </c>
      <c r="L517" s="12">
        <v>46149</v>
      </c>
      <c r="M517" s="24">
        <v>0.66805555555555551</v>
      </c>
      <c r="N517" s="11">
        <v>25</v>
      </c>
      <c r="O517" s="11" t="s">
        <v>34</v>
      </c>
      <c r="P517" s="11" t="s">
        <v>35</v>
      </c>
      <c r="Q517" s="11"/>
      <c r="R517" s="11" t="s">
        <v>36</v>
      </c>
      <c r="S517" s="19">
        <v>50</v>
      </c>
      <c r="T517" s="11" t="s">
        <v>49</v>
      </c>
      <c r="U517" s="11" t="s">
        <v>96</v>
      </c>
      <c r="V517" s="11">
        <v>2</v>
      </c>
      <c r="W517" s="11" t="s">
        <v>70</v>
      </c>
      <c r="X517" s="11" t="s">
        <v>3333</v>
      </c>
      <c r="Y517" s="11" t="s">
        <v>52</v>
      </c>
      <c r="Z517" s="11" t="s">
        <v>42</v>
      </c>
      <c r="AA517" s="11" t="s">
        <v>3233</v>
      </c>
    </row>
    <row r="518" spans="1:27">
      <c r="A518" s="11" t="s">
        <v>1967</v>
      </c>
      <c r="B518" s="11" t="s">
        <v>1968</v>
      </c>
      <c r="C518" s="11" t="s">
        <v>27</v>
      </c>
      <c r="D518" s="19">
        <v>12</v>
      </c>
      <c r="E518" s="11" t="s">
        <v>92</v>
      </c>
      <c r="F518" s="11" t="s">
        <v>29</v>
      </c>
      <c r="G518" s="11" t="s">
        <v>93</v>
      </c>
      <c r="H518" s="12">
        <v>46123</v>
      </c>
      <c r="I518" s="12" t="str">
        <f t="shared" si="8"/>
        <v>April</v>
      </c>
      <c r="J518" s="24">
        <v>0.66527777777777775</v>
      </c>
      <c r="K518" s="19">
        <v>24</v>
      </c>
      <c r="L518" s="12">
        <v>46124</v>
      </c>
      <c r="M518" s="24">
        <v>0.79027777777777775</v>
      </c>
      <c r="N518" s="11">
        <v>27</v>
      </c>
      <c r="O518" s="11" t="s">
        <v>34</v>
      </c>
      <c r="P518" s="11" t="s">
        <v>35</v>
      </c>
      <c r="Q518" s="11"/>
      <c r="R518" s="11" t="s">
        <v>36</v>
      </c>
      <c r="S518" s="19">
        <v>50</v>
      </c>
      <c r="T518" s="11" t="s">
        <v>37</v>
      </c>
      <c r="U518" s="11" t="s">
        <v>96</v>
      </c>
      <c r="V518" s="11">
        <v>4</v>
      </c>
      <c r="W518" s="11" t="s">
        <v>89</v>
      </c>
      <c r="X518" s="11" t="s">
        <v>51</v>
      </c>
      <c r="Y518" s="11" t="s">
        <v>52</v>
      </c>
      <c r="Z518" s="11" t="s">
        <v>53</v>
      </c>
      <c r="AA518" s="11" t="s">
        <v>3233</v>
      </c>
    </row>
    <row r="519" spans="1:27">
      <c r="A519" s="11" t="s">
        <v>1971</v>
      </c>
      <c r="B519" s="11" t="s">
        <v>1972</v>
      </c>
      <c r="C519" s="11" t="s">
        <v>27</v>
      </c>
      <c r="D519" s="19">
        <v>15</v>
      </c>
      <c r="E519" s="11" t="s">
        <v>28</v>
      </c>
      <c r="F519" s="11" t="s">
        <v>29</v>
      </c>
      <c r="G519" s="11" t="s">
        <v>83</v>
      </c>
      <c r="H519" s="12">
        <v>46128</v>
      </c>
      <c r="I519" s="12" t="str">
        <f t="shared" si="8"/>
        <v>April</v>
      </c>
      <c r="J519" s="24">
        <v>0.48055555555555557</v>
      </c>
      <c r="K519" s="19">
        <v>5</v>
      </c>
      <c r="L519" s="12">
        <v>46128</v>
      </c>
      <c r="M519" s="24">
        <v>0.64722222222222225</v>
      </c>
      <c r="N519" s="11">
        <v>4</v>
      </c>
      <c r="O519" s="11" t="s">
        <v>68</v>
      </c>
      <c r="P519" s="11" t="s">
        <v>35</v>
      </c>
      <c r="Q519" s="11"/>
      <c r="R519" s="11" t="s">
        <v>132</v>
      </c>
      <c r="S519" s="19">
        <v>35</v>
      </c>
      <c r="T519" s="11" t="s">
        <v>49</v>
      </c>
      <c r="U519" s="11" t="s">
        <v>38</v>
      </c>
      <c r="V519" s="11">
        <v>4</v>
      </c>
      <c r="W519" s="11" t="s">
        <v>39</v>
      </c>
      <c r="X519" s="11" t="s">
        <v>3325</v>
      </c>
      <c r="Y519" s="11" t="s">
        <v>109</v>
      </c>
      <c r="Z519" s="11" t="s">
        <v>53</v>
      </c>
      <c r="AA519" s="11" t="s">
        <v>3264</v>
      </c>
    </row>
    <row r="520" spans="1:27">
      <c r="A520" s="11" t="s">
        <v>1974</v>
      </c>
      <c r="B520" s="11" t="s">
        <v>1975</v>
      </c>
      <c r="C520" s="11" t="s">
        <v>56</v>
      </c>
      <c r="D520" s="19">
        <v>78</v>
      </c>
      <c r="E520" s="11" t="s">
        <v>57</v>
      </c>
      <c r="F520" s="11" t="s">
        <v>29</v>
      </c>
      <c r="G520" s="11" t="s">
        <v>168</v>
      </c>
      <c r="H520" s="12">
        <v>46149</v>
      </c>
      <c r="I520" s="12" t="str">
        <f t="shared" si="8"/>
        <v>May</v>
      </c>
      <c r="J520" s="24">
        <v>0.51944444444444449</v>
      </c>
      <c r="K520" s="19">
        <v>3</v>
      </c>
      <c r="L520" s="12">
        <v>46149</v>
      </c>
      <c r="M520" s="24">
        <v>0.85277777777777775</v>
      </c>
      <c r="N520" s="11">
        <v>8</v>
      </c>
      <c r="O520" s="11" t="s">
        <v>34</v>
      </c>
      <c r="P520" s="11" t="s">
        <v>270</v>
      </c>
      <c r="Q520" s="11" t="s">
        <v>271</v>
      </c>
      <c r="R520" s="11" t="s">
        <v>36</v>
      </c>
      <c r="S520" s="19">
        <v>15</v>
      </c>
      <c r="T520" s="11" t="s">
        <v>49</v>
      </c>
      <c r="U520" s="11" t="s">
        <v>164</v>
      </c>
      <c r="V520" s="11">
        <v>1</v>
      </c>
      <c r="W520" s="11" t="s">
        <v>62</v>
      </c>
      <c r="X520" s="11" t="s">
        <v>51</v>
      </c>
      <c r="Y520" s="11" t="s">
        <v>52</v>
      </c>
      <c r="Z520" s="11" t="s">
        <v>42</v>
      </c>
      <c r="AA520" s="11" t="s">
        <v>3254</v>
      </c>
    </row>
    <row r="521" spans="1:27">
      <c r="A521" s="11" t="s">
        <v>1977</v>
      </c>
      <c r="B521" s="11" t="s">
        <v>1978</v>
      </c>
      <c r="C521" s="11" t="s">
        <v>56</v>
      </c>
      <c r="D521" s="19">
        <v>63</v>
      </c>
      <c r="E521" s="11" t="s">
        <v>81</v>
      </c>
      <c r="F521" s="11" t="s">
        <v>82</v>
      </c>
      <c r="G521" s="11" t="s">
        <v>58</v>
      </c>
      <c r="H521" s="12">
        <v>46058</v>
      </c>
      <c r="I521" s="12" t="str">
        <f t="shared" si="8"/>
        <v>February</v>
      </c>
      <c r="J521" s="24">
        <v>0.44444444444444442</v>
      </c>
      <c r="K521" s="19">
        <v>8</v>
      </c>
      <c r="L521" s="12">
        <v>46058</v>
      </c>
      <c r="M521" s="24">
        <v>0.86111111111111116</v>
      </c>
      <c r="N521" s="11">
        <v>10</v>
      </c>
      <c r="O521" s="11" t="s">
        <v>34</v>
      </c>
      <c r="P521" s="11" t="s">
        <v>35</v>
      </c>
      <c r="Q521" s="11"/>
      <c r="R521" s="11" t="s">
        <v>36</v>
      </c>
      <c r="S521" s="19">
        <v>20</v>
      </c>
      <c r="T521" s="11" t="s">
        <v>49</v>
      </c>
      <c r="U521" s="11" t="s">
        <v>96</v>
      </c>
      <c r="V521" s="11">
        <v>5</v>
      </c>
      <c r="W521" s="11" t="s">
        <v>89</v>
      </c>
      <c r="X521" s="11" t="s">
        <v>3325</v>
      </c>
      <c r="Y521" s="11" t="s">
        <v>109</v>
      </c>
      <c r="Z521" s="11" t="s">
        <v>53</v>
      </c>
      <c r="AA521" s="11" t="s">
        <v>3234</v>
      </c>
    </row>
    <row r="522" spans="1:27">
      <c r="A522" s="11" t="s">
        <v>1980</v>
      </c>
      <c r="B522" s="11" t="s">
        <v>1981</v>
      </c>
      <c r="C522" s="11" t="s">
        <v>27</v>
      </c>
      <c r="D522" s="19">
        <v>79</v>
      </c>
      <c r="E522" s="11" t="s">
        <v>149</v>
      </c>
      <c r="F522" s="11" t="s">
        <v>29</v>
      </c>
      <c r="G522" s="11" t="s">
        <v>83</v>
      </c>
      <c r="H522" s="12">
        <v>46122</v>
      </c>
      <c r="I522" s="12" t="str">
        <f t="shared" si="8"/>
        <v>April</v>
      </c>
      <c r="J522" s="24">
        <v>0.30833333333333335</v>
      </c>
      <c r="K522" s="19">
        <v>6</v>
      </c>
      <c r="L522" s="12">
        <v>46122</v>
      </c>
      <c r="M522" s="24">
        <v>0.51666666666666672</v>
      </c>
      <c r="N522" s="11">
        <v>5</v>
      </c>
      <c r="O522" s="11" t="s">
        <v>68</v>
      </c>
      <c r="P522" s="11" t="s">
        <v>270</v>
      </c>
      <c r="Q522" s="11" t="s">
        <v>677</v>
      </c>
      <c r="R522" s="11" t="s">
        <v>36</v>
      </c>
      <c r="S522" s="19">
        <v>40</v>
      </c>
      <c r="T522" s="11" t="s">
        <v>49</v>
      </c>
      <c r="U522" s="11" t="s">
        <v>96</v>
      </c>
      <c r="V522" s="11">
        <v>2</v>
      </c>
      <c r="W522" s="11" t="s">
        <v>39</v>
      </c>
      <c r="X522" s="11" t="s">
        <v>3333</v>
      </c>
      <c r="Y522" s="11" t="s">
        <v>52</v>
      </c>
      <c r="Z522" s="11" t="s">
        <v>42</v>
      </c>
      <c r="AA522" s="11" t="s">
        <v>3254</v>
      </c>
    </row>
    <row r="523" spans="1:27">
      <c r="A523" s="11" t="s">
        <v>1983</v>
      </c>
      <c r="B523" s="11" t="s">
        <v>1984</v>
      </c>
      <c r="C523" s="11" t="s">
        <v>56</v>
      </c>
      <c r="D523" s="19">
        <v>90</v>
      </c>
      <c r="E523" s="11" t="s">
        <v>149</v>
      </c>
      <c r="F523" s="11" t="s">
        <v>29</v>
      </c>
      <c r="G523" s="11" t="s">
        <v>30</v>
      </c>
      <c r="H523" s="12">
        <v>46047</v>
      </c>
      <c r="I523" s="12" t="str">
        <f t="shared" si="8"/>
        <v>January</v>
      </c>
      <c r="J523" s="24">
        <v>0.54513888888888884</v>
      </c>
      <c r="K523" s="19">
        <v>6</v>
      </c>
      <c r="L523" s="12">
        <v>46047</v>
      </c>
      <c r="M523" s="24">
        <v>0.83680555555555558</v>
      </c>
      <c r="N523" s="11">
        <v>7</v>
      </c>
      <c r="O523" s="11" t="s">
        <v>34</v>
      </c>
      <c r="P523" s="11" t="s">
        <v>35</v>
      </c>
      <c r="Q523" s="11"/>
      <c r="R523" s="11" t="s">
        <v>36</v>
      </c>
      <c r="S523" s="19">
        <v>40</v>
      </c>
      <c r="T523" s="11" t="s">
        <v>49</v>
      </c>
      <c r="U523" s="11" t="s">
        <v>96</v>
      </c>
      <c r="V523" s="11">
        <v>2</v>
      </c>
      <c r="W523" s="11" t="s">
        <v>62</v>
      </c>
      <c r="X523" s="11" t="s">
        <v>3334</v>
      </c>
      <c r="Y523" s="11" t="s">
        <v>41</v>
      </c>
      <c r="Z523" s="11" t="s">
        <v>71</v>
      </c>
      <c r="AA523" s="11" t="str">
        <f>IF(A523=" ", "Missing Value", " ")</f>
        <v xml:space="preserve"> </v>
      </c>
    </row>
    <row r="524" spans="1:27">
      <c r="A524" s="11" t="s">
        <v>1986</v>
      </c>
      <c r="B524" s="11" t="s">
        <v>1987</v>
      </c>
      <c r="C524" s="11" t="s">
        <v>27</v>
      </c>
      <c r="D524" s="19">
        <v>28</v>
      </c>
      <c r="E524" s="11" t="s">
        <v>173</v>
      </c>
      <c r="F524" s="11" t="s">
        <v>29</v>
      </c>
      <c r="G524" s="11" t="s">
        <v>168</v>
      </c>
      <c r="H524" s="12">
        <v>46102</v>
      </c>
      <c r="I524" s="12" t="str">
        <f t="shared" si="8"/>
        <v>March</v>
      </c>
      <c r="J524" s="24">
        <v>0.68472222222222223</v>
      </c>
      <c r="K524" s="19">
        <v>4</v>
      </c>
      <c r="L524" s="12">
        <v>46102</v>
      </c>
      <c r="M524" s="24">
        <v>0.8930555555555556</v>
      </c>
      <c r="N524" s="11">
        <v>5</v>
      </c>
      <c r="O524" s="11" t="s">
        <v>34</v>
      </c>
      <c r="P524" s="11" t="s">
        <v>35</v>
      </c>
      <c r="Q524" s="11"/>
      <c r="R524" s="11" t="s">
        <v>36</v>
      </c>
      <c r="S524" s="19">
        <v>25</v>
      </c>
      <c r="T524" s="11" t="s">
        <v>49</v>
      </c>
      <c r="U524" s="11" t="s">
        <v>164</v>
      </c>
      <c r="V524" s="11">
        <v>5</v>
      </c>
      <c r="W524" s="11" t="s">
        <v>70</v>
      </c>
      <c r="X524" s="11" t="s">
        <v>3333</v>
      </c>
      <c r="Y524" s="11" t="s">
        <v>52</v>
      </c>
      <c r="Z524" s="11" t="s">
        <v>53</v>
      </c>
      <c r="AA524" s="11" t="s">
        <v>3234</v>
      </c>
    </row>
    <row r="525" spans="1:27">
      <c r="A525" s="11" t="s">
        <v>1989</v>
      </c>
      <c r="B525" s="11" t="s">
        <v>1990</v>
      </c>
      <c r="C525" s="11" t="s">
        <v>27</v>
      </c>
      <c r="D525" s="19">
        <v>79</v>
      </c>
      <c r="E525" s="11" t="s">
        <v>57</v>
      </c>
      <c r="F525" s="11" t="s">
        <v>29</v>
      </c>
      <c r="G525" s="11" t="s">
        <v>58</v>
      </c>
      <c r="H525" s="12">
        <v>46083</v>
      </c>
      <c r="I525" s="12" t="str">
        <f t="shared" si="8"/>
        <v>March</v>
      </c>
      <c r="J525" s="24">
        <v>0.48055555555555557</v>
      </c>
      <c r="K525" s="19">
        <v>3</v>
      </c>
      <c r="L525" s="12">
        <v>46083</v>
      </c>
      <c r="M525" s="24">
        <v>0.56388888888888888</v>
      </c>
      <c r="N525" s="11">
        <v>2</v>
      </c>
      <c r="O525" s="11" t="s">
        <v>68</v>
      </c>
      <c r="P525" s="11" t="s">
        <v>35</v>
      </c>
      <c r="Q525" s="11"/>
      <c r="R525" s="11" t="s">
        <v>36</v>
      </c>
      <c r="S525" s="19">
        <v>-20</v>
      </c>
      <c r="T525" s="11" t="s">
        <v>37</v>
      </c>
      <c r="U525" s="11" t="s">
        <v>38</v>
      </c>
      <c r="V525" s="11">
        <v>2</v>
      </c>
      <c r="W525" s="11" t="s">
        <v>70</v>
      </c>
      <c r="X525" s="11" t="s">
        <v>3334</v>
      </c>
      <c r="Y525" s="11" t="s">
        <v>109</v>
      </c>
      <c r="Z525" s="11" t="s">
        <v>42</v>
      </c>
      <c r="AA525" s="11"/>
    </row>
    <row r="526" spans="1:27">
      <c r="A526" s="11" t="s">
        <v>1991</v>
      </c>
      <c r="B526" s="11" t="s">
        <v>1992</v>
      </c>
      <c r="C526" s="11" t="s">
        <v>27</v>
      </c>
      <c r="D526" s="19">
        <v>28</v>
      </c>
      <c r="E526" s="11" t="s">
        <v>173</v>
      </c>
      <c r="F526" s="11" t="s">
        <v>29</v>
      </c>
      <c r="G526" s="11" t="s">
        <v>83</v>
      </c>
      <c r="H526" s="12">
        <v>46071</v>
      </c>
      <c r="I526" s="12" t="str">
        <f t="shared" si="8"/>
        <v>February</v>
      </c>
      <c r="J526" s="24">
        <v>0.69166666666666665</v>
      </c>
      <c r="K526" s="19">
        <v>4</v>
      </c>
      <c r="L526" s="12">
        <v>46071</v>
      </c>
      <c r="M526" s="24">
        <v>0.9</v>
      </c>
      <c r="N526" s="11">
        <v>5</v>
      </c>
      <c r="O526" s="11" t="s">
        <v>34</v>
      </c>
      <c r="P526" s="11" t="s">
        <v>35</v>
      </c>
      <c r="Q526" s="11"/>
      <c r="R526" s="11" t="s">
        <v>36</v>
      </c>
      <c r="S526" s="19">
        <v>25</v>
      </c>
      <c r="T526" s="11" t="s">
        <v>49</v>
      </c>
      <c r="U526" s="11" t="s">
        <v>164</v>
      </c>
      <c r="V526" s="11">
        <v>5</v>
      </c>
      <c r="W526" s="11" t="s">
        <v>62</v>
      </c>
      <c r="X526" s="11" t="s">
        <v>51</v>
      </c>
      <c r="Y526" s="11" t="s">
        <v>109</v>
      </c>
      <c r="Z526" s="11" t="s">
        <v>53</v>
      </c>
      <c r="AA526" s="11" t="s">
        <v>3234</v>
      </c>
    </row>
    <row r="527" spans="1:27">
      <c r="A527" s="11" t="s">
        <v>1994</v>
      </c>
      <c r="B527" s="11" t="s">
        <v>1995</v>
      </c>
      <c r="C527" s="11" t="s">
        <v>27</v>
      </c>
      <c r="D527" s="19">
        <v>75</v>
      </c>
      <c r="E527" s="11" t="s">
        <v>28</v>
      </c>
      <c r="F527" s="11" t="s">
        <v>29</v>
      </c>
      <c r="G527" s="11" t="s">
        <v>30</v>
      </c>
      <c r="H527" s="12">
        <v>46188</v>
      </c>
      <c r="I527" s="12" t="str">
        <f t="shared" si="8"/>
        <v>June</v>
      </c>
      <c r="J527" s="24">
        <v>0.44097222222222221</v>
      </c>
      <c r="K527" s="19">
        <v>5</v>
      </c>
      <c r="L527" s="12">
        <v>46188</v>
      </c>
      <c r="M527" s="24">
        <v>0.98263888888888884</v>
      </c>
      <c r="N527" s="11">
        <v>13</v>
      </c>
      <c r="O527" s="11" t="s">
        <v>34</v>
      </c>
      <c r="P527" s="11" t="s">
        <v>35</v>
      </c>
      <c r="Q527" s="11"/>
      <c r="R527" s="11" t="s">
        <v>36</v>
      </c>
      <c r="S527" s="19">
        <v>35</v>
      </c>
      <c r="T527" s="11" t="s">
        <v>37</v>
      </c>
      <c r="U527" s="11" t="s">
        <v>38</v>
      </c>
      <c r="V527" s="11">
        <v>1</v>
      </c>
      <c r="W527" s="11" t="s">
        <v>89</v>
      </c>
      <c r="X527" s="11" t="s">
        <v>3325</v>
      </c>
      <c r="Y527" s="11" t="s">
        <v>52</v>
      </c>
      <c r="Z527" s="11" t="s">
        <v>71</v>
      </c>
      <c r="AA527" s="11" t="str">
        <f>IF(A527=" ", "Missing Value", " ")</f>
        <v xml:space="preserve"> </v>
      </c>
    </row>
    <row r="528" spans="1:27">
      <c r="A528" s="11" t="s">
        <v>1996</v>
      </c>
      <c r="B528" s="11" t="s">
        <v>1997</v>
      </c>
      <c r="C528" s="11" t="s">
        <v>56</v>
      </c>
      <c r="D528" s="19">
        <v>39</v>
      </c>
      <c r="E528" s="11" t="s">
        <v>149</v>
      </c>
      <c r="F528" s="11" t="s">
        <v>29</v>
      </c>
      <c r="G528" s="11" t="s">
        <v>93</v>
      </c>
      <c r="H528" s="12">
        <v>46147</v>
      </c>
      <c r="I528" s="12" t="str">
        <f t="shared" si="8"/>
        <v>May</v>
      </c>
      <c r="J528" s="24">
        <v>0.65069444444444446</v>
      </c>
      <c r="K528" s="19">
        <v>6</v>
      </c>
      <c r="L528" s="12">
        <v>46148</v>
      </c>
      <c r="M528" s="24">
        <v>0.10902777777777778</v>
      </c>
      <c r="N528" s="11">
        <v>11</v>
      </c>
      <c r="O528" s="11" t="s">
        <v>34</v>
      </c>
      <c r="P528" s="11" t="s">
        <v>35</v>
      </c>
      <c r="Q528" s="11"/>
      <c r="R528" s="11" t="s">
        <v>36</v>
      </c>
      <c r="S528" s="19">
        <v>40</v>
      </c>
      <c r="T528" s="11" t="s">
        <v>49</v>
      </c>
      <c r="U528" s="11" t="s">
        <v>96</v>
      </c>
      <c r="V528" s="11">
        <v>1</v>
      </c>
      <c r="W528" s="11" t="s">
        <v>62</v>
      </c>
      <c r="X528" s="11" t="s">
        <v>3333</v>
      </c>
      <c r="Y528" s="11" t="s">
        <v>52</v>
      </c>
      <c r="Z528" s="11" t="s">
        <v>71</v>
      </c>
      <c r="AA528" s="11" t="s">
        <v>3234</v>
      </c>
    </row>
    <row r="529" spans="1:27">
      <c r="A529" s="11" t="s">
        <v>1999</v>
      </c>
      <c r="B529" s="11" t="s">
        <v>2000</v>
      </c>
      <c r="C529" s="11" t="s">
        <v>56</v>
      </c>
      <c r="D529" s="19">
        <v>56</v>
      </c>
      <c r="E529" s="11" t="s">
        <v>173</v>
      </c>
      <c r="F529" s="11" t="s">
        <v>29</v>
      </c>
      <c r="G529" s="11" t="s">
        <v>30</v>
      </c>
      <c r="H529" s="12">
        <v>46081</v>
      </c>
      <c r="I529" s="12" t="str">
        <f t="shared" si="8"/>
        <v>February</v>
      </c>
      <c r="J529" s="24">
        <v>0.5708333333333333</v>
      </c>
      <c r="K529" s="19">
        <v>4</v>
      </c>
      <c r="L529" s="12">
        <v>46081</v>
      </c>
      <c r="M529" s="24">
        <v>0.77916666666666667</v>
      </c>
      <c r="N529" s="11">
        <v>5</v>
      </c>
      <c r="O529" s="11" t="s">
        <v>34</v>
      </c>
      <c r="P529" s="11" t="s">
        <v>35</v>
      </c>
      <c r="Q529" s="11"/>
      <c r="R529" s="11" t="s">
        <v>36</v>
      </c>
      <c r="S529" s="19">
        <v>25</v>
      </c>
      <c r="T529" s="11" t="s">
        <v>37</v>
      </c>
      <c r="U529" s="11" t="s">
        <v>164</v>
      </c>
      <c r="V529" s="11">
        <v>4</v>
      </c>
      <c r="W529" s="11" t="s">
        <v>70</v>
      </c>
      <c r="X529" s="11" t="s">
        <v>51</v>
      </c>
      <c r="Y529" s="11" t="s">
        <v>109</v>
      </c>
      <c r="Z529" s="11" t="s">
        <v>53</v>
      </c>
      <c r="AA529" s="11" t="s">
        <v>3234</v>
      </c>
    </row>
    <row r="530" spans="1:27">
      <c r="A530" s="11" t="s">
        <v>2002</v>
      </c>
      <c r="B530" s="11" t="s">
        <v>2003</v>
      </c>
      <c r="C530" s="11" t="s">
        <v>56</v>
      </c>
      <c r="D530" s="19">
        <v>76</v>
      </c>
      <c r="E530" s="11" t="s">
        <v>92</v>
      </c>
      <c r="F530" s="11" t="s">
        <v>29</v>
      </c>
      <c r="G530" s="11" t="s">
        <v>30</v>
      </c>
      <c r="H530" s="12">
        <v>46094</v>
      </c>
      <c r="I530" s="12" t="str">
        <f t="shared" si="8"/>
        <v>March</v>
      </c>
      <c r="J530" s="24">
        <v>0.55625000000000002</v>
      </c>
      <c r="K530" s="19">
        <v>24</v>
      </c>
      <c r="L530" s="12">
        <v>46095</v>
      </c>
      <c r="M530" s="24">
        <v>0.63958333333333328</v>
      </c>
      <c r="N530" s="11">
        <v>26</v>
      </c>
      <c r="O530" s="11" t="s">
        <v>34</v>
      </c>
      <c r="P530" s="11" t="s">
        <v>35</v>
      </c>
      <c r="Q530" s="11"/>
      <c r="R530" s="11" t="s">
        <v>36</v>
      </c>
      <c r="S530" s="19">
        <v>50</v>
      </c>
      <c r="T530" s="11" t="s">
        <v>37</v>
      </c>
      <c r="U530" s="11" t="s">
        <v>164</v>
      </c>
      <c r="V530" s="11">
        <v>1</v>
      </c>
      <c r="W530" s="11" t="s">
        <v>62</v>
      </c>
      <c r="X530" s="11" t="s">
        <v>3333</v>
      </c>
      <c r="Y530" s="11" t="s">
        <v>109</v>
      </c>
      <c r="Z530" s="11" t="s">
        <v>53</v>
      </c>
      <c r="AA530" s="11" t="s">
        <v>3246</v>
      </c>
    </row>
    <row r="531" spans="1:27">
      <c r="A531" s="11" t="s">
        <v>2004</v>
      </c>
      <c r="B531" s="11" t="s">
        <v>2005</v>
      </c>
      <c r="C531" s="11" t="s">
        <v>56</v>
      </c>
      <c r="D531" s="19">
        <v>4</v>
      </c>
      <c r="E531" s="11" t="s">
        <v>149</v>
      </c>
      <c r="F531" s="11" t="s">
        <v>29</v>
      </c>
      <c r="G531" s="11" t="s">
        <v>30</v>
      </c>
      <c r="H531" s="12">
        <v>46066</v>
      </c>
      <c r="I531" s="12" t="str">
        <f t="shared" si="8"/>
        <v>February</v>
      </c>
      <c r="J531" s="24">
        <v>0.44444444444444442</v>
      </c>
      <c r="K531" s="19">
        <v>6</v>
      </c>
      <c r="L531" s="12">
        <v>46066</v>
      </c>
      <c r="M531" s="24">
        <v>0.65277777777777779</v>
      </c>
      <c r="N531" s="11">
        <v>5</v>
      </c>
      <c r="O531" s="11" t="s">
        <v>68</v>
      </c>
      <c r="P531" s="11" t="s">
        <v>35</v>
      </c>
      <c r="Q531" s="11"/>
      <c r="R531" s="11" t="s">
        <v>36</v>
      </c>
      <c r="S531" s="19">
        <v>40</v>
      </c>
      <c r="T531" s="11" t="s">
        <v>37</v>
      </c>
      <c r="U531" s="11" t="s">
        <v>164</v>
      </c>
      <c r="V531" s="11">
        <v>3</v>
      </c>
      <c r="W531" s="11" t="s">
        <v>89</v>
      </c>
      <c r="X531" s="11" t="s">
        <v>3333</v>
      </c>
      <c r="Y531" s="11" t="s">
        <v>41</v>
      </c>
      <c r="Z531" s="11" t="s">
        <v>53</v>
      </c>
      <c r="AA531" s="11" t="str">
        <f>IF(A531=" ", "Missing Value", " ")</f>
        <v xml:space="preserve"> </v>
      </c>
    </row>
    <row r="532" spans="1:27">
      <c r="A532" s="11" t="s">
        <v>2006</v>
      </c>
      <c r="B532" s="11" t="s">
        <v>2007</v>
      </c>
      <c r="C532" s="11" t="s">
        <v>27</v>
      </c>
      <c r="D532" s="19">
        <v>83</v>
      </c>
      <c r="E532" s="11" t="s">
        <v>173</v>
      </c>
      <c r="F532" s="11" t="s">
        <v>29</v>
      </c>
      <c r="G532" s="11" t="s">
        <v>30</v>
      </c>
      <c r="H532" s="12">
        <v>46072</v>
      </c>
      <c r="I532" s="12" t="str">
        <f t="shared" si="8"/>
        <v>February</v>
      </c>
      <c r="J532" s="24">
        <v>0.60624999999999996</v>
      </c>
      <c r="K532" s="19">
        <v>4</v>
      </c>
      <c r="L532" s="12">
        <v>46073</v>
      </c>
      <c r="M532" s="24">
        <v>2.2916666666666665E-2</v>
      </c>
      <c r="N532" s="11">
        <v>10</v>
      </c>
      <c r="O532" s="11" t="s">
        <v>34</v>
      </c>
      <c r="P532" s="11" t="s">
        <v>35</v>
      </c>
      <c r="Q532" s="11"/>
      <c r="R532" s="11" t="s">
        <v>36</v>
      </c>
      <c r="S532" s="19"/>
      <c r="T532" s="11" t="s">
        <v>49</v>
      </c>
      <c r="U532" s="11" t="s">
        <v>38</v>
      </c>
      <c r="V532" s="11">
        <v>1</v>
      </c>
      <c r="W532" s="11" t="s">
        <v>62</v>
      </c>
      <c r="X532" s="11" t="s">
        <v>3334</v>
      </c>
      <c r="Y532" s="11" t="s">
        <v>52</v>
      </c>
      <c r="Z532" s="11" t="s">
        <v>71</v>
      </c>
      <c r="AA532" s="11" t="s">
        <v>3234</v>
      </c>
    </row>
    <row r="533" spans="1:27">
      <c r="A533" s="11" t="s">
        <v>2008</v>
      </c>
      <c r="B533" s="11" t="s">
        <v>2009</v>
      </c>
      <c r="C533" s="11" t="s">
        <v>56</v>
      </c>
      <c r="D533" s="19">
        <v>78</v>
      </c>
      <c r="E533" s="11" t="s">
        <v>81</v>
      </c>
      <c r="F533" s="11" t="s">
        <v>82</v>
      </c>
      <c r="G533" s="11" t="s">
        <v>83</v>
      </c>
      <c r="H533" s="12">
        <v>46056</v>
      </c>
      <c r="I533" s="12" t="str">
        <f t="shared" si="8"/>
        <v>February</v>
      </c>
      <c r="J533" s="24">
        <v>0.56666666666666665</v>
      </c>
      <c r="K533" s="19">
        <v>8</v>
      </c>
      <c r="L533" s="12">
        <v>46057</v>
      </c>
      <c r="M533" s="24">
        <v>6.6666666666666666E-2</v>
      </c>
      <c r="N533" s="11">
        <v>12</v>
      </c>
      <c r="O533" s="11" t="s">
        <v>34</v>
      </c>
      <c r="P533" s="11" t="s">
        <v>35</v>
      </c>
      <c r="Q533" s="11"/>
      <c r="R533" s="11" t="s">
        <v>132</v>
      </c>
      <c r="S533" s="19">
        <v>20</v>
      </c>
      <c r="T533" s="11" t="s">
        <v>49</v>
      </c>
      <c r="U533" s="11" t="s">
        <v>164</v>
      </c>
      <c r="V533" s="11">
        <v>5</v>
      </c>
      <c r="W533" s="11" t="s">
        <v>62</v>
      </c>
      <c r="X533" s="11" t="s">
        <v>51</v>
      </c>
      <c r="Y533" s="11" t="s">
        <v>52</v>
      </c>
      <c r="Z533" s="11" t="s">
        <v>53</v>
      </c>
      <c r="AA533" s="11" t="s">
        <v>3262</v>
      </c>
    </row>
    <row r="534" spans="1:27">
      <c r="A534" s="11" t="s">
        <v>2011</v>
      </c>
      <c r="B534" s="11" t="s">
        <v>2012</v>
      </c>
      <c r="C534" s="11" t="s">
        <v>56</v>
      </c>
      <c r="D534" s="19">
        <v>50</v>
      </c>
      <c r="E534" s="11" t="s">
        <v>149</v>
      </c>
      <c r="F534" s="11" t="s">
        <v>29</v>
      </c>
      <c r="G534" s="11" t="s">
        <v>168</v>
      </c>
      <c r="H534" s="12">
        <v>46178</v>
      </c>
      <c r="I534" s="12" t="str">
        <f t="shared" si="8"/>
        <v>June</v>
      </c>
      <c r="J534" s="24">
        <v>0.47361111111111109</v>
      </c>
      <c r="K534" s="19">
        <v>6</v>
      </c>
      <c r="L534" s="12">
        <v>46178</v>
      </c>
      <c r="M534" s="24">
        <v>0.93194444444444446</v>
      </c>
      <c r="N534" s="11">
        <v>11</v>
      </c>
      <c r="O534" s="11" t="s">
        <v>34</v>
      </c>
      <c r="P534" s="11" t="s">
        <v>35</v>
      </c>
      <c r="Q534" s="11"/>
      <c r="R534" s="11" t="s">
        <v>36</v>
      </c>
      <c r="S534" s="19">
        <v>40</v>
      </c>
      <c r="T534" s="11" t="s">
        <v>49</v>
      </c>
      <c r="U534" s="11" t="s">
        <v>96</v>
      </c>
      <c r="V534" s="11">
        <v>2</v>
      </c>
      <c r="W534" s="11" t="s">
        <v>39</v>
      </c>
      <c r="X534" s="11" t="s">
        <v>3325</v>
      </c>
      <c r="Y534" s="11" t="s">
        <v>41</v>
      </c>
      <c r="Z534" s="11" t="s">
        <v>53</v>
      </c>
      <c r="AA534" s="11" t="s">
        <v>3234</v>
      </c>
    </row>
    <row r="535" spans="1:27">
      <c r="A535" s="11" t="s">
        <v>2013</v>
      </c>
      <c r="B535" s="11" t="s">
        <v>2014</v>
      </c>
      <c r="C535" s="11" t="s">
        <v>27</v>
      </c>
      <c r="D535" s="19">
        <v>21</v>
      </c>
      <c r="E535" s="11" t="s">
        <v>57</v>
      </c>
      <c r="F535" s="11" t="s">
        <v>29</v>
      </c>
      <c r="G535" s="11" t="s">
        <v>83</v>
      </c>
      <c r="H535" s="12">
        <v>46096</v>
      </c>
      <c r="I535" s="12" t="str">
        <f t="shared" si="8"/>
        <v>March</v>
      </c>
      <c r="J535" s="24">
        <v>0.45555555555555555</v>
      </c>
      <c r="K535" s="19">
        <v>3</v>
      </c>
      <c r="L535" s="12">
        <v>46096</v>
      </c>
      <c r="M535" s="24">
        <v>0.87222222222222223</v>
      </c>
      <c r="N535" s="11">
        <v>10</v>
      </c>
      <c r="O535" s="11" t="s">
        <v>34</v>
      </c>
      <c r="P535" s="11" t="s">
        <v>270</v>
      </c>
      <c r="Q535" s="11" t="s">
        <v>677</v>
      </c>
      <c r="R535" s="11" t="s">
        <v>36</v>
      </c>
      <c r="S535" s="19">
        <v>15</v>
      </c>
      <c r="T535" s="11" t="s">
        <v>37</v>
      </c>
      <c r="U535" s="11" t="s">
        <v>38</v>
      </c>
      <c r="V535" s="11">
        <v>5</v>
      </c>
      <c r="W535" s="11" t="s">
        <v>62</v>
      </c>
      <c r="X535" s="11" t="s">
        <v>51</v>
      </c>
      <c r="Y535" s="11" t="s">
        <v>52</v>
      </c>
      <c r="Z535" s="11" t="s">
        <v>42</v>
      </c>
      <c r="AA535" s="11" t="s">
        <v>3254</v>
      </c>
    </row>
    <row r="536" spans="1:27">
      <c r="A536" s="11" t="s">
        <v>2015</v>
      </c>
      <c r="B536" s="11" t="s">
        <v>2016</v>
      </c>
      <c r="C536" s="11" t="s">
        <v>56</v>
      </c>
      <c r="D536" s="19">
        <v>87</v>
      </c>
      <c r="E536" s="11" t="s">
        <v>149</v>
      </c>
      <c r="F536" s="11" t="s">
        <v>29</v>
      </c>
      <c r="G536" s="11" t="s">
        <v>83</v>
      </c>
      <c r="H536" s="12">
        <v>46141</v>
      </c>
      <c r="I536" s="12" t="str">
        <f t="shared" si="8"/>
        <v>April</v>
      </c>
      <c r="J536" s="24">
        <v>0.37083333333333335</v>
      </c>
      <c r="K536" s="19">
        <v>6</v>
      </c>
      <c r="L536" s="12">
        <v>46141</v>
      </c>
      <c r="M536" s="24">
        <v>0.66249999999999998</v>
      </c>
      <c r="N536" s="11">
        <v>7</v>
      </c>
      <c r="O536" s="11" t="s">
        <v>34</v>
      </c>
      <c r="P536" s="11" t="s">
        <v>35</v>
      </c>
      <c r="Q536" s="11"/>
      <c r="R536" s="11" t="s">
        <v>36</v>
      </c>
      <c r="S536" s="19">
        <v>40</v>
      </c>
      <c r="T536" s="11" t="s">
        <v>49</v>
      </c>
      <c r="U536" s="11" t="s">
        <v>38</v>
      </c>
      <c r="V536" s="11">
        <v>2</v>
      </c>
      <c r="W536" s="11" t="s">
        <v>62</v>
      </c>
      <c r="X536" s="11" t="s">
        <v>3325</v>
      </c>
      <c r="Y536" s="11" t="s">
        <v>41</v>
      </c>
      <c r="Z536" s="11" t="s">
        <v>42</v>
      </c>
      <c r="AA536" s="11" t="s">
        <v>3234</v>
      </c>
    </row>
    <row r="537" spans="1:27">
      <c r="A537" s="11" t="s">
        <v>2018</v>
      </c>
      <c r="B537" s="11" t="s">
        <v>2019</v>
      </c>
      <c r="C537" s="11" t="s">
        <v>27</v>
      </c>
      <c r="D537" s="19">
        <v>22</v>
      </c>
      <c r="E537" s="11" t="s">
        <v>92</v>
      </c>
      <c r="F537" s="11" t="s">
        <v>29</v>
      </c>
      <c r="G537" s="11" t="s">
        <v>58</v>
      </c>
      <c r="H537" s="12">
        <v>46132</v>
      </c>
      <c r="I537" s="12" t="str">
        <f t="shared" si="8"/>
        <v>April</v>
      </c>
      <c r="J537" s="24">
        <v>0.70694444444444449</v>
      </c>
      <c r="K537" s="19">
        <v>24</v>
      </c>
      <c r="L537" s="12">
        <v>46133</v>
      </c>
      <c r="M537" s="24">
        <v>0.79027777777777775</v>
      </c>
      <c r="N537" s="11">
        <v>26</v>
      </c>
      <c r="O537" s="11" t="s">
        <v>34</v>
      </c>
      <c r="P537" s="11" t="s">
        <v>35</v>
      </c>
      <c r="Q537" s="11"/>
      <c r="R537" s="11" t="s">
        <v>36</v>
      </c>
      <c r="S537" s="19">
        <v>50</v>
      </c>
      <c r="T537" s="11" t="s">
        <v>49</v>
      </c>
      <c r="U537" s="11" t="s">
        <v>96</v>
      </c>
      <c r="V537" s="11">
        <v>3</v>
      </c>
      <c r="W537" s="11" t="s">
        <v>70</v>
      </c>
      <c r="X537" s="11" t="s">
        <v>3333</v>
      </c>
      <c r="Y537" s="11" t="s">
        <v>109</v>
      </c>
      <c r="Z537" s="11" t="s">
        <v>71</v>
      </c>
      <c r="AA537" s="11" t="s">
        <v>3234</v>
      </c>
    </row>
    <row r="538" spans="1:27">
      <c r="A538" s="11" t="s">
        <v>2021</v>
      </c>
      <c r="B538" s="11" t="s">
        <v>2022</v>
      </c>
      <c r="C538" s="11" t="s">
        <v>27</v>
      </c>
      <c r="D538" s="19">
        <v>25</v>
      </c>
      <c r="E538" s="11" t="s">
        <v>173</v>
      </c>
      <c r="F538" s="11" t="s">
        <v>29</v>
      </c>
      <c r="G538" s="11" t="s">
        <v>168</v>
      </c>
      <c r="H538" s="12">
        <v>46038</v>
      </c>
      <c r="I538" s="12" t="str">
        <f t="shared" si="8"/>
        <v>January</v>
      </c>
      <c r="J538" s="24">
        <v>0.70138888888888884</v>
      </c>
      <c r="K538" s="19">
        <v>4</v>
      </c>
      <c r="L538" s="12">
        <v>46039</v>
      </c>
      <c r="M538" s="24">
        <v>0.2013888888888889</v>
      </c>
      <c r="N538" s="11">
        <v>12</v>
      </c>
      <c r="O538" s="11" t="s">
        <v>34</v>
      </c>
      <c r="P538" s="11" t="s">
        <v>35</v>
      </c>
      <c r="Q538" s="11"/>
      <c r="R538" s="11" t="s">
        <v>36</v>
      </c>
      <c r="S538" s="19">
        <v>25</v>
      </c>
      <c r="T538" s="11" t="s">
        <v>37</v>
      </c>
      <c r="U538" s="11" t="s">
        <v>38</v>
      </c>
      <c r="V538" s="11">
        <v>2</v>
      </c>
      <c r="W538" s="11" t="s">
        <v>70</v>
      </c>
      <c r="X538" s="11" t="s">
        <v>51</v>
      </c>
      <c r="Y538" s="11" t="s">
        <v>41</v>
      </c>
      <c r="Z538" s="11" t="s">
        <v>71</v>
      </c>
      <c r="AA538" s="11" t="s">
        <v>3234</v>
      </c>
    </row>
    <row r="539" spans="1:27">
      <c r="A539" s="11" t="s">
        <v>2023</v>
      </c>
      <c r="B539" s="11" t="s">
        <v>2024</v>
      </c>
      <c r="C539" s="11" t="s">
        <v>27</v>
      </c>
      <c r="D539" s="19">
        <v>75</v>
      </c>
      <c r="E539" s="11" t="s">
        <v>81</v>
      </c>
      <c r="F539" s="11" t="s">
        <v>82</v>
      </c>
      <c r="G539" s="11" t="s">
        <v>83</v>
      </c>
      <c r="H539" s="12">
        <v>46093</v>
      </c>
      <c r="I539" s="12" t="str">
        <f t="shared" si="8"/>
        <v>March</v>
      </c>
      <c r="J539" s="24">
        <v>0.55625000000000002</v>
      </c>
      <c r="K539" s="19">
        <v>8</v>
      </c>
      <c r="L539" s="12">
        <v>46094</v>
      </c>
      <c r="M539" s="24">
        <v>0.18124999999999999</v>
      </c>
      <c r="N539" s="11">
        <v>15</v>
      </c>
      <c r="O539" s="11" t="s">
        <v>34</v>
      </c>
      <c r="P539" s="11" t="s">
        <v>35</v>
      </c>
      <c r="Q539" s="11"/>
      <c r="R539" s="11" t="s">
        <v>36</v>
      </c>
      <c r="S539" s="19">
        <v>20</v>
      </c>
      <c r="T539" s="11" t="s">
        <v>49</v>
      </c>
      <c r="U539" s="11" t="s">
        <v>38</v>
      </c>
      <c r="V539" s="11">
        <v>5</v>
      </c>
      <c r="W539" s="11" t="s">
        <v>89</v>
      </c>
      <c r="X539" s="11" t="s">
        <v>3334</v>
      </c>
      <c r="Y539" s="11" t="s">
        <v>52</v>
      </c>
      <c r="Z539" s="11" t="s">
        <v>53</v>
      </c>
      <c r="AA539" s="11" t="str">
        <f>IF(A539=" ", "Missing Value", " ")</f>
        <v xml:space="preserve"> </v>
      </c>
    </row>
    <row r="540" spans="1:27">
      <c r="A540" s="11" t="s">
        <v>2026</v>
      </c>
      <c r="B540" s="11" t="s">
        <v>2027</v>
      </c>
      <c r="C540" s="11" t="s">
        <v>27</v>
      </c>
      <c r="D540" s="19">
        <v>14</v>
      </c>
      <c r="E540" s="11" t="s">
        <v>28</v>
      </c>
      <c r="F540" s="11" t="s">
        <v>29</v>
      </c>
      <c r="G540" s="11" t="s">
        <v>30</v>
      </c>
      <c r="H540" s="12">
        <v>46151</v>
      </c>
      <c r="I540" s="12" t="str">
        <f t="shared" si="8"/>
        <v>May</v>
      </c>
      <c r="J540" s="24">
        <v>0.44583333333333336</v>
      </c>
      <c r="K540" s="19">
        <v>5</v>
      </c>
      <c r="L540" s="12">
        <v>46151</v>
      </c>
      <c r="M540" s="24">
        <v>0.77916666666666667</v>
      </c>
      <c r="N540" s="11">
        <v>8</v>
      </c>
      <c r="O540" s="11" t="s">
        <v>34</v>
      </c>
      <c r="P540" s="11" t="s">
        <v>35</v>
      </c>
      <c r="Q540" s="11"/>
      <c r="R540" s="11" t="s">
        <v>36</v>
      </c>
      <c r="S540" s="19">
        <v>35</v>
      </c>
      <c r="T540" s="11" t="s">
        <v>49</v>
      </c>
      <c r="U540" s="11" t="s">
        <v>96</v>
      </c>
      <c r="V540" s="11">
        <v>1</v>
      </c>
      <c r="W540" s="11" t="s">
        <v>39</v>
      </c>
      <c r="X540" s="11" t="s">
        <v>3325</v>
      </c>
      <c r="Y540" s="11" t="s">
        <v>41</v>
      </c>
      <c r="Z540" s="11" t="s">
        <v>71</v>
      </c>
      <c r="AA540" s="11" t="str">
        <f>IF(A540=" ", "Missing Value", " ")</f>
        <v xml:space="preserve"> </v>
      </c>
    </row>
    <row r="541" spans="1:27">
      <c r="A541" s="11" t="s">
        <v>2028</v>
      </c>
      <c r="B541" s="11" t="s">
        <v>2029</v>
      </c>
      <c r="C541" s="11" t="s">
        <v>27</v>
      </c>
      <c r="D541" s="19">
        <v>66</v>
      </c>
      <c r="E541" s="11" t="s">
        <v>92</v>
      </c>
      <c r="F541" s="11" t="s">
        <v>29</v>
      </c>
      <c r="G541" s="11" t="s">
        <v>93</v>
      </c>
      <c r="H541" s="12">
        <v>46070</v>
      </c>
      <c r="I541" s="12" t="str">
        <f t="shared" si="8"/>
        <v>February</v>
      </c>
      <c r="J541" s="24">
        <v>0.58402777777777781</v>
      </c>
      <c r="K541" s="19">
        <v>24</v>
      </c>
      <c r="L541" s="12">
        <v>46071</v>
      </c>
      <c r="M541" s="24">
        <v>0.70902777777777781</v>
      </c>
      <c r="N541" s="11">
        <v>27</v>
      </c>
      <c r="O541" s="11" t="s">
        <v>34</v>
      </c>
      <c r="P541" s="11" t="s">
        <v>35</v>
      </c>
      <c r="Q541" s="11"/>
      <c r="R541" s="11" t="s">
        <v>36</v>
      </c>
      <c r="S541" s="19">
        <v>50</v>
      </c>
      <c r="T541" s="11" t="s">
        <v>37</v>
      </c>
      <c r="U541" s="11" t="s">
        <v>38</v>
      </c>
      <c r="V541" s="11">
        <v>2</v>
      </c>
      <c r="W541" s="11" t="s">
        <v>62</v>
      </c>
      <c r="X541" s="11" t="s">
        <v>51</v>
      </c>
      <c r="Y541" s="11" t="s">
        <v>109</v>
      </c>
      <c r="Z541" s="11" t="s">
        <v>71</v>
      </c>
      <c r="AA541" s="11" t="str">
        <f>IF(A541=" ", "Missing Value", " ")</f>
        <v xml:space="preserve"> </v>
      </c>
    </row>
    <row r="542" spans="1:27">
      <c r="A542" s="11" t="s">
        <v>2031</v>
      </c>
      <c r="B542" s="11" t="s">
        <v>2032</v>
      </c>
      <c r="C542" s="11" t="s">
        <v>56</v>
      </c>
      <c r="D542" s="19">
        <v>26</v>
      </c>
      <c r="E542" s="11" t="s">
        <v>28</v>
      </c>
      <c r="F542" s="11" t="s">
        <v>29</v>
      </c>
      <c r="G542" s="11" t="s">
        <v>93</v>
      </c>
      <c r="H542" s="12">
        <v>46183</v>
      </c>
      <c r="I542" s="12" t="str">
        <f t="shared" si="8"/>
        <v>June</v>
      </c>
      <c r="J542" s="24">
        <v>0.70416666666666672</v>
      </c>
      <c r="K542" s="19">
        <v>5</v>
      </c>
      <c r="L542" s="12">
        <v>46183</v>
      </c>
      <c r="M542" s="24">
        <v>0.95416666666666672</v>
      </c>
      <c r="N542" s="11">
        <v>6</v>
      </c>
      <c r="O542" s="11" t="s">
        <v>34</v>
      </c>
      <c r="P542" s="11" t="s">
        <v>35</v>
      </c>
      <c r="Q542" s="11"/>
      <c r="R542" s="11" t="s">
        <v>36</v>
      </c>
      <c r="S542" s="19">
        <v>35</v>
      </c>
      <c r="T542" s="11" t="s">
        <v>37</v>
      </c>
      <c r="U542" s="11" t="s">
        <v>164</v>
      </c>
      <c r="V542" s="11">
        <v>3</v>
      </c>
      <c r="W542" s="11" t="s">
        <v>70</v>
      </c>
      <c r="X542" s="11" t="s">
        <v>3325</v>
      </c>
      <c r="Y542" s="11" t="s">
        <v>41</v>
      </c>
      <c r="Z542" s="11" t="s">
        <v>42</v>
      </c>
      <c r="AA542" s="11" t="s">
        <v>3234</v>
      </c>
    </row>
    <row r="543" spans="1:27">
      <c r="A543" s="11" t="s">
        <v>2034</v>
      </c>
      <c r="B543" s="11" t="s">
        <v>2035</v>
      </c>
      <c r="C543" s="11" t="s">
        <v>56</v>
      </c>
      <c r="D543" s="19">
        <v>22</v>
      </c>
      <c r="E543" s="11" t="s">
        <v>173</v>
      </c>
      <c r="F543" s="11" t="s">
        <v>29</v>
      </c>
      <c r="G543" s="11" t="s">
        <v>168</v>
      </c>
      <c r="H543" s="12">
        <v>46188</v>
      </c>
      <c r="I543" s="12" t="str">
        <f t="shared" si="8"/>
        <v>June</v>
      </c>
      <c r="J543" s="24">
        <v>0.59583333333333333</v>
      </c>
      <c r="K543" s="19">
        <v>4</v>
      </c>
      <c r="L543" s="12">
        <v>46188</v>
      </c>
      <c r="M543" s="24">
        <v>0.76249999999999996</v>
      </c>
      <c r="N543" s="11">
        <v>4</v>
      </c>
      <c r="O543" s="11" t="s">
        <v>68</v>
      </c>
      <c r="P543" s="11" t="s">
        <v>35</v>
      </c>
      <c r="Q543" s="11"/>
      <c r="R543" s="11" t="s">
        <v>36</v>
      </c>
      <c r="S543" s="19">
        <v>25</v>
      </c>
      <c r="T543" s="11" t="s">
        <v>37</v>
      </c>
      <c r="U543" s="11" t="s">
        <v>38</v>
      </c>
      <c r="V543" s="11">
        <v>2</v>
      </c>
      <c r="W543" s="11" t="s">
        <v>62</v>
      </c>
      <c r="X543" s="11" t="s">
        <v>3334</v>
      </c>
      <c r="Y543" s="11" t="s">
        <v>41</v>
      </c>
      <c r="Z543" s="11" t="s">
        <v>42</v>
      </c>
      <c r="AA543" s="11" t="s">
        <v>3234</v>
      </c>
    </row>
    <row r="544" spans="1:27">
      <c r="A544" s="11" t="s">
        <v>2037</v>
      </c>
      <c r="B544" s="11" t="s">
        <v>2038</v>
      </c>
      <c r="C544" s="11" t="s">
        <v>56</v>
      </c>
      <c r="D544" s="19">
        <v>28</v>
      </c>
      <c r="E544" s="11" t="s">
        <v>149</v>
      </c>
      <c r="F544" s="11" t="s">
        <v>29</v>
      </c>
      <c r="G544" s="11" t="s">
        <v>93</v>
      </c>
      <c r="H544" s="12">
        <v>46189</v>
      </c>
      <c r="I544" s="12" t="str">
        <f t="shared" si="8"/>
        <v>June</v>
      </c>
      <c r="J544" s="24">
        <v>0.62222222222222223</v>
      </c>
      <c r="K544" s="19">
        <v>6</v>
      </c>
      <c r="L544" s="12">
        <v>46190</v>
      </c>
      <c r="M544" s="24">
        <v>0.20555555555555555</v>
      </c>
      <c r="N544" s="11">
        <v>14</v>
      </c>
      <c r="O544" s="11" t="s">
        <v>34</v>
      </c>
      <c r="P544" s="11" t="s">
        <v>35</v>
      </c>
      <c r="Q544" s="11"/>
      <c r="R544" s="11" t="s">
        <v>36</v>
      </c>
      <c r="S544" s="19">
        <v>40</v>
      </c>
      <c r="T544" s="11" t="s">
        <v>49</v>
      </c>
      <c r="U544" s="11" t="s">
        <v>164</v>
      </c>
      <c r="V544" s="11">
        <v>2</v>
      </c>
      <c r="W544" s="11" t="s">
        <v>39</v>
      </c>
      <c r="X544" s="11" t="s">
        <v>3325</v>
      </c>
      <c r="Y544" s="11" t="s">
        <v>52</v>
      </c>
      <c r="Z544" s="11" t="s">
        <v>53</v>
      </c>
      <c r="AA544" s="11" t="s">
        <v>3234</v>
      </c>
    </row>
    <row r="545" spans="1:27">
      <c r="A545" s="11" t="s">
        <v>2040</v>
      </c>
      <c r="B545" s="11" t="s">
        <v>2041</v>
      </c>
      <c r="C545" s="11" t="s">
        <v>27</v>
      </c>
      <c r="D545" s="19">
        <v>71</v>
      </c>
      <c r="E545" s="11" t="s">
        <v>57</v>
      </c>
      <c r="F545" s="11" t="s">
        <v>29</v>
      </c>
      <c r="G545" s="11" t="s">
        <v>58</v>
      </c>
      <c r="H545" s="12">
        <v>46102</v>
      </c>
      <c r="I545" s="12" t="str">
        <f t="shared" si="8"/>
        <v>March</v>
      </c>
      <c r="J545" s="24">
        <v>0.62569444444444444</v>
      </c>
      <c r="K545" s="19">
        <v>3</v>
      </c>
      <c r="L545" s="12">
        <v>46103</v>
      </c>
      <c r="M545" s="24">
        <v>6.9444444444444447E-4</v>
      </c>
      <c r="N545" s="11">
        <v>9</v>
      </c>
      <c r="O545" s="11" t="s">
        <v>34</v>
      </c>
      <c r="P545" s="11" t="s">
        <v>35</v>
      </c>
      <c r="Q545" s="11"/>
      <c r="R545" s="11" t="s">
        <v>36</v>
      </c>
      <c r="S545" s="19">
        <v>15</v>
      </c>
      <c r="T545" s="11" t="s">
        <v>49</v>
      </c>
      <c r="U545" s="11" t="s">
        <v>96</v>
      </c>
      <c r="V545" s="11">
        <v>2</v>
      </c>
      <c r="W545" s="11" t="s">
        <v>62</v>
      </c>
      <c r="X545" s="11" t="s">
        <v>3325</v>
      </c>
      <c r="Y545" s="11" t="s">
        <v>52</v>
      </c>
      <c r="Z545" s="11" t="s">
        <v>53</v>
      </c>
      <c r="AA545" s="11"/>
    </row>
    <row r="546" spans="1:27">
      <c r="A546" s="11" t="s">
        <v>2043</v>
      </c>
      <c r="B546" s="11" t="s">
        <v>2044</v>
      </c>
      <c r="C546" s="11" t="s">
        <v>56</v>
      </c>
      <c r="D546" s="19">
        <v>70</v>
      </c>
      <c r="E546" s="11" t="s">
        <v>28</v>
      </c>
      <c r="F546" s="11" t="s">
        <v>29</v>
      </c>
      <c r="G546" s="11" t="s">
        <v>30</v>
      </c>
      <c r="H546" s="12">
        <v>46094</v>
      </c>
      <c r="I546" s="12" t="str">
        <f t="shared" si="8"/>
        <v>March</v>
      </c>
      <c r="J546" s="24">
        <v>0.67500000000000004</v>
      </c>
      <c r="K546" s="19">
        <v>5</v>
      </c>
      <c r="L546" s="12">
        <v>46095</v>
      </c>
      <c r="M546" s="24">
        <v>9.166666666666666E-2</v>
      </c>
      <c r="N546" s="11">
        <v>10</v>
      </c>
      <c r="O546" s="11" t="s">
        <v>34</v>
      </c>
      <c r="P546" s="11" t="s">
        <v>35</v>
      </c>
      <c r="Q546" s="11"/>
      <c r="R546" s="11" t="s">
        <v>36</v>
      </c>
      <c r="S546" s="19">
        <v>35</v>
      </c>
      <c r="T546" s="11" t="s">
        <v>37</v>
      </c>
      <c r="U546" s="11" t="s">
        <v>164</v>
      </c>
      <c r="V546" s="11">
        <v>5</v>
      </c>
      <c r="W546" s="11" t="s">
        <v>39</v>
      </c>
      <c r="X546" s="11" t="s">
        <v>3325</v>
      </c>
      <c r="Y546" s="11" t="s">
        <v>41</v>
      </c>
      <c r="Z546" s="11" t="s">
        <v>53</v>
      </c>
      <c r="AA546" s="11" t="str">
        <f>IF(A546=" ", "Missing Value", " ")</f>
        <v xml:space="preserve"> </v>
      </c>
    </row>
    <row r="547" spans="1:27">
      <c r="A547" s="11" t="s">
        <v>2046</v>
      </c>
      <c r="B547" s="11" t="s">
        <v>2047</v>
      </c>
      <c r="C547" s="11" t="s">
        <v>56</v>
      </c>
      <c r="D547" s="19">
        <v>31</v>
      </c>
      <c r="E547" s="11" t="s">
        <v>57</v>
      </c>
      <c r="F547" s="11" t="s">
        <v>29</v>
      </c>
      <c r="G547" s="11" t="s">
        <v>30</v>
      </c>
      <c r="H547" s="12">
        <v>46183</v>
      </c>
      <c r="I547" s="12" t="str">
        <f t="shared" si="8"/>
        <v>June</v>
      </c>
      <c r="J547" s="24">
        <v>0.56458333333333333</v>
      </c>
      <c r="K547" s="19">
        <v>3</v>
      </c>
      <c r="L547" s="12">
        <v>46183</v>
      </c>
      <c r="M547" s="24">
        <v>0.7729166666666667</v>
      </c>
      <c r="N547" s="11">
        <v>5</v>
      </c>
      <c r="O547" s="11" t="s">
        <v>34</v>
      </c>
      <c r="P547" s="11" t="s">
        <v>35</v>
      </c>
      <c r="Q547" s="11"/>
      <c r="R547" s="11" t="s">
        <v>36</v>
      </c>
      <c r="S547" s="19">
        <v>15</v>
      </c>
      <c r="T547" s="11" t="s">
        <v>49</v>
      </c>
      <c r="U547" s="11" t="s">
        <v>164</v>
      </c>
      <c r="V547" s="11">
        <v>1</v>
      </c>
      <c r="W547" s="11" t="s">
        <v>39</v>
      </c>
      <c r="X547" s="11" t="s">
        <v>3333</v>
      </c>
      <c r="Y547" s="11" t="s">
        <v>41</v>
      </c>
      <c r="Z547" s="11" t="s">
        <v>71</v>
      </c>
      <c r="AA547" s="11" t="s">
        <v>3234</v>
      </c>
    </row>
    <row r="548" spans="1:27">
      <c r="A548" s="11" t="s">
        <v>2049</v>
      </c>
      <c r="B548" s="11" t="s">
        <v>2050</v>
      </c>
      <c r="C548" s="11" t="s">
        <v>27</v>
      </c>
      <c r="D548" s="19">
        <v>69</v>
      </c>
      <c r="E548" s="11" t="s">
        <v>81</v>
      </c>
      <c r="F548" s="11" t="s">
        <v>82</v>
      </c>
      <c r="G548" s="11" t="s">
        <v>83</v>
      </c>
      <c r="H548" s="12">
        <v>46112</v>
      </c>
      <c r="I548" s="12" t="str">
        <f t="shared" si="8"/>
        <v>March</v>
      </c>
      <c r="J548" s="24">
        <v>0.33124999999999999</v>
      </c>
      <c r="K548" s="19">
        <v>8</v>
      </c>
      <c r="L548" s="12">
        <v>46112</v>
      </c>
      <c r="M548" s="24">
        <v>0.70625000000000004</v>
      </c>
      <c r="N548" s="11">
        <v>9</v>
      </c>
      <c r="O548" s="11" t="s">
        <v>34</v>
      </c>
      <c r="P548" s="11" t="s">
        <v>35</v>
      </c>
      <c r="Q548" s="11"/>
      <c r="R548" s="11" t="s">
        <v>36</v>
      </c>
      <c r="S548" s="19">
        <v>20</v>
      </c>
      <c r="T548" s="11" t="s">
        <v>37</v>
      </c>
      <c r="U548" s="11" t="s">
        <v>38</v>
      </c>
      <c r="V548" s="11">
        <v>5</v>
      </c>
      <c r="W548" s="11" t="s">
        <v>39</v>
      </c>
      <c r="X548" s="11" t="s">
        <v>3325</v>
      </c>
      <c r="Y548" s="11" t="s">
        <v>109</v>
      </c>
      <c r="Z548" s="11" t="s">
        <v>71</v>
      </c>
      <c r="AA548" s="11" t="str">
        <f t="shared" ref="AA548:AA554" si="9">IF(A548=" ", "Missing Value", " ")</f>
        <v xml:space="preserve"> </v>
      </c>
    </row>
    <row r="549" spans="1:27">
      <c r="A549" s="11" t="s">
        <v>2052</v>
      </c>
      <c r="B549" s="11" t="s">
        <v>2053</v>
      </c>
      <c r="C549" s="11" t="s">
        <v>27</v>
      </c>
      <c r="D549" s="19">
        <v>9</v>
      </c>
      <c r="E549" s="11" t="s">
        <v>149</v>
      </c>
      <c r="F549" s="11" t="s">
        <v>29</v>
      </c>
      <c r="G549" s="11" t="s">
        <v>30</v>
      </c>
      <c r="H549" s="12">
        <v>46126</v>
      </c>
      <c r="I549" s="12" t="str">
        <f t="shared" si="8"/>
        <v>April</v>
      </c>
      <c r="J549" s="24">
        <v>0.41597222222222224</v>
      </c>
      <c r="K549" s="19">
        <v>6</v>
      </c>
      <c r="L549" s="12">
        <v>46126</v>
      </c>
      <c r="M549" s="24">
        <v>0.66597222222222219</v>
      </c>
      <c r="N549" s="11">
        <v>6</v>
      </c>
      <c r="O549" s="11" t="s">
        <v>68</v>
      </c>
      <c r="P549" s="11" t="s">
        <v>35</v>
      </c>
      <c r="Q549" s="11"/>
      <c r="R549" s="11" t="s">
        <v>36</v>
      </c>
      <c r="S549" s="19">
        <v>40</v>
      </c>
      <c r="T549" s="11" t="s">
        <v>49</v>
      </c>
      <c r="U549" s="11" t="s">
        <v>96</v>
      </c>
      <c r="V549" s="11">
        <v>5</v>
      </c>
      <c r="W549" s="11" t="s">
        <v>70</v>
      </c>
      <c r="X549" s="11" t="s">
        <v>3325</v>
      </c>
      <c r="Y549" s="11" t="s">
        <v>52</v>
      </c>
      <c r="Z549" s="11" t="s">
        <v>42</v>
      </c>
      <c r="AA549" s="11" t="str">
        <f t="shared" si="9"/>
        <v xml:space="preserve"> </v>
      </c>
    </row>
    <row r="550" spans="1:27">
      <c r="A550" s="11" t="s">
        <v>2055</v>
      </c>
      <c r="B550" s="11" t="s">
        <v>2056</v>
      </c>
      <c r="C550" s="11" t="s">
        <v>56</v>
      </c>
      <c r="D550" s="19">
        <v>38</v>
      </c>
      <c r="E550" s="11" t="s">
        <v>28</v>
      </c>
      <c r="F550" s="11" t="s">
        <v>29</v>
      </c>
      <c r="G550" s="11" t="s">
        <v>30</v>
      </c>
      <c r="H550" s="12">
        <v>46114</v>
      </c>
      <c r="I550" s="12" t="str">
        <f t="shared" si="8"/>
        <v>April</v>
      </c>
      <c r="J550" s="24">
        <v>0.37222222222222223</v>
      </c>
      <c r="K550" s="19">
        <v>5</v>
      </c>
      <c r="L550" s="12">
        <v>46114</v>
      </c>
      <c r="M550" s="24">
        <v>0.91388888888888886</v>
      </c>
      <c r="N550" s="11">
        <v>13</v>
      </c>
      <c r="O550" s="11" t="s">
        <v>34</v>
      </c>
      <c r="P550" s="11" t="s">
        <v>35</v>
      </c>
      <c r="Q550" s="11"/>
      <c r="R550" s="11" t="s">
        <v>36</v>
      </c>
      <c r="S550" s="19">
        <v>35</v>
      </c>
      <c r="T550" s="11" t="s">
        <v>49</v>
      </c>
      <c r="U550" s="11" t="s">
        <v>164</v>
      </c>
      <c r="V550" s="11">
        <v>3</v>
      </c>
      <c r="W550" s="11" t="s">
        <v>62</v>
      </c>
      <c r="X550" s="11" t="s">
        <v>51</v>
      </c>
      <c r="Y550" s="11" t="s">
        <v>109</v>
      </c>
      <c r="Z550" s="11" t="s">
        <v>53</v>
      </c>
      <c r="AA550" s="11" t="str">
        <f t="shared" si="9"/>
        <v xml:space="preserve"> </v>
      </c>
    </row>
    <row r="551" spans="1:27">
      <c r="A551" s="11" t="s">
        <v>2058</v>
      </c>
      <c r="B551" s="11" t="s">
        <v>2059</v>
      </c>
      <c r="C551" s="11" t="s">
        <v>27</v>
      </c>
      <c r="D551" s="19">
        <v>74</v>
      </c>
      <c r="E551" s="11" t="s">
        <v>28</v>
      </c>
      <c r="F551" s="11" t="s">
        <v>29</v>
      </c>
      <c r="G551" s="11" t="s">
        <v>30</v>
      </c>
      <c r="H551" s="12">
        <v>46036</v>
      </c>
      <c r="I551" s="12" t="str">
        <f t="shared" si="8"/>
        <v>January</v>
      </c>
      <c r="J551" s="24">
        <v>0.5444444444444444</v>
      </c>
      <c r="K551" s="19">
        <v>5</v>
      </c>
      <c r="L551" s="12">
        <v>46036</v>
      </c>
      <c r="M551" s="24">
        <v>0.87777777777777777</v>
      </c>
      <c r="N551" s="11">
        <v>8</v>
      </c>
      <c r="O551" s="11" t="s">
        <v>34</v>
      </c>
      <c r="P551" s="11" t="s">
        <v>35</v>
      </c>
      <c r="Q551" s="11"/>
      <c r="R551" s="11" t="s">
        <v>36</v>
      </c>
      <c r="S551" s="19">
        <v>35</v>
      </c>
      <c r="T551" s="11" t="s">
        <v>49</v>
      </c>
      <c r="U551" s="11" t="s">
        <v>96</v>
      </c>
      <c r="V551" s="11">
        <v>3</v>
      </c>
      <c r="W551" s="11" t="s">
        <v>39</v>
      </c>
      <c r="X551" s="11" t="s">
        <v>3325</v>
      </c>
      <c r="Y551" s="11" t="s">
        <v>109</v>
      </c>
      <c r="Z551" s="11" t="s">
        <v>53</v>
      </c>
      <c r="AA551" s="11" t="str">
        <f t="shared" si="9"/>
        <v xml:space="preserve"> </v>
      </c>
    </row>
    <row r="552" spans="1:27">
      <c r="A552" s="11" t="s">
        <v>2062</v>
      </c>
      <c r="B552" s="11" t="s">
        <v>2063</v>
      </c>
      <c r="C552" s="11" t="s">
        <v>27</v>
      </c>
      <c r="D552" s="19">
        <v>39</v>
      </c>
      <c r="E552" s="11" t="s">
        <v>149</v>
      </c>
      <c r="F552" s="11" t="s">
        <v>29</v>
      </c>
      <c r="G552" s="11" t="s">
        <v>30</v>
      </c>
      <c r="H552" s="12">
        <v>46202</v>
      </c>
      <c r="I552" s="12" t="str">
        <f t="shared" si="8"/>
        <v>June</v>
      </c>
      <c r="J552" s="24">
        <v>0.39791666666666664</v>
      </c>
      <c r="K552" s="19">
        <v>6</v>
      </c>
      <c r="L552" s="12">
        <v>46202</v>
      </c>
      <c r="M552" s="24">
        <v>0.60624999999999996</v>
      </c>
      <c r="N552" s="11">
        <v>5</v>
      </c>
      <c r="O552" s="11" t="s">
        <v>68</v>
      </c>
      <c r="P552" s="11" t="s">
        <v>35</v>
      </c>
      <c r="Q552" s="11"/>
      <c r="R552" s="11" t="s">
        <v>36</v>
      </c>
      <c r="S552" s="19">
        <v>40</v>
      </c>
      <c r="T552" s="11" t="s">
        <v>49</v>
      </c>
      <c r="U552" s="11" t="s">
        <v>164</v>
      </c>
      <c r="V552" s="11">
        <v>4</v>
      </c>
      <c r="W552" s="11" t="s">
        <v>89</v>
      </c>
      <c r="X552" s="11" t="s">
        <v>3325</v>
      </c>
      <c r="Y552" s="11" t="s">
        <v>41</v>
      </c>
      <c r="Z552" s="11" t="s">
        <v>53</v>
      </c>
      <c r="AA552" s="11" t="str">
        <f t="shared" si="9"/>
        <v xml:space="preserve"> </v>
      </c>
    </row>
    <row r="553" spans="1:27">
      <c r="A553" s="11" t="s">
        <v>2065</v>
      </c>
      <c r="B553" s="11" t="s">
        <v>2066</v>
      </c>
      <c r="C553" s="11" t="s">
        <v>27</v>
      </c>
      <c r="D553" s="19">
        <v>24</v>
      </c>
      <c r="E553" s="11" t="s">
        <v>28</v>
      </c>
      <c r="F553" s="11" t="s">
        <v>29</v>
      </c>
      <c r="G553" s="11" t="s">
        <v>30</v>
      </c>
      <c r="H553" s="12">
        <v>46126</v>
      </c>
      <c r="I553" s="12" t="str">
        <f t="shared" si="8"/>
        <v>April</v>
      </c>
      <c r="J553" s="24">
        <v>0.5</v>
      </c>
      <c r="K553" s="19">
        <v>5</v>
      </c>
      <c r="L553" s="12">
        <v>46126</v>
      </c>
      <c r="M553" s="24">
        <v>0.95833333333333337</v>
      </c>
      <c r="N553" s="11">
        <v>11</v>
      </c>
      <c r="O553" s="11" t="s">
        <v>34</v>
      </c>
      <c r="P553" s="11" t="s">
        <v>35</v>
      </c>
      <c r="Q553" s="11"/>
      <c r="R553" s="11" t="s">
        <v>36</v>
      </c>
      <c r="S553" s="19">
        <v>35</v>
      </c>
      <c r="T553" s="11" t="s">
        <v>49</v>
      </c>
      <c r="U553" s="11" t="s">
        <v>38</v>
      </c>
      <c r="V553" s="11">
        <v>2</v>
      </c>
      <c r="W553" s="11" t="s">
        <v>39</v>
      </c>
      <c r="X553" s="11" t="s">
        <v>3334</v>
      </c>
      <c r="Y553" s="11" t="s">
        <v>41</v>
      </c>
      <c r="Z553" s="11" t="s">
        <v>71</v>
      </c>
      <c r="AA553" s="11" t="str">
        <f t="shared" si="9"/>
        <v xml:space="preserve"> </v>
      </c>
    </row>
    <row r="554" spans="1:27">
      <c r="A554" s="11" t="s">
        <v>2067</v>
      </c>
      <c r="B554" s="11" t="s">
        <v>2068</v>
      </c>
      <c r="C554" s="11" t="s">
        <v>56</v>
      </c>
      <c r="D554" s="19">
        <v>20</v>
      </c>
      <c r="E554" s="11" t="s">
        <v>28</v>
      </c>
      <c r="F554" s="11" t="s">
        <v>29</v>
      </c>
      <c r="G554" s="11" t="s">
        <v>30</v>
      </c>
      <c r="H554" s="12">
        <v>46037</v>
      </c>
      <c r="I554" s="12" t="str">
        <f t="shared" si="8"/>
        <v>January</v>
      </c>
      <c r="J554" s="24">
        <v>0.32500000000000001</v>
      </c>
      <c r="K554" s="19">
        <v>5</v>
      </c>
      <c r="L554" s="12">
        <v>46037</v>
      </c>
      <c r="M554" s="24">
        <v>0.8666666666666667</v>
      </c>
      <c r="N554" s="11">
        <v>13</v>
      </c>
      <c r="O554" s="11" t="s">
        <v>34</v>
      </c>
      <c r="P554" s="11" t="s">
        <v>35</v>
      </c>
      <c r="Q554" s="11"/>
      <c r="R554" s="11" t="s">
        <v>36</v>
      </c>
      <c r="S554" s="19">
        <v>35</v>
      </c>
      <c r="T554" s="11" t="s">
        <v>49</v>
      </c>
      <c r="U554" s="11" t="s">
        <v>96</v>
      </c>
      <c r="V554" s="11">
        <v>2</v>
      </c>
      <c r="W554" s="11" t="s">
        <v>89</v>
      </c>
      <c r="X554" s="11" t="s">
        <v>3334</v>
      </c>
      <c r="Y554" s="11" t="s">
        <v>52</v>
      </c>
      <c r="Z554" s="11" t="s">
        <v>71</v>
      </c>
      <c r="AA554" s="11" t="str">
        <f t="shared" si="9"/>
        <v xml:space="preserve"> </v>
      </c>
    </row>
    <row r="555" spans="1:27">
      <c r="A555" s="11" t="s">
        <v>2069</v>
      </c>
      <c r="B555" s="11" t="s">
        <v>2070</v>
      </c>
      <c r="C555" s="11" t="s">
        <v>56</v>
      </c>
      <c r="D555" s="19">
        <v>90</v>
      </c>
      <c r="E555" s="11" t="s">
        <v>92</v>
      </c>
      <c r="F555" s="11" t="s">
        <v>29</v>
      </c>
      <c r="G555" s="11" t="s">
        <v>83</v>
      </c>
      <c r="H555" s="12">
        <v>46082</v>
      </c>
      <c r="I555" s="12" t="str">
        <f t="shared" si="8"/>
        <v>March</v>
      </c>
      <c r="J555" s="24">
        <v>0.61111111111111116</v>
      </c>
      <c r="K555" s="19">
        <v>24</v>
      </c>
      <c r="L555" s="12">
        <v>46083</v>
      </c>
      <c r="M555" s="24">
        <v>0.69444444444444442</v>
      </c>
      <c r="N555" s="11">
        <v>26</v>
      </c>
      <c r="O555" s="11" t="s">
        <v>34</v>
      </c>
      <c r="P555" s="11" t="s">
        <v>35</v>
      </c>
      <c r="Q555" s="11"/>
      <c r="R555" s="11" t="s">
        <v>36</v>
      </c>
      <c r="S555" s="19">
        <v>50</v>
      </c>
      <c r="T555" s="11" t="s">
        <v>37</v>
      </c>
      <c r="U555" s="11" t="s">
        <v>96</v>
      </c>
      <c r="V555" s="11">
        <v>2</v>
      </c>
      <c r="W555" s="11" t="s">
        <v>62</v>
      </c>
      <c r="X555" s="11" t="s">
        <v>3333</v>
      </c>
      <c r="Y555" s="11" t="s">
        <v>41</v>
      </c>
      <c r="Z555" s="11" t="s">
        <v>42</v>
      </c>
      <c r="AA555" s="11" t="s">
        <v>3246</v>
      </c>
    </row>
    <row r="556" spans="1:27">
      <c r="A556" s="11" t="s">
        <v>2071</v>
      </c>
      <c r="B556" s="11" t="s">
        <v>2072</v>
      </c>
      <c r="C556" s="11" t="s">
        <v>56</v>
      </c>
      <c r="D556" s="19">
        <v>83</v>
      </c>
      <c r="E556" s="11" t="s">
        <v>57</v>
      </c>
      <c r="F556" s="11" t="s">
        <v>29</v>
      </c>
      <c r="G556" s="11" t="s">
        <v>58</v>
      </c>
      <c r="H556" s="12">
        <v>46199</v>
      </c>
      <c r="I556" s="12" t="str">
        <f t="shared" si="8"/>
        <v>June</v>
      </c>
      <c r="J556" s="24">
        <v>0.48888888888888887</v>
      </c>
      <c r="K556" s="19">
        <v>3</v>
      </c>
      <c r="L556" s="12">
        <v>46199</v>
      </c>
      <c r="M556" s="24">
        <v>0.94722222222222219</v>
      </c>
      <c r="N556" s="11">
        <v>11</v>
      </c>
      <c r="O556" s="11" t="s">
        <v>34</v>
      </c>
      <c r="P556" s="11" t="s">
        <v>35</v>
      </c>
      <c r="Q556" s="11"/>
      <c r="R556" s="11" t="s">
        <v>36</v>
      </c>
      <c r="S556" s="19">
        <v>15</v>
      </c>
      <c r="T556" s="11" t="s">
        <v>49</v>
      </c>
      <c r="U556" s="11" t="s">
        <v>96</v>
      </c>
      <c r="V556" s="11">
        <v>4</v>
      </c>
      <c r="W556" s="11" t="s">
        <v>70</v>
      </c>
      <c r="X556" s="11" t="s">
        <v>3334</v>
      </c>
      <c r="Y556" s="11" t="s">
        <v>41</v>
      </c>
      <c r="Z556" s="11" t="s">
        <v>42</v>
      </c>
      <c r="AA556" s="11"/>
    </row>
    <row r="557" spans="1:27">
      <c r="A557" s="11" t="s">
        <v>2075</v>
      </c>
      <c r="B557" s="11" t="s">
        <v>2076</v>
      </c>
      <c r="C557" s="11" t="s">
        <v>56</v>
      </c>
      <c r="D557" s="19">
        <v>16</v>
      </c>
      <c r="E557" s="11" t="s">
        <v>92</v>
      </c>
      <c r="F557" s="11" t="s">
        <v>29</v>
      </c>
      <c r="G557" s="11" t="s">
        <v>58</v>
      </c>
      <c r="H557" s="12">
        <v>46048</v>
      </c>
      <c r="I557" s="12" t="str">
        <f t="shared" si="8"/>
        <v>January</v>
      </c>
      <c r="J557" s="24">
        <v>0.57361111111111107</v>
      </c>
      <c r="K557" s="19">
        <v>24</v>
      </c>
      <c r="L557" s="12">
        <v>46049</v>
      </c>
      <c r="M557" s="24">
        <v>0.69861111111111107</v>
      </c>
      <c r="N557" s="11">
        <v>27</v>
      </c>
      <c r="O557" s="11" t="s">
        <v>34</v>
      </c>
      <c r="P557" s="11" t="s">
        <v>35</v>
      </c>
      <c r="Q557" s="11"/>
      <c r="R557" s="11" t="s">
        <v>36</v>
      </c>
      <c r="S557" s="19">
        <v>50</v>
      </c>
      <c r="T557" s="11" t="s">
        <v>49</v>
      </c>
      <c r="U557" s="11" t="s">
        <v>38</v>
      </c>
      <c r="V557" s="11">
        <v>5</v>
      </c>
      <c r="W557" s="11" t="s">
        <v>70</v>
      </c>
      <c r="X557" s="11" t="s">
        <v>51</v>
      </c>
      <c r="Y557" s="11" t="s">
        <v>52</v>
      </c>
      <c r="Z557" s="11" t="s">
        <v>42</v>
      </c>
      <c r="AA557" s="11" t="s">
        <v>3247</v>
      </c>
    </row>
    <row r="558" spans="1:27">
      <c r="A558" s="11" t="s">
        <v>2078</v>
      </c>
      <c r="B558" s="11" t="s">
        <v>2079</v>
      </c>
      <c r="C558" s="11" t="s">
        <v>56</v>
      </c>
      <c r="D558" s="19">
        <v>55</v>
      </c>
      <c r="E558" s="11" t="s">
        <v>92</v>
      </c>
      <c r="F558" s="11" t="s">
        <v>29</v>
      </c>
      <c r="G558" s="11" t="s">
        <v>93</v>
      </c>
      <c r="H558" s="12">
        <v>46158</v>
      </c>
      <c r="I558" s="12" t="str">
        <f t="shared" si="8"/>
        <v>May</v>
      </c>
      <c r="J558" s="24">
        <v>0.50208333333333333</v>
      </c>
      <c r="K558" s="19">
        <v>24</v>
      </c>
      <c r="L558" s="12">
        <v>46159</v>
      </c>
      <c r="M558" s="24">
        <v>0.62708333333333333</v>
      </c>
      <c r="N558" s="11">
        <v>27</v>
      </c>
      <c r="O558" s="11" t="s">
        <v>34</v>
      </c>
      <c r="P558" s="11" t="s">
        <v>35</v>
      </c>
      <c r="Q558" s="11"/>
      <c r="R558" s="11" t="s">
        <v>36</v>
      </c>
      <c r="S558" s="19">
        <v>50</v>
      </c>
      <c r="T558" s="11" t="s">
        <v>37</v>
      </c>
      <c r="U558" s="11" t="s">
        <v>96</v>
      </c>
      <c r="V558" s="11">
        <v>2</v>
      </c>
      <c r="W558" s="11" t="s">
        <v>89</v>
      </c>
      <c r="X558" s="11" t="s">
        <v>3325</v>
      </c>
      <c r="Y558" s="11" t="s">
        <v>41</v>
      </c>
      <c r="Z558" s="11" t="s">
        <v>53</v>
      </c>
      <c r="AA558" s="11" t="s">
        <v>3229</v>
      </c>
    </row>
    <row r="559" spans="1:27">
      <c r="A559" s="11" t="s">
        <v>2080</v>
      </c>
      <c r="B559" s="11" t="s">
        <v>2081</v>
      </c>
      <c r="C559" s="11" t="s">
        <v>27</v>
      </c>
      <c r="D559" s="19">
        <v>7</v>
      </c>
      <c r="E559" s="11" t="s">
        <v>92</v>
      </c>
      <c r="F559" s="11" t="s">
        <v>29</v>
      </c>
      <c r="G559" s="11" t="s">
        <v>168</v>
      </c>
      <c r="H559" s="12">
        <v>46042</v>
      </c>
      <c r="I559" s="12" t="str">
        <f t="shared" si="8"/>
        <v>January</v>
      </c>
      <c r="J559" s="24">
        <v>0.55277777777777781</v>
      </c>
      <c r="K559" s="19">
        <v>24</v>
      </c>
      <c r="L559" s="12">
        <v>46043</v>
      </c>
      <c r="M559" s="24">
        <v>0.80277777777777781</v>
      </c>
      <c r="N559" s="11">
        <v>30</v>
      </c>
      <c r="O559" s="11" t="s">
        <v>34</v>
      </c>
      <c r="P559" s="11" t="s">
        <v>35</v>
      </c>
      <c r="Q559" s="11"/>
      <c r="R559" s="11" t="s">
        <v>36</v>
      </c>
      <c r="S559" s="19">
        <v>50</v>
      </c>
      <c r="T559" s="11" t="s">
        <v>49</v>
      </c>
      <c r="U559" s="11" t="s">
        <v>38</v>
      </c>
      <c r="V559" s="11">
        <v>1</v>
      </c>
      <c r="W559" s="11" t="s">
        <v>70</v>
      </c>
      <c r="X559" s="11" t="s">
        <v>3334</v>
      </c>
      <c r="Y559" s="11" t="s">
        <v>52</v>
      </c>
      <c r="Z559" s="11" t="s">
        <v>71</v>
      </c>
      <c r="AA559" s="11" t="s">
        <v>3244</v>
      </c>
    </row>
    <row r="560" spans="1:27">
      <c r="A560" s="11" t="s">
        <v>2084</v>
      </c>
      <c r="B560" s="11" t="s">
        <v>2085</v>
      </c>
      <c r="C560" s="11" t="s">
        <v>56</v>
      </c>
      <c r="D560" s="19">
        <v>41</v>
      </c>
      <c r="E560" s="11" t="s">
        <v>173</v>
      </c>
      <c r="F560" s="11" t="s">
        <v>29</v>
      </c>
      <c r="G560" s="11" t="s">
        <v>30</v>
      </c>
      <c r="H560" s="12">
        <v>46101</v>
      </c>
      <c r="I560" s="12" t="str">
        <f t="shared" si="8"/>
        <v>March</v>
      </c>
      <c r="J560" s="24">
        <v>0.65277777777777779</v>
      </c>
      <c r="K560" s="19">
        <v>4</v>
      </c>
      <c r="L560" s="12">
        <v>46102</v>
      </c>
      <c r="M560" s="24">
        <v>0.1111111111111111</v>
      </c>
      <c r="N560" s="11">
        <v>11</v>
      </c>
      <c r="O560" s="11" t="s">
        <v>34</v>
      </c>
      <c r="P560" s="11" t="s">
        <v>35</v>
      </c>
      <c r="Q560" s="11"/>
      <c r="R560" s="11" t="s">
        <v>36</v>
      </c>
      <c r="S560" s="19">
        <v>25</v>
      </c>
      <c r="T560" s="11" t="s">
        <v>49</v>
      </c>
      <c r="U560" s="11" t="s">
        <v>164</v>
      </c>
      <c r="V560" s="11">
        <v>2</v>
      </c>
      <c r="W560" s="11" t="s">
        <v>62</v>
      </c>
      <c r="X560" s="11" t="s">
        <v>3334</v>
      </c>
      <c r="Y560" s="11" t="s">
        <v>109</v>
      </c>
      <c r="Z560" s="11" t="s">
        <v>53</v>
      </c>
      <c r="AA560" s="11" t="s">
        <v>3234</v>
      </c>
    </row>
    <row r="561" spans="1:27">
      <c r="A561" s="11" t="s">
        <v>2087</v>
      </c>
      <c r="B561" s="11" t="s">
        <v>2088</v>
      </c>
      <c r="C561" s="11" t="s">
        <v>56</v>
      </c>
      <c r="D561" s="19">
        <v>22</v>
      </c>
      <c r="E561" s="11" t="s">
        <v>149</v>
      </c>
      <c r="F561" s="11" t="s">
        <v>29</v>
      </c>
      <c r="G561" s="11" t="s">
        <v>168</v>
      </c>
      <c r="H561" s="12">
        <v>46129</v>
      </c>
      <c r="I561" s="12" t="str">
        <f t="shared" si="8"/>
        <v>April</v>
      </c>
      <c r="J561" s="24">
        <v>0.53263888888888888</v>
      </c>
      <c r="K561" s="19">
        <v>6</v>
      </c>
      <c r="L561" s="12">
        <v>46130</v>
      </c>
      <c r="M561" s="24">
        <v>0.11597222222222223</v>
      </c>
      <c r="N561" s="11">
        <v>14</v>
      </c>
      <c r="O561" s="11" t="s">
        <v>34</v>
      </c>
      <c r="P561" s="11" t="s">
        <v>35</v>
      </c>
      <c r="Q561" s="11"/>
      <c r="R561" s="11" t="s">
        <v>36</v>
      </c>
      <c r="S561" s="19">
        <v>40</v>
      </c>
      <c r="T561" s="11" t="s">
        <v>49</v>
      </c>
      <c r="U561" s="11" t="s">
        <v>38</v>
      </c>
      <c r="V561" s="11">
        <v>1</v>
      </c>
      <c r="W561" s="11" t="s">
        <v>62</v>
      </c>
      <c r="X561" s="11" t="s">
        <v>3333</v>
      </c>
      <c r="Y561" s="11" t="s">
        <v>41</v>
      </c>
      <c r="Z561" s="11" t="s">
        <v>53</v>
      </c>
      <c r="AA561" s="11" t="s">
        <v>3234</v>
      </c>
    </row>
    <row r="562" spans="1:27">
      <c r="A562" s="11" t="s">
        <v>2090</v>
      </c>
      <c r="B562" s="11" t="s">
        <v>2091</v>
      </c>
      <c r="C562" s="11" t="s">
        <v>56</v>
      </c>
      <c r="D562" s="19">
        <v>85</v>
      </c>
      <c r="E562" s="11" t="s">
        <v>149</v>
      </c>
      <c r="F562" s="11" t="s">
        <v>29</v>
      </c>
      <c r="G562" s="11" t="s">
        <v>30</v>
      </c>
      <c r="H562" s="12">
        <v>46107</v>
      </c>
      <c r="I562" s="12" t="str">
        <f t="shared" si="8"/>
        <v>March</v>
      </c>
      <c r="J562" s="24">
        <v>0.35555555555555557</v>
      </c>
      <c r="K562" s="19">
        <v>6</v>
      </c>
      <c r="L562" s="12">
        <v>46107</v>
      </c>
      <c r="M562" s="24">
        <v>0.68888888888888888</v>
      </c>
      <c r="N562" s="11">
        <v>8</v>
      </c>
      <c r="O562" s="11" t="s">
        <v>34</v>
      </c>
      <c r="P562" s="11" t="s">
        <v>35</v>
      </c>
      <c r="Q562" s="11"/>
      <c r="R562" s="11" t="s">
        <v>36</v>
      </c>
      <c r="S562" s="19">
        <v>40</v>
      </c>
      <c r="T562" s="11" t="s">
        <v>37</v>
      </c>
      <c r="U562" s="11" t="s">
        <v>38</v>
      </c>
      <c r="V562" s="11">
        <v>4</v>
      </c>
      <c r="W562" s="11" t="s">
        <v>89</v>
      </c>
      <c r="X562" s="11" t="s">
        <v>51</v>
      </c>
      <c r="Y562" s="11" t="s">
        <v>52</v>
      </c>
      <c r="Z562" s="11" t="s">
        <v>71</v>
      </c>
      <c r="AA562" s="11" t="str">
        <f>IF(A562=" ", "Missing Value", " ")</f>
        <v xml:space="preserve"> </v>
      </c>
    </row>
    <row r="563" spans="1:27">
      <c r="A563" s="11" t="s">
        <v>2092</v>
      </c>
      <c r="B563" s="11" t="s">
        <v>2093</v>
      </c>
      <c r="C563" s="11" t="s">
        <v>27</v>
      </c>
      <c r="D563" s="19">
        <v>43</v>
      </c>
      <c r="E563" s="11" t="s">
        <v>173</v>
      </c>
      <c r="F563" s="11" t="s">
        <v>29</v>
      </c>
      <c r="G563" s="11" t="s">
        <v>168</v>
      </c>
      <c r="H563" s="12">
        <v>46066</v>
      </c>
      <c r="I563" s="12" t="str">
        <f t="shared" si="8"/>
        <v>February</v>
      </c>
      <c r="J563" s="24">
        <v>0.35069444444444442</v>
      </c>
      <c r="K563" s="19">
        <v>4</v>
      </c>
      <c r="L563" s="12">
        <v>46066</v>
      </c>
      <c r="M563" s="24">
        <v>0.60069444444444442</v>
      </c>
      <c r="N563" s="11">
        <v>6</v>
      </c>
      <c r="O563" s="11" t="s">
        <v>34</v>
      </c>
      <c r="P563" s="11" t="s">
        <v>270</v>
      </c>
      <c r="Q563" s="11" t="s">
        <v>271</v>
      </c>
      <c r="R563" s="11" t="s">
        <v>36</v>
      </c>
      <c r="S563" s="19">
        <v>25</v>
      </c>
      <c r="T563" s="11" t="s">
        <v>49</v>
      </c>
      <c r="U563" s="11" t="s">
        <v>96</v>
      </c>
      <c r="V563" s="11">
        <v>3</v>
      </c>
      <c r="W563" s="11" t="s">
        <v>89</v>
      </c>
      <c r="X563" s="11" t="s">
        <v>3334</v>
      </c>
      <c r="Y563" s="11" t="s">
        <v>52</v>
      </c>
      <c r="Z563" s="11" t="s">
        <v>42</v>
      </c>
      <c r="AA563" s="11" t="s">
        <v>3254</v>
      </c>
    </row>
    <row r="564" spans="1:27">
      <c r="A564" s="11" t="s">
        <v>2095</v>
      </c>
      <c r="B564" s="11" t="s">
        <v>2096</v>
      </c>
      <c r="C564" s="11" t="s">
        <v>56</v>
      </c>
      <c r="D564" s="19">
        <v>19</v>
      </c>
      <c r="E564" s="11" t="s">
        <v>92</v>
      </c>
      <c r="F564" s="11" t="s">
        <v>29</v>
      </c>
      <c r="G564" s="11" t="s">
        <v>93</v>
      </c>
      <c r="H564" s="12">
        <v>46108</v>
      </c>
      <c r="I564" s="12" t="str">
        <f t="shared" si="8"/>
        <v>March</v>
      </c>
      <c r="J564" s="24">
        <v>0.42777777777777776</v>
      </c>
      <c r="K564" s="19">
        <v>24</v>
      </c>
      <c r="L564" s="12">
        <v>46109</v>
      </c>
      <c r="M564" s="24">
        <v>0.55277777777777781</v>
      </c>
      <c r="N564" s="11">
        <v>27</v>
      </c>
      <c r="O564" s="11" t="s">
        <v>34</v>
      </c>
      <c r="P564" s="11" t="s">
        <v>35</v>
      </c>
      <c r="Q564" s="11"/>
      <c r="R564" s="11" t="s">
        <v>36</v>
      </c>
      <c r="S564" s="19">
        <v>50</v>
      </c>
      <c r="T564" s="11" t="s">
        <v>37</v>
      </c>
      <c r="U564" s="11" t="s">
        <v>164</v>
      </c>
      <c r="V564" s="11">
        <v>3</v>
      </c>
      <c r="W564" s="11" t="s">
        <v>62</v>
      </c>
      <c r="X564" s="11" t="s">
        <v>3334</v>
      </c>
      <c r="Y564" s="11" t="s">
        <v>109</v>
      </c>
      <c r="Z564" s="11" t="s">
        <v>71</v>
      </c>
      <c r="AA564" s="11" t="s">
        <v>3232</v>
      </c>
    </row>
    <row r="565" spans="1:27">
      <c r="A565" s="11" t="s">
        <v>2097</v>
      </c>
      <c r="B565" s="11" t="s">
        <v>2098</v>
      </c>
      <c r="C565" s="11" t="s">
        <v>27</v>
      </c>
      <c r="D565" s="19">
        <v>13</v>
      </c>
      <c r="E565" s="11" t="s">
        <v>149</v>
      </c>
      <c r="F565" s="11" t="s">
        <v>29</v>
      </c>
      <c r="G565" s="11" t="s">
        <v>30</v>
      </c>
      <c r="H565" s="12">
        <v>46145</v>
      </c>
      <c r="I565" s="12" t="str">
        <f t="shared" si="8"/>
        <v>May</v>
      </c>
      <c r="J565" s="24">
        <v>0.3972222222222222</v>
      </c>
      <c r="K565" s="19">
        <v>6</v>
      </c>
      <c r="L565" s="12">
        <v>46145</v>
      </c>
      <c r="M565" s="24">
        <v>0.81388888888888888</v>
      </c>
      <c r="N565" s="11">
        <v>10</v>
      </c>
      <c r="O565" s="11" t="s">
        <v>34</v>
      </c>
      <c r="P565" s="11" t="s">
        <v>35</v>
      </c>
      <c r="Q565" s="11"/>
      <c r="R565" s="11" t="s">
        <v>36</v>
      </c>
      <c r="S565" s="19">
        <v>40</v>
      </c>
      <c r="T565" s="11" t="s">
        <v>49</v>
      </c>
      <c r="U565" s="11" t="s">
        <v>38</v>
      </c>
      <c r="V565" s="11">
        <v>1</v>
      </c>
      <c r="W565" s="11" t="s">
        <v>89</v>
      </c>
      <c r="X565" s="11" t="s">
        <v>51</v>
      </c>
      <c r="Y565" s="11" t="s">
        <v>109</v>
      </c>
      <c r="Z565" s="11" t="s">
        <v>53</v>
      </c>
      <c r="AA565" s="11" t="str">
        <f>IF(A565=" ", "Missing Value", " ")</f>
        <v xml:space="preserve"> </v>
      </c>
    </row>
    <row r="566" spans="1:27">
      <c r="A566" s="11" t="s">
        <v>2101</v>
      </c>
      <c r="B566" s="11" t="s">
        <v>2102</v>
      </c>
      <c r="C566" s="11" t="s">
        <v>27</v>
      </c>
      <c r="D566" s="19">
        <v>20</v>
      </c>
      <c r="E566" s="11" t="s">
        <v>92</v>
      </c>
      <c r="F566" s="11" t="s">
        <v>29</v>
      </c>
      <c r="G566" s="11" t="s">
        <v>30</v>
      </c>
      <c r="H566" s="12">
        <v>46133</v>
      </c>
      <c r="I566" s="12" t="str">
        <f t="shared" si="8"/>
        <v>April</v>
      </c>
      <c r="J566" s="24">
        <v>0.63263888888888886</v>
      </c>
      <c r="K566" s="19">
        <v>24</v>
      </c>
      <c r="L566" s="12">
        <v>46134</v>
      </c>
      <c r="M566" s="24">
        <v>0.6743055555555556</v>
      </c>
      <c r="N566" s="11">
        <v>25</v>
      </c>
      <c r="O566" s="11" t="s">
        <v>34</v>
      </c>
      <c r="P566" s="11" t="s">
        <v>270</v>
      </c>
      <c r="Q566" s="11" t="s">
        <v>677</v>
      </c>
      <c r="R566" s="11" t="s">
        <v>36</v>
      </c>
      <c r="S566" s="19">
        <v>50</v>
      </c>
      <c r="T566" s="11" t="s">
        <v>37</v>
      </c>
      <c r="U566" s="11" t="s">
        <v>96</v>
      </c>
      <c r="V566" s="11">
        <v>1</v>
      </c>
      <c r="W566" s="11" t="s">
        <v>70</v>
      </c>
      <c r="X566" s="11" t="s">
        <v>3325</v>
      </c>
      <c r="Y566" s="11" t="s">
        <v>52</v>
      </c>
      <c r="Z566" s="11" t="s">
        <v>42</v>
      </c>
      <c r="AA566" s="11" t="s">
        <v>3254</v>
      </c>
    </row>
    <row r="567" spans="1:27">
      <c r="A567" s="11" t="s">
        <v>2103</v>
      </c>
      <c r="B567" s="11" t="s">
        <v>2104</v>
      </c>
      <c r="C567" s="11" t="s">
        <v>56</v>
      </c>
      <c r="D567" s="19">
        <v>76</v>
      </c>
      <c r="E567" s="11" t="s">
        <v>57</v>
      </c>
      <c r="F567" s="11" t="s">
        <v>29</v>
      </c>
      <c r="G567" s="11" t="s">
        <v>168</v>
      </c>
      <c r="H567" s="12">
        <v>46086</v>
      </c>
      <c r="I567" s="12" t="str">
        <f t="shared" si="8"/>
        <v>March</v>
      </c>
      <c r="J567" s="24">
        <v>0.57986111111111116</v>
      </c>
      <c r="K567" s="19">
        <v>3</v>
      </c>
      <c r="L567" s="12">
        <v>46086</v>
      </c>
      <c r="M567" s="24">
        <v>0.66319444444444442</v>
      </c>
      <c r="N567" s="11">
        <v>2</v>
      </c>
      <c r="O567" s="11" t="s">
        <v>68</v>
      </c>
      <c r="P567" s="11" t="s">
        <v>35</v>
      </c>
      <c r="Q567" s="11"/>
      <c r="R567" s="11" t="s">
        <v>36</v>
      </c>
      <c r="S567" s="19">
        <v>15</v>
      </c>
      <c r="T567" s="11" t="s">
        <v>49</v>
      </c>
      <c r="U567" s="11" t="s">
        <v>164</v>
      </c>
      <c r="V567" s="11">
        <v>5</v>
      </c>
      <c r="W567" s="11" t="s">
        <v>39</v>
      </c>
      <c r="X567" s="11" t="s">
        <v>3334</v>
      </c>
      <c r="Y567" s="11" t="s">
        <v>109</v>
      </c>
      <c r="Z567" s="11" t="s">
        <v>42</v>
      </c>
      <c r="AA567" s="11" t="s">
        <v>3234</v>
      </c>
    </row>
    <row r="568" spans="1:27">
      <c r="A568" s="11" t="s">
        <v>2105</v>
      </c>
      <c r="B568" s="11" t="s">
        <v>2106</v>
      </c>
      <c r="C568" s="11" t="s">
        <v>56</v>
      </c>
      <c r="D568" s="19">
        <v>13</v>
      </c>
      <c r="E568" s="11" t="s">
        <v>173</v>
      </c>
      <c r="F568" s="11" t="s">
        <v>29</v>
      </c>
      <c r="G568" s="11" t="s">
        <v>168</v>
      </c>
      <c r="H568" s="12">
        <v>46059</v>
      </c>
      <c r="I568" s="12" t="str">
        <f t="shared" si="8"/>
        <v>February</v>
      </c>
      <c r="J568" s="24">
        <v>0.7</v>
      </c>
      <c r="K568" s="19">
        <v>4</v>
      </c>
      <c r="L568" s="12">
        <v>46059</v>
      </c>
      <c r="M568" s="24">
        <v>0.82499999999999996</v>
      </c>
      <c r="N568" s="11">
        <v>3</v>
      </c>
      <c r="O568" s="11" t="s">
        <v>68</v>
      </c>
      <c r="P568" s="11" t="s">
        <v>35</v>
      </c>
      <c r="Q568" s="11"/>
      <c r="R568" s="11" t="s">
        <v>36</v>
      </c>
      <c r="S568" s="19">
        <v>25</v>
      </c>
      <c r="T568" s="11" t="s">
        <v>49</v>
      </c>
      <c r="U568" s="11" t="s">
        <v>38</v>
      </c>
      <c r="V568" s="11">
        <v>1</v>
      </c>
      <c r="W568" s="11" t="s">
        <v>39</v>
      </c>
      <c r="X568" s="11" t="s">
        <v>3333</v>
      </c>
      <c r="Y568" s="11" t="s">
        <v>109</v>
      </c>
      <c r="Z568" s="11" t="s">
        <v>42</v>
      </c>
      <c r="AA568" s="11" t="s">
        <v>3234</v>
      </c>
    </row>
    <row r="569" spans="1:27">
      <c r="A569" s="11" t="s">
        <v>2109</v>
      </c>
      <c r="B569" s="11" t="s">
        <v>2110</v>
      </c>
      <c r="C569" s="11" t="s">
        <v>27</v>
      </c>
      <c r="D569" s="19">
        <v>20</v>
      </c>
      <c r="E569" s="11" t="s">
        <v>28</v>
      </c>
      <c r="F569" s="11" t="s">
        <v>29</v>
      </c>
      <c r="G569" s="11" t="s">
        <v>30</v>
      </c>
      <c r="H569" s="12">
        <v>46029</v>
      </c>
      <c r="I569" s="12" t="str">
        <f t="shared" si="8"/>
        <v>January</v>
      </c>
      <c r="J569" s="24">
        <v>0.4513888888888889</v>
      </c>
      <c r="K569" s="19">
        <v>5</v>
      </c>
      <c r="L569" s="12">
        <v>46029</v>
      </c>
      <c r="M569" s="24">
        <v>0.95138888888888884</v>
      </c>
      <c r="N569" s="11">
        <v>12</v>
      </c>
      <c r="O569" s="11" t="s">
        <v>34</v>
      </c>
      <c r="P569" s="11" t="s">
        <v>35</v>
      </c>
      <c r="Q569" s="11"/>
      <c r="R569" s="11" t="s">
        <v>36</v>
      </c>
      <c r="S569" s="19">
        <v>35</v>
      </c>
      <c r="T569" s="11" t="s">
        <v>49</v>
      </c>
      <c r="U569" s="11" t="s">
        <v>38</v>
      </c>
      <c r="V569" s="11">
        <v>5</v>
      </c>
      <c r="W569" s="11" t="s">
        <v>62</v>
      </c>
      <c r="X569" s="11" t="s">
        <v>3334</v>
      </c>
      <c r="Y569" s="11" t="s">
        <v>109</v>
      </c>
      <c r="Z569" s="11" t="s">
        <v>42</v>
      </c>
      <c r="AA569" s="11" t="str">
        <f>IF(A569=" ", "Missing Value", " ")</f>
        <v xml:space="preserve"> </v>
      </c>
    </row>
    <row r="570" spans="1:27">
      <c r="A570" s="11" t="s">
        <v>2113</v>
      </c>
      <c r="B570" s="11" t="s">
        <v>2114</v>
      </c>
      <c r="C570" s="11" t="s">
        <v>27</v>
      </c>
      <c r="D570" s="19">
        <v>63</v>
      </c>
      <c r="E570" s="11" t="s">
        <v>57</v>
      </c>
      <c r="F570" s="11" t="s">
        <v>29</v>
      </c>
      <c r="G570" s="11" t="s">
        <v>30</v>
      </c>
      <c r="H570" s="12">
        <v>46160</v>
      </c>
      <c r="I570" s="12" t="str">
        <f t="shared" si="8"/>
        <v>May</v>
      </c>
      <c r="J570" s="24">
        <v>0.40347222222222223</v>
      </c>
      <c r="K570" s="19">
        <v>3</v>
      </c>
      <c r="L570" s="12">
        <v>46160</v>
      </c>
      <c r="M570" s="24">
        <v>0.48680555555555555</v>
      </c>
      <c r="N570" s="11">
        <v>2</v>
      </c>
      <c r="O570" s="11" t="s">
        <v>68</v>
      </c>
      <c r="P570" s="11" t="s">
        <v>35</v>
      </c>
      <c r="Q570" s="11"/>
      <c r="R570" s="11" t="s">
        <v>36</v>
      </c>
      <c r="S570" s="19">
        <v>15</v>
      </c>
      <c r="T570" s="11" t="s">
        <v>37</v>
      </c>
      <c r="U570" s="11" t="s">
        <v>38</v>
      </c>
      <c r="V570" s="11">
        <v>3</v>
      </c>
      <c r="W570" s="11" t="s">
        <v>39</v>
      </c>
      <c r="X570" s="11" t="s">
        <v>3325</v>
      </c>
      <c r="Y570" s="11" t="s">
        <v>109</v>
      </c>
      <c r="Z570" s="11" t="s">
        <v>53</v>
      </c>
      <c r="AA570" s="11" t="s">
        <v>3234</v>
      </c>
    </row>
    <row r="571" spans="1:27">
      <c r="A571" s="11" t="s">
        <v>2115</v>
      </c>
      <c r="B571" s="11" t="s">
        <v>2116</v>
      </c>
      <c r="C571" s="11" t="s">
        <v>27</v>
      </c>
      <c r="D571" s="19">
        <v>30</v>
      </c>
      <c r="E571" s="11" t="s">
        <v>173</v>
      </c>
      <c r="F571" s="11" t="s">
        <v>29</v>
      </c>
      <c r="G571" s="11" t="s">
        <v>83</v>
      </c>
      <c r="H571" s="12">
        <v>46106</v>
      </c>
      <c r="I571" s="12" t="str">
        <f t="shared" si="8"/>
        <v>March</v>
      </c>
      <c r="J571" s="24">
        <v>0.68263888888888891</v>
      </c>
      <c r="K571" s="19">
        <v>4</v>
      </c>
      <c r="L571" s="12">
        <v>46106</v>
      </c>
      <c r="M571" s="24">
        <v>0.84930555555555554</v>
      </c>
      <c r="N571" s="11">
        <v>4</v>
      </c>
      <c r="O571" s="11" t="s">
        <v>68</v>
      </c>
      <c r="P571" s="11" t="s">
        <v>35</v>
      </c>
      <c r="Q571" s="11"/>
      <c r="R571" s="11" t="s">
        <v>36</v>
      </c>
      <c r="S571" s="19">
        <v>25</v>
      </c>
      <c r="T571" s="11" t="s">
        <v>49</v>
      </c>
      <c r="U571" s="11" t="s">
        <v>164</v>
      </c>
      <c r="V571" s="11">
        <v>3</v>
      </c>
      <c r="W571" s="11" t="s">
        <v>70</v>
      </c>
      <c r="X571" s="11" t="s">
        <v>51</v>
      </c>
      <c r="Y571" s="11" t="s">
        <v>41</v>
      </c>
      <c r="Z571" s="11" t="s">
        <v>53</v>
      </c>
      <c r="AA571" s="11" t="s">
        <v>3234</v>
      </c>
    </row>
    <row r="572" spans="1:27">
      <c r="A572" s="11" t="s">
        <v>2119</v>
      </c>
      <c r="B572" s="11" t="s">
        <v>2120</v>
      </c>
      <c r="C572" s="11" t="s">
        <v>27</v>
      </c>
      <c r="D572" s="19">
        <v>76</v>
      </c>
      <c r="E572" s="11" t="s">
        <v>149</v>
      </c>
      <c r="F572" s="11" t="s">
        <v>29</v>
      </c>
      <c r="G572" s="11" t="s">
        <v>30</v>
      </c>
      <c r="H572" s="12">
        <v>46113</v>
      </c>
      <c r="I572" s="12" t="str">
        <f t="shared" si="8"/>
        <v>April</v>
      </c>
      <c r="J572" s="24">
        <v>0.65902777777777777</v>
      </c>
      <c r="K572" s="19">
        <v>6</v>
      </c>
      <c r="L572" s="12">
        <v>46114</v>
      </c>
      <c r="M572" s="24">
        <v>7.5694444444444439E-2</v>
      </c>
      <c r="N572" s="11">
        <v>10</v>
      </c>
      <c r="O572" s="11" t="s">
        <v>34</v>
      </c>
      <c r="P572" s="11" t="s">
        <v>35</v>
      </c>
      <c r="Q572" s="11"/>
      <c r="R572" s="11" t="s">
        <v>36</v>
      </c>
      <c r="S572" s="19">
        <v>40</v>
      </c>
      <c r="T572" s="11" t="s">
        <v>49</v>
      </c>
      <c r="U572" s="11" t="s">
        <v>38</v>
      </c>
      <c r="V572" s="11">
        <v>3</v>
      </c>
      <c r="W572" s="11" t="s">
        <v>89</v>
      </c>
      <c r="X572" s="11" t="s">
        <v>3325</v>
      </c>
      <c r="Y572" s="11" t="s">
        <v>52</v>
      </c>
      <c r="Z572" s="11" t="s">
        <v>71</v>
      </c>
      <c r="AA572" s="11" t="str">
        <f>IF(A572=" ", "Missing Value", " ")</f>
        <v xml:space="preserve"> </v>
      </c>
    </row>
    <row r="573" spans="1:27">
      <c r="A573" s="11" t="s">
        <v>2122</v>
      </c>
      <c r="B573" s="11" t="s">
        <v>2123</v>
      </c>
      <c r="C573" s="11" t="s">
        <v>56</v>
      </c>
      <c r="D573" s="19">
        <v>77</v>
      </c>
      <c r="E573" s="11" t="s">
        <v>149</v>
      </c>
      <c r="F573" s="11" t="s">
        <v>29</v>
      </c>
      <c r="G573" s="11" t="s">
        <v>58</v>
      </c>
      <c r="H573" s="12">
        <v>46187</v>
      </c>
      <c r="I573" s="12" t="str">
        <f t="shared" si="8"/>
        <v>June</v>
      </c>
      <c r="J573" s="24">
        <v>0.43333333333333335</v>
      </c>
      <c r="K573" s="19">
        <v>6</v>
      </c>
      <c r="L573" s="12">
        <v>46187</v>
      </c>
      <c r="M573" s="24">
        <v>0.97499999999999998</v>
      </c>
      <c r="N573" s="11">
        <v>13</v>
      </c>
      <c r="O573" s="11" t="s">
        <v>34</v>
      </c>
      <c r="P573" s="11" t="s">
        <v>35</v>
      </c>
      <c r="Q573" s="11"/>
      <c r="R573" s="11" t="s">
        <v>36</v>
      </c>
      <c r="S573" s="19">
        <v>40</v>
      </c>
      <c r="T573" s="11" t="s">
        <v>49</v>
      </c>
      <c r="U573" s="11" t="s">
        <v>96</v>
      </c>
      <c r="V573" s="11">
        <v>1</v>
      </c>
      <c r="W573" s="11" t="s">
        <v>70</v>
      </c>
      <c r="X573" s="11" t="s">
        <v>51</v>
      </c>
      <c r="Y573" s="11" t="s">
        <v>52</v>
      </c>
      <c r="Z573" s="11" t="s">
        <v>71</v>
      </c>
      <c r="AA573" s="11" t="s">
        <v>3234</v>
      </c>
    </row>
    <row r="574" spans="1:27">
      <c r="A574" s="11" t="s">
        <v>2125</v>
      </c>
      <c r="B574" s="11" t="s">
        <v>2126</v>
      </c>
      <c r="C574" s="11" t="s">
        <v>56</v>
      </c>
      <c r="D574" s="19">
        <v>16</v>
      </c>
      <c r="E574" s="11" t="s">
        <v>92</v>
      </c>
      <c r="F574" s="11" t="s">
        <v>29</v>
      </c>
      <c r="G574" s="11" t="s">
        <v>93</v>
      </c>
      <c r="H574" s="12">
        <v>46122</v>
      </c>
      <c r="I574" s="12" t="str">
        <f t="shared" si="8"/>
        <v>April</v>
      </c>
      <c r="J574" s="24">
        <v>0.41944444444444445</v>
      </c>
      <c r="K574" s="19">
        <v>24</v>
      </c>
      <c r="L574" s="12">
        <v>46123</v>
      </c>
      <c r="M574" s="24">
        <v>0.5444444444444444</v>
      </c>
      <c r="N574" s="11">
        <v>27</v>
      </c>
      <c r="O574" s="11" t="s">
        <v>34</v>
      </c>
      <c r="P574" s="11" t="s">
        <v>35</v>
      </c>
      <c r="Q574" s="11"/>
      <c r="R574" s="11" t="s">
        <v>36</v>
      </c>
      <c r="S574" s="19">
        <v>50</v>
      </c>
      <c r="T574" s="11" t="s">
        <v>37</v>
      </c>
      <c r="U574" s="11" t="s">
        <v>38</v>
      </c>
      <c r="V574" s="11">
        <v>4</v>
      </c>
      <c r="W574" s="11" t="s">
        <v>70</v>
      </c>
      <c r="X574" s="11" t="s">
        <v>51</v>
      </c>
      <c r="Y574" s="11" t="s">
        <v>109</v>
      </c>
      <c r="Z574" s="11" t="s">
        <v>71</v>
      </c>
      <c r="AA574" s="11" t="s">
        <v>3232</v>
      </c>
    </row>
    <row r="575" spans="1:27">
      <c r="A575" s="11" t="s">
        <v>2127</v>
      </c>
      <c r="B575" s="11" t="s">
        <v>2128</v>
      </c>
      <c r="C575" s="11" t="s">
        <v>56</v>
      </c>
      <c r="D575" s="19">
        <v>59</v>
      </c>
      <c r="E575" s="11" t="s">
        <v>92</v>
      </c>
      <c r="F575" s="11" t="s">
        <v>29</v>
      </c>
      <c r="G575" s="11" t="s">
        <v>93</v>
      </c>
      <c r="H575" s="12">
        <v>46027</v>
      </c>
      <c r="I575" s="12" t="str">
        <f t="shared" si="8"/>
        <v>January</v>
      </c>
      <c r="J575" s="24">
        <v>0.48749999999999999</v>
      </c>
      <c r="K575" s="19">
        <v>24</v>
      </c>
      <c r="L575" s="12">
        <v>46028</v>
      </c>
      <c r="M575" s="24">
        <v>0.52916666666666667</v>
      </c>
      <c r="N575" s="11">
        <v>25</v>
      </c>
      <c r="O575" s="11" t="s">
        <v>34</v>
      </c>
      <c r="P575" s="11" t="s">
        <v>35</v>
      </c>
      <c r="Q575" s="11"/>
      <c r="R575" s="11" t="s">
        <v>36</v>
      </c>
      <c r="S575" s="19">
        <v>50</v>
      </c>
      <c r="T575" s="11" t="s">
        <v>49</v>
      </c>
      <c r="U575" s="11" t="s">
        <v>38</v>
      </c>
      <c r="V575" s="11">
        <v>3</v>
      </c>
      <c r="W575" s="11" t="s">
        <v>62</v>
      </c>
      <c r="X575" s="11" t="s">
        <v>51</v>
      </c>
      <c r="Y575" s="11" t="s">
        <v>52</v>
      </c>
      <c r="Z575" s="11" t="s">
        <v>71</v>
      </c>
      <c r="AA575" s="11" t="s">
        <v>3229</v>
      </c>
    </row>
    <row r="576" spans="1:27">
      <c r="A576" s="11" t="s">
        <v>2129</v>
      </c>
      <c r="B576" s="11" t="s">
        <v>2130</v>
      </c>
      <c r="C576" s="11" t="s">
        <v>56</v>
      </c>
      <c r="D576" s="19">
        <v>81</v>
      </c>
      <c r="E576" s="11" t="s">
        <v>92</v>
      </c>
      <c r="F576" s="11" t="s">
        <v>29</v>
      </c>
      <c r="G576" s="11" t="s">
        <v>93</v>
      </c>
      <c r="H576" s="12">
        <v>46087</v>
      </c>
      <c r="I576" s="12" t="str">
        <f t="shared" si="8"/>
        <v>March</v>
      </c>
      <c r="J576" s="24">
        <v>0.45555555555555555</v>
      </c>
      <c r="K576" s="19">
        <v>24</v>
      </c>
      <c r="L576" s="12">
        <v>46088</v>
      </c>
      <c r="M576" s="24">
        <v>0.78888888888888886</v>
      </c>
      <c r="N576" s="11">
        <v>32</v>
      </c>
      <c r="O576" s="11" t="s">
        <v>34</v>
      </c>
      <c r="P576" s="11" t="s">
        <v>35</v>
      </c>
      <c r="Q576" s="11"/>
      <c r="R576" s="11" t="s">
        <v>36</v>
      </c>
      <c r="S576" s="19">
        <v>50</v>
      </c>
      <c r="T576" s="11" t="s">
        <v>49</v>
      </c>
      <c r="U576" s="11" t="s">
        <v>38</v>
      </c>
      <c r="V576" s="11">
        <v>4</v>
      </c>
      <c r="W576" s="11" t="s">
        <v>39</v>
      </c>
      <c r="X576" s="11" t="s">
        <v>3325</v>
      </c>
      <c r="Y576" s="11" t="s">
        <v>41</v>
      </c>
      <c r="Z576" s="11" t="s">
        <v>53</v>
      </c>
      <c r="AA576" s="11" t="s">
        <v>3229</v>
      </c>
    </row>
    <row r="577" spans="1:27">
      <c r="A577" s="11" t="s">
        <v>2132</v>
      </c>
      <c r="B577" s="11" t="s">
        <v>2133</v>
      </c>
      <c r="C577" s="11" t="s">
        <v>56</v>
      </c>
      <c r="D577" s="19">
        <v>68</v>
      </c>
      <c r="E577" s="11" t="s">
        <v>173</v>
      </c>
      <c r="F577" s="11" t="s">
        <v>29</v>
      </c>
      <c r="G577" s="11" t="s">
        <v>30</v>
      </c>
      <c r="H577" s="12">
        <v>46132</v>
      </c>
      <c r="I577" s="12" t="str">
        <f t="shared" si="8"/>
        <v>April</v>
      </c>
      <c r="J577" s="24">
        <v>0.59652777777777777</v>
      </c>
      <c r="K577" s="19">
        <v>4</v>
      </c>
      <c r="L577" s="12">
        <v>46132</v>
      </c>
      <c r="M577" s="24">
        <v>0.7631944444444444</v>
      </c>
      <c r="N577" s="11">
        <v>4</v>
      </c>
      <c r="O577" s="11" t="s">
        <v>68</v>
      </c>
      <c r="P577" s="11" t="s">
        <v>35</v>
      </c>
      <c r="Q577" s="11"/>
      <c r="R577" s="11" t="s">
        <v>36</v>
      </c>
      <c r="S577" s="19">
        <v>25</v>
      </c>
      <c r="T577" s="11" t="s">
        <v>37</v>
      </c>
      <c r="U577" s="11" t="s">
        <v>96</v>
      </c>
      <c r="V577" s="11">
        <v>1</v>
      </c>
      <c r="W577" s="11" t="s">
        <v>70</v>
      </c>
      <c r="X577" s="11" t="s">
        <v>3333</v>
      </c>
      <c r="Y577" s="11" t="s">
        <v>41</v>
      </c>
      <c r="Z577" s="11" t="s">
        <v>71</v>
      </c>
      <c r="AA577" s="11" t="s">
        <v>3234</v>
      </c>
    </row>
    <row r="578" spans="1:27">
      <c r="A578" s="11" t="s">
        <v>2136</v>
      </c>
      <c r="B578" s="11" t="s">
        <v>2137</v>
      </c>
      <c r="C578" s="11" t="s">
        <v>56</v>
      </c>
      <c r="D578" s="19">
        <v>90</v>
      </c>
      <c r="E578" s="11" t="s">
        <v>92</v>
      </c>
      <c r="F578" s="11" t="s">
        <v>29</v>
      </c>
      <c r="G578" s="11" t="s">
        <v>93</v>
      </c>
      <c r="H578" s="12">
        <v>46172</v>
      </c>
      <c r="I578" s="12" t="str">
        <f t="shared" ref="I578:I641" si="10">TEXT(H578, "mmmm")</f>
        <v>May</v>
      </c>
      <c r="J578" s="24">
        <v>0.66597222222222219</v>
      </c>
      <c r="K578" s="19">
        <v>24</v>
      </c>
      <c r="L578" s="12">
        <v>46173</v>
      </c>
      <c r="M578" s="24">
        <v>0.87430555555555556</v>
      </c>
      <c r="N578" s="11">
        <v>29</v>
      </c>
      <c r="O578" s="11" t="s">
        <v>34</v>
      </c>
      <c r="P578" s="11" t="s">
        <v>35</v>
      </c>
      <c r="Q578" s="11"/>
      <c r="R578" s="11" t="s">
        <v>36</v>
      </c>
      <c r="S578" s="19">
        <v>50</v>
      </c>
      <c r="T578" s="11" t="s">
        <v>49</v>
      </c>
      <c r="U578" s="11" t="s">
        <v>164</v>
      </c>
      <c r="V578" s="11">
        <v>1</v>
      </c>
      <c r="W578" s="11" t="s">
        <v>62</v>
      </c>
      <c r="X578" s="11" t="s">
        <v>3333</v>
      </c>
      <c r="Y578" s="11" t="s">
        <v>52</v>
      </c>
      <c r="Z578" s="11" t="s">
        <v>71</v>
      </c>
      <c r="AA578" s="11" t="s">
        <v>3229</v>
      </c>
    </row>
    <row r="579" spans="1:27">
      <c r="A579" s="11" t="s">
        <v>2138</v>
      </c>
      <c r="B579" s="11" t="s">
        <v>2139</v>
      </c>
      <c r="C579" s="11" t="s">
        <v>27</v>
      </c>
      <c r="D579" s="19">
        <v>81</v>
      </c>
      <c r="E579" s="11" t="s">
        <v>81</v>
      </c>
      <c r="F579" s="11" t="s">
        <v>82</v>
      </c>
      <c r="G579" s="11" t="s">
        <v>30</v>
      </c>
      <c r="H579" s="12">
        <v>46142</v>
      </c>
      <c r="I579" s="12" t="str">
        <f t="shared" si="10"/>
        <v>April</v>
      </c>
      <c r="J579" s="24">
        <v>0.33124999999999999</v>
      </c>
      <c r="K579" s="19">
        <v>8</v>
      </c>
      <c r="L579" s="12">
        <v>46142</v>
      </c>
      <c r="M579" s="24">
        <v>0.6645833333333333</v>
      </c>
      <c r="N579" s="11">
        <v>8</v>
      </c>
      <c r="O579" s="11" t="s">
        <v>68</v>
      </c>
      <c r="P579" s="11" t="s">
        <v>270</v>
      </c>
      <c r="Q579" s="11" t="s">
        <v>677</v>
      </c>
      <c r="R579" s="11" t="s">
        <v>36</v>
      </c>
      <c r="S579" s="19">
        <v>20</v>
      </c>
      <c r="T579" s="11" t="s">
        <v>49</v>
      </c>
      <c r="U579" s="11" t="s">
        <v>38</v>
      </c>
      <c r="V579" s="11">
        <v>3</v>
      </c>
      <c r="W579" s="11" t="s">
        <v>70</v>
      </c>
      <c r="X579" s="11" t="s">
        <v>3334</v>
      </c>
      <c r="Y579" s="11" t="s">
        <v>109</v>
      </c>
      <c r="Z579" s="11" t="s">
        <v>42</v>
      </c>
      <c r="AA579" s="11" t="s">
        <v>3254</v>
      </c>
    </row>
    <row r="580" spans="1:27">
      <c r="A580" s="11" t="s">
        <v>2141</v>
      </c>
      <c r="B580" s="11" t="s">
        <v>2142</v>
      </c>
      <c r="C580" s="11" t="s">
        <v>27</v>
      </c>
      <c r="D580" s="19">
        <v>17</v>
      </c>
      <c r="E580" s="11" t="s">
        <v>92</v>
      </c>
      <c r="F580" s="11" t="s">
        <v>29</v>
      </c>
      <c r="G580" s="11" t="s">
        <v>168</v>
      </c>
      <c r="H580" s="12">
        <v>46196</v>
      </c>
      <c r="I580" s="12" t="str">
        <f t="shared" si="10"/>
        <v>June</v>
      </c>
      <c r="J580" s="24">
        <v>0.49930555555555556</v>
      </c>
      <c r="K580" s="19">
        <v>24</v>
      </c>
      <c r="L580" s="12">
        <v>46197</v>
      </c>
      <c r="M580" s="24">
        <v>0.58263888888888893</v>
      </c>
      <c r="N580" s="11">
        <v>26</v>
      </c>
      <c r="O580" s="11" t="s">
        <v>34</v>
      </c>
      <c r="P580" s="11" t="s">
        <v>35</v>
      </c>
      <c r="Q580" s="11"/>
      <c r="R580" s="11" t="s">
        <v>36</v>
      </c>
      <c r="S580" s="19">
        <v>50</v>
      </c>
      <c r="T580" s="11" t="s">
        <v>49</v>
      </c>
      <c r="U580" s="11" t="s">
        <v>96</v>
      </c>
      <c r="V580" s="11">
        <v>5</v>
      </c>
      <c r="W580" s="11" t="s">
        <v>39</v>
      </c>
      <c r="X580" s="11" t="s">
        <v>51</v>
      </c>
      <c r="Y580" s="11" t="s">
        <v>52</v>
      </c>
      <c r="Z580" s="11" t="s">
        <v>42</v>
      </c>
      <c r="AA580" s="11" t="s">
        <v>3249</v>
      </c>
    </row>
    <row r="581" spans="1:27">
      <c r="A581" s="11" t="s">
        <v>2143</v>
      </c>
      <c r="B581" s="11" t="s">
        <v>2144</v>
      </c>
      <c r="C581" s="11" t="s">
        <v>27</v>
      </c>
      <c r="D581" s="19">
        <v>85</v>
      </c>
      <c r="E581" s="11" t="s">
        <v>81</v>
      </c>
      <c r="F581" s="11" t="s">
        <v>82</v>
      </c>
      <c r="G581" s="11" t="s">
        <v>93</v>
      </c>
      <c r="H581" s="12">
        <v>46183</v>
      </c>
      <c r="I581" s="12" t="str">
        <f t="shared" si="10"/>
        <v>June</v>
      </c>
      <c r="J581" s="24">
        <v>0.65625</v>
      </c>
      <c r="K581" s="19">
        <v>8</v>
      </c>
      <c r="L581" s="12">
        <v>46184</v>
      </c>
      <c r="M581" s="24">
        <v>0.15625</v>
      </c>
      <c r="N581" s="11">
        <v>12</v>
      </c>
      <c r="O581" s="11" t="s">
        <v>34</v>
      </c>
      <c r="P581" s="11" t="s">
        <v>35</v>
      </c>
      <c r="Q581" s="11"/>
      <c r="R581" s="11" t="s">
        <v>36</v>
      </c>
      <c r="S581" s="19">
        <v>20</v>
      </c>
      <c r="T581" s="11" t="s">
        <v>37</v>
      </c>
      <c r="U581" s="11" t="s">
        <v>164</v>
      </c>
      <c r="V581" s="11">
        <v>1</v>
      </c>
      <c r="W581" s="11" t="s">
        <v>89</v>
      </c>
      <c r="X581" s="11" t="s">
        <v>3334</v>
      </c>
      <c r="Y581" s="11" t="s">
        <v>41</v>
      </c>
      <c r="Z581" s="11" t="s">
        <v>71</v>
      </c>
      <c r="AA581" s="11" t="s">
        <v>3234</v>
      </c>
    </row>
    <row r="582" spans="1:27">
      <c r="A582" s="11" t="s">
        <v>2146</v>
      </c>
      <c r="B582" s="11" t="s">
        <v>2147</v>
      </c>
      <c r="C582" s="11" t="s">
        <v>56</v>
      </c>
      <c r="D582" s="19">
        <v>12</v>
      </c>
      <c r="E582" s="11" t="s">
        <v>92</v>
      </c>
      <c r="F582" s="11" t="s">
        <v>29</v>
      </c>
      <c r="G582" s="11" t="s">
        <v>93</v>
      </c>
      <c r="H582" s="12">
        <v>46042</v>
      </c>
      <c r="I582" s="12" t="str">
        <f t="shared" si="10"/>
        <v>January</v>
      </c>
      <c r="J582" s="24">
        <v>0.29444444444444445</v>
      </c>
      <c r="K582" s="19">
        <v>24</v>
      </c>
      <c r="L582" s="12">
        <v>46043</v>
      </c>
      <c r="M582" s="24">
        <v>0.41944444444444445</v>
      </c>
      <c r="N582" s="11">
        <v>27</v>
      </c>
      <c r="O582" s="11" t="s">
        <v>34</v>
      </c>
      <c r="P582" s="11" t="s">
        <v>270</v>
      </c>
      <c r="Q582" s="11" t="s">
        <v>677</v>
      </c>
      <c r="R582" s="11" t="s">
        <v>36</v>
      </c>
      <c r="S582" s="19">
        <v>50</v>
      </c>
      <c r="T582" s="11" t="s">
        <v>49</v>
      </c>
      <c r="U582" s="11" t="s">
        <v>38</v>
      </c>
      <c r="V582" s="11">
        <v>1</v>
      </c>
      <c r="W582" s="11" t="s">
        <v>89</v>
      </c>
      <c r="X582" s="11" t="s">
        <v>3325</v>
      </c>
      <c r="Y582" s="11" t="s">
        <v>109</v>
      </c>
      <c r="Z582" s="11" t="s">
        <v>53</v>
      </c>
      <c r="AA582" s="11" t="s">
        <v>3258</v>
      </c>
    </row>
    <row r="583" spans="1:27">
      <c r="A583" s="11" t="s">
        <v>2148</v>
      </c>
      <c r="B583" s="11" t="s">
        <v>2149</v>
      </c>
      <c r="C583" s="11" t="s">
        <v>27</v>
      </c>
      <c r="D583" s="19">
        <v>59</v>
      </c>
      <c r="E583" s="11" t="s">
        <v>149</v>
      </c>
      <c r="F583" s="11" t="s">
        <v>29</v>
      </c>
      <c r="G583" s="11" t="s">
        <v>30</v>
      </c>
      <c r="H583" s="12">
        <v>46161</v>
      </c>
      <c r="I583" s="12" t="str">
        <f t="shared" si="10"/>
        <v>May</v>
      </c>
      <c r="J583" s="24">
        <v>0.61458333333333337</v>
      </c>
      <c r="K583" s="19">
        <v>6</v>
      </c>
      <c r="L583" s="12">
        <v>46161</v>
      </c>
      <c r="M583" s="24">
        <v>0.98958333333333337</v>
      </c>
      <c r="N583" s="11">
        <v>9</v>
      </c>
      <c r="O583" s="11" t="s">
        <v>34</v>
      </c>
      <c r="P583" s="11" t="s">
        <v>35</v>
      </c>
      <c r="Q583" s="11"/>
      <c r="R583" s="11" t="s">
        <v>36</v>
      </c>
      <c r="S583" s="19">
        <v>40</v>
      </c>
      <c r="T583" s="11" t="s">
        <v>49</v>
      </c>
      <c r="U583" s="11" t="s">
        <v>96</v>
      </c>
      <c r="V583" s="11">
        <v>3</v>
      </c>
      <c r="W583" s="11" t="s">
        <v>70</v>
      </c>
      <c r="X583" s="11" t="s">
        <v>3325</v>
      </c>
      <c r="Y583" s="11" t="s">
        <v>41</v>
      </c>
      <c r="Z583" s="11" t="s">
        <v>42</v>
      </c>
      <c r="AA583" s="11" t="str">
        <f>IF(A583=" ", "Missing Value", " ")</f>
        <v xml:space="preserve"> </v>
      </c>
    </row>
    <row r="584" spans="1:27">
      <c r="A584" s="11" t="s">
        <v>2150</v>
      </c>
      <c r="B584" s="11" t="s">
        <v>2151</v>
      </c>
      <c r="C584" s="11" t="s">
        <v>56</v>
      </c>
      <c r="D584" s="19">
        <v>87</v>
      </c>
      <c r="E584" s="11" t="s">
        <v>92</v>
      </c>
      <c r="F584" s="11" t="s">
        <v>29</v>
      </c>
      <c r="G584" s="11" t="s">
        <v>93</v>
      </c>
      <c r="H584" s="12">
        <v>46123</v>
      </c>
      <c r="I584" s="12" t="str">
        <f t="shared" si="10"/>
        <v>April</v>
      </c>
      <c r="J584" s="24">
        <v>0.62638888888888888</v>
      </c>
      <c r="K584" s="19">
        <v>24</v>
      </c>
      <c r="L584" s="12">
        <v>46124</v>
      </c>
      <c r="M584" s="24">
        <v>0.58472222222222225</v>
      </c>
      <c r="N584" s="11">
        <v>23</v>
      </c>
      <c r="O584" s="11" t="s">
        <v>68</v>
      </c>
      <c r="P584" s="11" t="s">
        <v>35</v>
      </c>
      <c r="Q584" s="11"/>
      <c r="R584" s="11" t="s">
        <v>36</v>
      </c>
      <c r="S584" s="19">
        <v>50</v>
      </c>
      <c r="T584" s="11" t="s">
        <v>49</v>
      </c>
      <c r="U584" s="11" t="s">
        <v>164</v>
      </c>
      <c r="V584" s="11">
        <v>2</v>
      </c>
      <c r="W584" s="11" t="s">
        <v>39</v>
      </c>
      <c r="X584" s="11" t="s">
        <v>3325</v>
      </c>
      <c r="Y584" s="11" t="s">
        <v>41</v>
      </c>
      <c r="Z584" s="11" t="s">
        <v>42</v>
      </c>
      <c r="AA584" s="11" t="s">
        <v>3229</v>
      </c>
    </row>
    <row r="585" spans="1:27">
      <c r="A585" s="11" t="s">
        <v>2152</v>
      </c>
      <c r="B585" s="11" t="s">
        <v>2153</v>
      </c>
      <c r="C585" s="11" t="s">
        <v>56</v>
      </c>
      <c r="D585" s="19">
        <v>45</v>
      </c>
      <c r="E585" s="11" t="s">
        <v>92</v>
      </c>
      <c r="F585" s="11" t="s">
        <v>29</v>
      </c>
      <c r="G585" s="11" t="s">
        <v>93</v>
      </c>
      <c r="H585" s="12">
        <v>46050</v>
      </c>
      <c r="I585" s="12" t="str">
        <f t="shared" si="10"/>
        <v>January</v>
      </c>
      <c r="J585" s="24">
        <v>0.36944444444444446</v>
      </c>
      <c r="K585" s="19">
        <v>24</v>
      </c>
      <c r="L585" s="12">
        <v>46051</v>
      </c>
      <c r="M585" s="24">
        <v>0.66111111111111109</v>
      </c>
      <c r="N585" s="11">
        <v>31</v>
      </c>
      <c r="O585" s="11" t="s">
        <v>34</v>
      </c>
      <c r="P585" s="11" t="s">
        <v>35</v>
      </c>
      <c r="Q585" s="11"/>
      <c r="R585" s="11" t="s">
        <v>36</v>
      </c>
      <c r="S585" s="19">
        <v>50</v>
      </c>
      <c r="T585" s="11" t="s">
        <v>49</v>
      </c>
      <c r="U585" s="11" t="s">
        <v>164</v>
      </c>
      <c r="V585" s="11">
        <v>1</v>
      </c>
      <c r="W585" s="11" t="s">
        <v>39</v>
      </c>
      <c r="X585" s="11" t="s">
        <v>51</v>
      </c>
      <c r="Y585" s="11" t="s">
        <v>52</v>
      </c>
      <c r="Z585" s="11" t="s">
        <v>42</v>
      </c>
      <c r="AA585" s="11" t="s">
        <v>3229</v>
      </c>
    </row>
    <row r="586" spans="1:27">
      <c r="A586" s="11" t="s">
        <v>2155</v>
      </c>
      <c r="B586" s="11" t="s">
        <v>2156</v>
      </c>
      <c r="C586" s="11" t="s">
        <v>27</v>
      </c>
      <c r="D586" s="19">
        <v>54</v>
      </c>
      <c r="E586" s="11" t="s">
        <v>28</v>
      </c>
      <c r="F586" s="11" t="s">
        <v>29</v>
      </c>
      <c r="G586" s="11" t="s">
        <v>30</v>
      </c>
      <c r="H586" s="12">
        <v>46028</v>
      </c>
      <c r="I586" s="12" t="str">
        <f t="shared" si="10"/>
        <v>January</v>
      </c>
      <c r="J586" s="24">
        <v>0.33819444444444446</v>
      </c>
      <c r="K586" s="19">
        <v>5</v>
      </c>
      <c r="L586" s="12">
        <v>46028</v>
      </c>
      <c r="M586" s="24">
        <v>0.62986111111111109</v>
      </c>
      <c r="N586" s="11">
        <v>7</v>
      </c>
      <c r="O586" s="11" t="s">
        <v>34</v>
      </c>
      <c r="P586" s="11" t="s">
        <v>35</v>
      </c>
      <c r="Q586" s="11"/>
      <c r="R586" s="11" t="s">
        <v>36</v>
      </c>
      <c r="S586" s="19">
        <v>35</v>
      </c>
      <c r="T586" s="11" t="s">
        <v>37</v>
      </c>
      <c r="U586" s="11" t="s">
        <v>38</v>
      </c>
      <c r="V586" s="11">
        <v>2</v>
      </c>
      <c r="W586" s="11" t="s">
        <v>62</v>
      </c>
      <c r="X586" s="11" t="s">
        <v>3325</v>
      </c>
      <c r="Y586" s="11" t="s">
        <v>109</v>
      </c>
      <c r="Z586" s="11" t="s">
        <v>42</v>
      </c>
      <c r="AA586" s="11" t="str">
        <f>IF(A586=" ", "Missing Value", " ")</f>
        <v xml:space="preserve"> </v>
      </c>
    </row>
    <row r="587" spans="1:27">
      <c r="A587" s="11" t="s">
        <v>2158</v>
      </c>
      <c r="B587" s="11" t="s">
        <v>2159</v>
      </c>
      <c r="C587" s="11" t="s">
        <v>27</v>
      </c>
      <c r="D587" s="19">
        <v>65</v>
      </c>
      <c r="E587" s="11" t="s">
        <v>92</v>
      </c>
      <c r="F587" s="11" t="s">
        <v>29</v>
      </c>
      <c r="G587" s="11" t="s">
        <v>93</v>
      </c>
      <c r="H587" s="12">
        <v>46199</v>
      </c>
      <c r="I587" s="12" t="str">
        <f t="shared" si="10"/>
        <v>June</v>
      </c>
      <c r="J587" s="24">
        <v>0.3840277777777778</v>
      </c>
      <c r="K587" s="19">
        <v>24</v>
      </c>
      <c r="L587" s="12">
        <v>46200</v>
      </c>
      <c r="M587" s="24">
        <v>0.63402777777777775</v>
      </c>
      <c r="N587" s="11">
        <v>30</v>
      </c>
      <c r="O587" s="11" t="s">
        <v>34</v>
      </c>
      <c r="P587" s="11" t="s">
        <v>35</v>
      </c>
      <c r="Q587" s="11"/>
      <c r="R587" s="11" t="s">
        <v>36</v>
      </c>
      <c r="S587" s="19">
        <v>50</v>
      </c>
      <c r="T587" s="11" t="s">
        <v>49</v>
      </c>
      <c r="U587" s="11" t="s">
        <v>38</v>
      </c>
      <c r="V587" s="11">
        <v>4</v>
      </c>
      <c r="W587" s="11" t="s">
        <v>70</v>
      </c>
      <c r="X587" s="11" t="s">
        <v>3334</v>
      </c>
      <c r="Y587" s="11" t="s">
        <v>52</v>
      </c>
      <c r="Z587" s="11" t="s">
        <v>42</v>
      </c>
      <c r="AA587" s="11" t="str">
        <f>IF(A587=" ", "Missing Value", " ")</f>
        <v xml:space="preserve"> </v>
      </c>
    </row>
    <row r="588" spans="1:27">
      <c r="A588" s="11" t="s">
        <v>2160</v>
      </c>
      <c r="B588" s="11" t="s">
        <v>2161</v>
      </c>
      <c r="C588" s="11" t="s">
        <v>56</v>
      </c>
      <c r="D588" s="19">
        <v>41</v>
      </c>
      <c r="E588" s="11" t="s">
        <v>81</v>
      </c>
      <c r="F588" s="11" t="s">
        <v>82</v>
      </c>
      <c r="G588" s="11" t="s">
        <v>58</v>
      </c>
      <c r="H588" s="12">
        <v>46166</v>
      </c>
      <c r="I588" s="12" t="str">
        <f t="shared" si="10"/>
        <v>May</v>
      </c>
      <c r="J588" s="24">
        <v>0.49444444444444446</v>
      </c>
      <c r="K588" s="19">
        <v>8</v>
      </c>
      <c r="L588" s="12">
        <v>46167</v>
      </c>
      <c r="M588" s="24">
        <v>0.11944444444444445</v>
      </c>
      <c r="N588" s="11">
        <v>15</v>
      </c>
      <c r="O588" s="11" t="s">
        <v>34</v>
      </c>
      <c r="P588" s="11" t="s">
        <v>270</v>
      </c>
      <c r="Q588" s="11" t="s">
        <v>620</v>
      </c>
      <c r="R588" s="11" t="s">
        <v>36</v>
      </c>
      <c r="S588" s="19">
        <v>20</v>
      </c>
      <c r="T588" s="11" t="s">
        <v>49</v>
      </c>
      <c r="U588" s="11" t="s">
        <v>38</v>
      </c>
      <c r="V588" s="11">
        <v>5</v>
      </c>
      <c r="W588" s="11" t="s">
        <v>89</v>
      </c>
      <c r="X588" s="11" t="s">
        <v>3333</v>
      </c>
      <c r="Y588" s="11" t="s">
        <v>41</v>
      </c>
      <c r="Z588" s="11" t="s">
        <v>42</v>
      </c>
      <c r="AA588" s="11" t="s">
        <v>3254</v>
      </c>
    </row>
    <row r="589" spans="1:27">
      <c r="A589" s="11" t="s">
        <v>2162</v>
      </c>
      <c r="B589" s="11" t="s">
        <v>2163</v>
      </c>
      <c r="C589" s="11" t="s">
        <v>56</v>
      </c>
      <c r="D589" s="19">
        <v>79</v>
      </c>
      <c r="E589" s="11" t="s">
        <v>149</v>
      </c>
      <c r="F589" s="11" t="s">
        <v>29</v>
      </c>
      <c r="G589" s="11" t="s">
        <v>168</v>
      </c>
      <c r="H589" s="12">
        <v>46075</v>
      </c>
      <c r="I589" s="12" t="str">
        <f t="shared" si="10"/>
        <v>February</v>
      </c>
      <c r="J589" s="24">
        <v>0.36041666666666666</v>
      </c>
      <c r="K589" s="19">
        <v>6</v>
      </c>
      <c r="L589" s="12">
        <v>46075</v>
      </c>
      <c r="M589" s="24">
        <v>0.94374999999999998</v>
      </c>
      <c r="N589" s="11">
        <v>14</v>
      </c>
      <c r="O589" s="11" t="s">
        <v>34</v>
      </c>
      <c r="P589" s="11" t="s">
        <v>35</v>
      </c>
      <c r="Q589" s="11"/>
      <c r="R589" s="11" t="s">
        <v>36</v>
      </c>
      <c r="S589" s="19">
        <v>40</v>
      </c>
      <c r="T589" s="11" t="s">
        <v>49</v>
      </c>
      <c r="U589" s="11" t="s">
        <v>38</v>
      </c>
      <c r="V589" s="11">
        <v>4</v>
      </c>
      <c r="W589" s="11" t="s">
        <v>39</v>
      </c>
      <c r="X589" s="11" t="s">
        <v>3325</v>
      </c>
      <c r="Y589" s="11" t="s">
        <v>41</v>
      </c>
      <c r="Z589" s="11" t="s">
        <v>42</v>
      </c>
      <c r="AA589" s="11" t="s">
        <v>3234</v>
      </c>
    </row>
    <row r="590" spans="1:27">
      <c r="A590" s="11" t="s">
        <v>2164</v>
      </c>
      <c r="B590" s="11" t="s">
        <v>2165</v>
      </c>
      <c r="C590" s="11" t="s">
        <v>27</v>
      </c>
      <c r="D590" s="19">
        <v>89</v>
      </c>
      <c r="E590" s="11" t="s">
        <v>149</v>
      </c>
      <c r="F590" s="11" t="s">
        <v>29</v>
      </c>
      <c r="G590" s="11" t="s">
        <v>30</v>
      </c>
      <c r="H590" s="12">
        <v>46087</v>
      </c>
      <c r="I590" s="12" t="str">
        <f t="shared" si="10"/>
        <v>March</v>
      </c>
      <c r="J590" s="24">
        <v>0.46527777777777779</v>
      </c>
      <c r="K590" s="19">
        <v>6</v>
      </c>
      <c r="L590" s="12">
        <v>46087</v>
      </c>
      <c r="M590" s="24">
        <v>0.92361111111111116</v>
      </c>
      <c r="N590" s="11">
        <v>11</v>
      </c>
      <c r="O590" s="11" t="s">
        <v>34</v>
      </c>
      <c r="P590" s="11" t="s">
        <v>35</v>
      </c>
      <c r="Q590" s="11"/>
      <c r="R590" s="11" t="s">
        <v>36</v>
      </c>
      <c r="S590" s="19">
        <v>40</v>
      </c>
      <c r="T590" s="11" t="s">
        <v>49</v>
      </c>
      <c r="U590" s="11" t="s">
        <v>164</v>
      </c>
      <c r="V590" s="11">
        <v>4</v>
      </c>
      <c r="W590" s="11" t="s">
        <v>39</v>
      </c>
      <c r="X590" s="11" t="s">
        <v>3333</v>
      </c>
      <c r="Y590" s="11" t="s">
        <v>52</v>
      </c>
      <c r="Z590" s="11" t="s">
        <v>42</v>
      </c>
      <c r="AA590" s="11" t="str">
        <f>IF(A590=" ", "Missing Value", " ")</f>
        <v xml:space="preserve"> </v>
      </c>
    </row>
    <row r="591" spans="1:27">
      <c r="A591" s="11" t="s">
        <v>2168</v>
      </c>
      <c r="B591" s="11" t="s">
        <v>2169</v>
      </c>
      <c r="C591" s="11" t="s">
        <v>56</v>
      </c>
      <c r="D591" s="19">
        <v>22</v>
      </c>
      <c r="E591" s="11" t="s">
        <v>57</v>
      </c>
      <c r="F591" s="11" t="s">
        <v>29</v>
      </c>
      <c r="G591" s="11" t="s">
        <v>83</v>
      </c>
      <c r="H591" s="12">
        <v>46167</v>
      </c>
      <c r="I591" s="12" t="str">
        <f t="shared" si="10"/>
        <v>May</v>
      </c>
      <c r="J591" s="24">
        <v>0.3611111111111111</v>
      </c>
      <c r="K591" s="19">
        <v>3</v>
      </c>
      <c r="L591" s="12">
        <v>46167</v>
      </c>
      <c r="M591" s="24">
        <v>0.52777777777777779</v>
      </c>
      <c r="N591" s="11">
        <v>4</v>
      </c>
      <c r="O591" s="11" t="s">
        <v>34</v>
      </c>
      <c r="P591" s="11" t="s">
        <v>35</v>
      </c>
      <c r="Q591" s="11"/>
      <c r="R591" s="11" t="s">
        <v>36</v>
      </c>
      <c r="S591" s="19">
        <v>15</v>
      </c>
      <c r="T591" s="11" t="s">
        <v>37</v>
      </c>
      <c r="U591" s="11" t="s">
        <v>164</v>
      </c>
      <c r="V591" s="11">
        <v>4</v>
      </c>
      <c r="W591" s="11" t="s">
        <v>62</v>
      </c>
      <c r="X591" s="11" t="s">
        <v>3325</v>
      </c>
      <c r="Y591" s="11" t="s">
        <v>109</v>
      </c>
      <c r="Z591" s="11" t="s">
        <v>42</v>
      </c>
      <c r="AA591" s="11" t="s">
        <v>3234</v>
      </c>
    </row>
    <row r="592" spans="1:27">
      <c r="A592" s="11" t="s">
        <v>2170</v>
      </c>
      <c r="B592" s="11" t="s">
        <v>2171</v>
      </c>
      <c r="C592" s="11" t="s">
        <v>27</v>
      </c>
      <c r="D592" s="19">
        <v>60</v>
      </c>
      <c r="E592" s="11" t="s">
        <v>173</v>
      </c>
      <c r="F592" s="11" t="s">
        <v>29</v>
      </c>
      <c r="G592" s="11" t="s">
        <v>168</v>
      </c>
      <c r="H592" s="12">
        <v>46114</v>
      </c>
      <c r="I592" s="12" t="str">
        <f t="shared" si="10"/>
        <v>April</v>
      </c>
      <c r="J592" s="24">
        <v>0.47430555555555554</v>
      </c>
      <c r="K592" s="19">
        <v>4</v>
      </c>
      <c r="L592" s="12">
        <v>46114</v>
      </c>
      <c r="M592" s="24">
        <v>0.80763888888888891</v>
      </c>
      <c r="N592" s="11">
        <v>8</v>
      </c>
      <c r="O592" s="11" t="s">
        <v>34</v>
      </c>
      <c r="P592" s="11" t="s">
        <v>35</v>
      </c>
      <c r="Q592" s="11"/>
      <c r="R592" s="11" t="s">
        <v>36</v>
      </c>
      <c r="S592" s="19">
        <v>25</v>
      </c>
      <c r="T592" s="11" t="s">
        <v>37</v>
      </c>
      <c r="U592" s="11" t="s">
        <v>38</v>
      </c>
      <c r="V592" s="11">
        <v>1</v>
      </c>
      <c r="W592" s="11" t="s">
        <v>89</v>
      </c>
      <c r="X592" s="11" t="s">
        <v>3334</v>
      </c>
      <c r="Y592" s="11" t="s">
        <v>52</v>
      </c>
      <c r="Z592" s="11" t="s">
        <v>42</v>
      </c>
      <c r="AA592" s="11" t="s">
        <v>3234</v>
      </c>
    </row>
    <row r="593" spans="1:27">
      <c r="A593" s="11" t="s">
        <v>2174</v>
      </c>
      <c r="B593" s="11" t="s">
        <v>2175</v>
      </c>
      <c r="C593" s="11" t="s">
        <v>27</v>
      </c>
      <c r="D593" s="19">
        <v>33</v>
      </c>
      <c r="E593" s="11" t="s">
        <v>92</v>
      </c>
      <c r="F593" s="11" t="s">
        <v>29</v>
      </c>
      <c r="G593" s="11" t="s">
        <v>83</v>
      </c>
      <c r="H593" s="12">
        <v>46060</v>
      </c>
      <c r="I593" s="12" t="str">
        <f t="shared" si="10"/>
        <v>February</v>
      </c>
      <c r="J593" s="24">
        <v>0.30486111111111114</v>
      </c>
      <c r="K593" s="19">
        <v>24</v>
      </c>
      <c r="L593" s="12">
        <v>46061</v>
      </c>
      <c r="M593" s="24">
        <v>0.30486111111111114</v>
      </c>
      <c r="N593" s="11">
        <v>24</v>
      </c>
      <c r="O593" s="11" t="s">
        <v>68</v>
      </c>
      <c r="P593" s="11" t="s">
        <v>35</v>
      </c>
      <c r="Q593" s="11"/>
      <c r="R593" s="11" t="s">
        <v>36</v>
      </c>
      <c r="S593" s="19">
        <v>50</v>
      </c>
      <c r="T593" s="11" t="s">
        <v>49</v>
      </c>
      <c r="U593" s="11" t="s">
        <v>38</v>
      </c>
      <c r="V593" s="11">
        <v>3</v>
      </c>
      <c r="W593" s="11" t="s">
        <v>70</v>
      </c>
      <c r="X593" s="11" t="s">
        <v>3333</v>
      </c>
      <c r="Y593" s="11" t="s">
        <v>52</v>
      </c>
      <c r="Z593" s="11" t="s">
        <v>71</v>
      </c>
      <c r="AA593" s="11" t="s">
        <v>3234</v>
      </c>
    </row>
    <row r="594" spans="1:27">
      <c r="A594" s="11" t="s">
        <v>2176</v>
      </c>
      <c r="B594" s="11" t="s">
        <v>2177</v>
      </c>
      <c r="C594" s="11" t="s">
        <v>27</v>
      </c>
      <c r="D594" s="19">
        <v>89</v>
      </c>
      <c r="E594" s="11" t="s">
        <v>57</v>
      </c>
      <c r="F594" s="11" t="s">
        <v>29</v>
      </c>
      <c r="G594" s="11" t="s">
        <v>58</v>
      </c>
      <c r="H594" s="12">
        <v>46152</v>
      </c>
      <c r="I594" s="12" t="str">
        <f t="shared" si="10"/>
        <v>May</v>
      </c>
      <c r="J594" s="24">
        <v>0.67569444444444449</v>
      </c>
      <c r="K594" s="19">
        <v>3</v>
      </c>
      <c r="L594" s="12">
        <v>46152</v>
      </c>
      <c r="M594" s="24">
        <v>0.96736111111111112</v>
      </c>
      <c r="N594" s="11">
        <v>7</v>
      </c>
      <c r="O594" s="11" t="s">
        <v>34</v>
      </c>
      <c r="P594" s="11" t="s">
        <v>35</v>
      </c>
      <c r="Q594" s="11"/>
      <c r="R594" s="11" t="s">
        <v>132</v>
      </c>
      <c r="S594" s="19">
        <v>15</v>
      </c>
      <c r="T594" s="11" t="s">
        <v>49</v>
      </c>
      <c r="U594" s="11" t="s">
        <v>96</v>
      </c>
      <c r="V594" s="11">
        <v>3</v>
      </c>
      <c r="W594" s="11" t="s">
        <v>89</v>
      </c>
      <c r="X594" s="11" t="s">
        <v>3334</v>
      </c>
      <c r="Y594" s="11" t="s">
        <v>41</v>
      </c>
      <c r="Z594" s="11" t="s">
        <v>53</v>
      </c>
      <c r="AA594" s="11" t="s">
        <v>3289</v>
      </c>
    </row>
    <row r="595" spans="1:27">
      <c r="A595" s="11" t="s">
        <v>2179</v>
      </c>
      <c r="B595" s="11" t="s">
        <v>2180</v>
      </c>
      <c r="C595" s="11" t="s">
        <v>56</v>
      </c>
      <c r="D595" s="19">
        <v>85</v>
      </c>
      <c r="E595" s="11" t="s">
        <v>173</v>
      </c>
      <c r="F595" s="11" t="s">
        <v>29</v>
      </c>
      <c r="G595" s="11" t="s">
        <v>168</v>
      </c>
      <c r="H595" s="12">
        <v>46200</v>
      </c>
      <c r="I595" s="12" t="str">
        <f t="shared" si="10"/>
        <v>June</v>
      </c>
      <c r="J595" s="24">
        <v>0.2951388888888889</v>
      </c>
      <c r="K595" s="19">
        <v>4</v>
      </c>
      <c r="L595" s="12">
        <v>46200</v>
      </c>
      <c r="M595" s="24">
        <v>0.67013888888888884</v>
      </c>
      <c r="N595" s="11">
        <v>9</v>
      </c>
      <c r="O595" s="11" t="s">
        <v>34</v>
      </c>
      <c r="P595" s="11" t="s">
        <v>35</v>
      </c>
      <c r="Q595" s="11"/>
      <c r="R595" s="11" t="s">
        <v>36</v>
      </c>
      <c r="S595" s="19">
        <v>25</v>
      </c>
      <c r="T595" s="11" t="s">
        <v>37</v>
      </c>
      <c r="U595" s="11" t="s">
        <v>38</v>
      </c>
      <c r="V595" s="11">
        <v>2</v>
      </c>
      <c r="W595" s="11" t="s">
        <v>62</v>
      </c>
      <c r="X595" s="11" t="s">
        <v>3333</v>
      </c>
      <c r="Y595" s="11" t="s">
        <v>109</v>
      </c>
      <c r="Z595" s="11" t="s">
        <v>42</v>
      </c>
      <c r="AA595" s="11" t="s">
        <v>3234</v>
      </c>
    </row>
    <row r="596" spans="1:27">
      <c r="A596" s="11" t="s">
        <v>2181</v>
      </c>
      <c r="B596" s="11" t="s">
        <v>2182</v>
      </c>
      <c r="C596" s="11" t="s">
        <v>56</v>
      </c>
      <c r="D596" s="19">
        <v>35</v>
      </c>
      <c r="E596" s="11" t="s">
        <v>173</v>
      </c>
      <c r="F596" s="11" t="s">
        <v>29</v>
      </c>
      <c r="G596" s="11" t="s">
        <v>168</v>
      </c>
      <c r="H596" s="12">
        <v>46049</v>
      </c>
      <c r="I596" s="12" t="str">
        <f t="shared" si="10"/>
        <v>January</v>
      </c>
      <c r="J596" s="24">
        <v>0.39930555555555558</v>
      </c>
      <c r="K596" s="19">
        <v>4</v>
      </c>
      <c r="L596" s="12">
        <v>46049</v>
      </c>
      <c r="M596" s="24">
        <v>0.52430555555555558</v>
      </c>
      <c r="N596" s="11">
        <v>3</v>
      </c>
      <c r="O596" s="11" t="s">
        <v>68</v>
      </c>
      <c r="P596" s="11" t="s">
        <v>35</v>
      </c>
      <c r="Q596" s="11"/>
      <c r="R596" s="11" t="s">
        <v>36</v>
      </c>
      <c r="S596" s="19">
        <v>25</v>
      </c>
      <c r="T596" s="11" t="s">
        <v>49</v>
      </c>
      <c r="U596" s="11" t="s">
        <v>38</v>
      </c>
      <c r="V596" s="11">
        <v>1</v>
      </c>
      <c r="W596" s="11" t="s">
        <v>62</v>
      </c>
      <c r="X596" s="11" t="s">
        <v>3325</v>
      </c>
      <c r="Y596" s="11" t="s">
        <v>109</v>
      </c>
      <c r="Z596" s="11" t="s">
        <v>42</v>
      </c>
      <c r="AA596" s="11" t="s">
        <v>3234</v>
      </c>
    </row>
    <row r="597" spans="1:27">
      <c r="A597" s="11" t="s">
        <v>2185</v>
      </c>
      <c r="B597" s="11" t="s">
        <v>2186</v>
      </c>
      <c r="C597" s="11" t="s">
        <v>27</v>
      </c>
      <c r="D597" s="19">
        <v>1</v>
      </c>
      <c r="E597" s="11" t="s">
        <v>57</v>
      </c>
      <c r="F597" s="11" t="s">
        <v>29</v>
      </c>
      <c r="G597" s="11" t="s">
        <v>58</v>
      </c>
      <c r="H597" s="12">
        <v>46073</v>
      </c>
      <c r="I597" s="12" t="str">
        <f t="shared" si="10"/>
        <v>February</v>
      </c>
      <c r="J597" s="24">
        <v>0.34861111111111109</v>
      </c>
      <c r="K597" s="19">
        <v>3</v>
      </c>
      <c r="L597" s="12">
        <v>46073</v>
      </c>
      <c r="M597" s="24">
        <v>0.72361111111111109</v>
      </c>
      <c r="N597" s="11">
        <v>9</v>
      </c>
      <c r="O597" s="11" t="s">
        <v>34</v>
      </c>
      <c r="P597" s="11" t="s">
        <v>35</v>
      </c>
      <c r="Q597" s="11"/>
      <c r="R597" s="11" t="s">
        <v>36</v>
      </c>
      <c r="S597" s="19">
        <v>15</v>
      </c>
      <c r="T597" s="11" t="s">
        <v>37</v>
      </c>
      <c r="U597" s="11" t="s">
        <v>96</v>
      </c>
      <c r="V597" s="11">
        <v>1</v>
      </c>
      <c r="W597" s="11" t="s">
        <v>62</v>
      </c>
      <c r="X597" s="11" t="s">
        <v>3334</v>
      </c>
      <c r="Y597" s="11" t="s">
        <v>109</v>
      </c>
      <c r="Z597" s="11" t="s">
        <v>53</v>
      </c>
      <c r="AA597" s="11"/>
    </row>
    <row r="598" spans="1:27">
      <c r="A598" s="11" t="s">
        <v>2187</v>
      </c>
      <c r="B598" s="11" t="s">
        <v>2188</v>
      </c>
      <c r="C598" s="11" t="s">
        <v>27</v>
      </c>
      <c r="D598" s="19">
        <v>31</v>
      </c>
      <c r="E598" s="11" t="s">
        <v>81</v>
      </c>
      <c r="F598" s="11" t="s">
        <v>82</v>
      </c>
      <c r="G598" s="11" t="s">
        <v>83</v>
      </c>
      <c r="H598" s="12">
        <v>46155</v>
      </c>
      <c r="I598" s="12" t="str">
        <f t="shared" si="10"/>
        <v>May</v>
      </c>
      <c r="J598" s="24">
        <v>0.52638888888888891</v>
      </c>
      <c r="K598" s="19">
        <v>8</v>
      </c>
      <c r="L598" s="12">
        <v>46155</v>
      </c>
      <c r="M598" s="24">
        <v>0.94305555555555554</v>
      </c>
      <c r="N598" s="11">
        <v>10</v>
      </c>
      <c r="O598" s="11" t="s">
        <v>34</v>
      </c>
      <c r="P598" s="11" t="s">
        <v>35</v>
      </c>
      <c r="Q598" s="11"/>
      <c r="R598" s="11" t="s">
        <v>36</v>
      </c>
      <c r="S598" s="19">
        <v>20</v>
      </c>
      <c r="T598" s="11" t="s">
        <v>49</v>
      </c>
      <c r="U598" s="11" t="s">
        <v>164</v>
      </c>
      <c r="V598" s="11">
        <v>3</v>
      </c>
      <c r="W598" s="11" t="s">
        <v>39</v>
      </c>
      <c r="X598" s="11" t="s">
        <v>3333</v>
      </c>
      <c r="Y598" s="11" t="s">
        <v>109</v>
      </c>
      <c r="Z598" s="11" t="s">
        <v>42</v>
      </c>
      <c r="AA598" s="11" t="str">
        <f>IF(A598=" ", "Missing Value", " ")</f>
        <v xml:space="preserve"> </v>
      </c>
    </row>
    <row r="599" spans="1:27">
      <c r="A599" s="11" t="s">
        <v>2190</v>
      </c>
      <c r="B599" s="11" t="s">
        <v>2191</v>
      </c>
      <c r="C599" s="11" t="s">
        <v>27</v>
      </c>
      <c r="D599" s="19">
        <v>86</v>
      </c>
      <c r="E599" s="11" t="s">
        <v>28</v>
      </c>
      <c r="F599" s="11" t="s">
        <v>29</v>
      </c>
      <c r="G599" s="11" t="s">
        <v>30</v>
      </c>
      <c r="H599" s="12">
        <v>46030</v>
      </c>
      <c r="I599" s="12" t="str">
        <f t="shared" si="10"/>
        <v>January</v>
      </c>
      <c r="J599" s="24">
        <v>0.44791666666666669</v>
      </c>
      <c r="K599" s="19">
        <v>5</v>
      </c>
      <c r="L599" s="12">
        <v>46030</v>
      </c>
      <c r="M599" s="24">
        <v>0.73958333333333337</v>
      </c>
      <c r="N599" s="11">
        <v>7</v>
      </c>
      <c r="O599" s="11" t="s">
        <v>34</v>
      </c>
      <c r="P599" s="11" t="s">
        <v>35</v>
      </c>
      <c r="Q599" s="11"/>
      <c r="R599" s="11" t="s">
        <v>36</v>
      </c>
      <c r="S599" s="19">
        <v>35</v>
      </c>
      <c r="T599" s="11" t="s">
        <v>37</v>
      </c>
      <c r="U599" s="11" t="s">
        <v>96</v>
      </c>
      <c r="V599" s="11">
        <v>4</v>
      </c>
      <c r="W599" s="11" t="s">
        <v>70</v>
      </c>
      <c r="X599" s="11" t="s">
        <v>51</v>
      </c>
      <c r="Y599" s="11" t="s">
        <v>109</v>
      </c>
      <c r="Z599" s="11" t="s">
        <v>53</v>
      </c>
      <c r="AA599" s="11" t="str">
        <f>IF(A599=" ", "Missing Value", " ")</f>
        <v xml:space="preserve"> </v>
      </c>
    </row>
    <row r="600" spans="1:27">
      <c r="A600" s="11" t="s">
        <v>63</v>
      </c>
      <c r="B600" s="11" t="s">
        <v>2193</v>
      </c>
      <c r="C600" s="11" t="s">
        <v>56</v>
      </c>
      <c r="D600" s="19">
        <v>150</v>
      </c>
      <c r="E600" s="11" t="s">
        <v>92</v>
      </c>
      <c r="F600" s="11" t="s">
        <v>29</v>
      </c>
      <c r="G600" s="11" t="s">
        <v>93</v>
      </c>
      <c r="H600" s="12">
        <v>46052</v>
      </c>
      <c r="I600" s="12" t="str">
        <f t="shared" si="10"/>
        <v>January</v>
      </c>
      <c r="J600" s="24">
        <v>0.6069444444444444</v>
      </c>
      <c r="K600" s="19">
        <v>24</v>
      </c>
      <c r="L600" s="12">
        <v>46053</v>
      </c>
      <c r="M600" s="24">
        <v>0.94027777777777777</v>
      </c>
      <c r="N600" s="11">
        <v>32</v>
      </c>
      <c r="O600" s="11" t="s">
        <v>34</v>
      </c>
      <c r="P600" s="11" t="s">
        <v>35</v>
      </c>
      <c r="Q600" s="11"/>
      <c r="R600" s="11" t="s">
        <v>36</v>
      </c>
      <c r="S600" s="19">
        <v>50</v>
      </c>
      <c r="T600" s="11" t="s">
        <v>37</v>
      </c>
      <c r="U600" s="11" t="s">
        <v>38</v>
      </c>
      <c r="V600" s="11">
        <v>5</v>
      </c>
      <c r="W600" s="11" t="s">
        <v>62</v>
      </c>
      <c r="X600" s="11" t="s">
        <v>3333</v>
      </c>
      <c r="Y600" s="11" t="s">
        <v>52</v>
      </c>
      <c r="Z600" s="11" t="s">
        <v>71</v>
      </c>
      <c r="AA600" s="11" t="s">
        <v>3231</v>
      </c>
    </row>
    <row r="601" spans="1:27">
      <c r="A601" s="11" t="s">
        <v>2195</v>
      </c>
      <c r="B601" s="11" t="s">
        <v>2196</v>
      </c>
      <c r="C601" s="11" t="s">
        <v>27</v>
      </c>
      <c r="D601" s="19">
        <v>2</v>
      </c>
      <c r="E601" s="11" t="s">
        <v>28</v>
      </c>
      <c r="F601" s="11" t="s">
        <v>29</v>
      </c>
      <c r="G601" s="11" t="s">
        <v>168</v>
      </c>
      <c r="H601" s="12">
        <v>46196</v>
      </c>
      <c r="I601" s="12" t="str">
        <f t="shared" si="10"/>
        <v>June</v>
      </c>
      <c r="J601" s="24">
        <v>0.52083333333333337</v>
      </c>
      <c r="K601" s="19">
        <v>5</v>
      </c>
      <c r="L601" s="12">
        <v>46196</v>
      </c>
      <c r="M601" s="24">
        <v>0.85416666666666663</v>
      </c>
      <c r="N601" s="11">
        <v>8</v>
      </c>
      <c r="O601" s="11" t="s">
        <v>34</v>
      </c>
      <c r="P601" s="11" t="s">
        <v>270</v>
      </c>
      <c r="Q601" s="11" t="s">
        <v>391</v>
      </c>
      <c r="R601" s="11" t="s">
        <v>36</v>
      </c>
      <c r="S601" s="19">
        <v>35</v>
      </c>
      <c r="T601" s="11" t="s">
        <v>49</v>
      </c>
      <c r="U601" s="11" t="s">
        <v>164</v>
      </c>
      <c r="V601" s="11">
        <v>2</v>
      </c>
      <c r="W601" s="11" t="s">
        <v>62</v>
      </c>
      <c r="X601" s="11" t="s">
        <v>3334</v>
      </c>
      <c r="Y601" s="11" t="s">
        <v>109</v>
      </c>
      <c r="Z601" s="11" t="s">
        <v>71</v>
      </c>
      <c r="AA601" s="11" t="s">
        <v>3254</v>
      </c>
    </row>
    <row r="602" spans="1:27">
      <c r="A602" s="11" t="s">
        <v>2197</v>
      </c>
      <c r="B602" s="11" t="s">
        <v>2198</v>
      </c>
      <c r="C602" s="11" t="s">
        <v>27</v>
      </c>
      <c r="D602" s="19">
        <v>81</v>
      </c>
      <c r="E602" s="11" t="s">
        <v>57</v>
      </c>
      <c r="F602" s="11" t="s">
        <v>29</v>
      </c>
      <c r="G602" s="11" t="s">
        <v>58</v>
      </c>
      <c r="H602" s="12">
        <v>46084</v>
      </c>
      <c r="I602" s="12" t="str">
        <f t="shared" si="10"/>
        <v>March</v>
      </c>
      <c r="J602" s="24">
        <v>0.41736111111111113</v>
      </c>
      <c r="K602" s="19">
        <v>3</v>
      </c>
      <c r="L602" s="12">
        <v>46084</v>
      </c>
      <c r="M602" s="24">
        <v>0.58402777777777781</v>
      </c>
      <c r="N602" s="11">
        <v>4</v>
      </c>
      <c r="O602" s="11" t="s">
        <v>34</v>
      </c>
      <c r="P602" s="11" t="s">
        <v>35</v>
      </c>
      <c r="Q602" s="11"/>
      <c r="R602" s="11" t="s">
        <v>36</v>
      </c>
      <c r="S602" s="19">
        <v>15</v>
      </c>
      <c r="T602" s="11" t="s">
        <v>49</v>
      </c>
      <c r="U602" s="11" t="s">
        <v>164</v>
      </c>
      <c r="V602" s="11">
        <v>4</v>
      </c>
      <c r="W602" s="11" t="s">
        <v>39</v>
      </c>
      <c r="X602" s="11" t="s">
        <v>3325</v>
      </c>
      <c r="Y602" s="11" t="s">
        <v>109</v>
      </c>
      <c r="Z602" s="11" t="s">
        <v>42</v>
      </c>
      <c r="AA602" s="11"/>
    </row>
    <row r="603" spans="1:27">
      <c r="A603" s="11" t="s">
        <v>2199</v>
      </c>
      <c r="B603" s="11" t="s">
        <v>2200</v>
      </c>
      <c r="C603" s="11" t="s">
        <v>56</v>
      </c>
      <c r="D603" s="19">
        <v>28</v>
      </c>
      <c r="E603" s="11" t="s">
        <v>28</v>
      </c>
      <c r="F603" s="11" t="s">
        <v>29</v>
      </c>
      <c r="G603" s="11" t="s">
        <v>30</v>
      </c>
      <c r="H603" s="12">
        <v>46110</v>
      </c>
      <c r="I603" s="12" t="str">
        <f t="shared" si="10"/>
        <v>March</v>
      </c>
      <c r="J603" s="24">
        <v>0.53819444444444442</v>
      </c>
      <c r="K603" s="19">
        <v>5</v>
      </c>
      <c r="L603" s="12">
        <v>46111</v>
      </c>
      <c r="M603" s="24">
        <v>3.8194444444444448E-2</v>
      </c>
      <c r="N603" s="11">
        <v>12</v>
      </c>
      <c r="O603" s="11" t="s">
        <v>34</v>
      </c>
      <c r="P603" s="11" t="s">
        <v>35</v>
      </c>
      <c r="Q603" s="11"/>
      <c r="R603" s="11" t="s">
        <v>36</v>
      </c>
      <c r="S603" s="19">
        <v>35</v>
      </c>
      <c r="T603" s="11" t="s">
        <v>49</v>
      </c>
      <c r="U603" s="11" t="s">
        <v>38</v>
      </c>
      <c r="V603" s="11">
        <v>5</v>
      </c>
      <c r="W603" s="11" t="s">
        <v>62</v>
      </c>
      <c r="X603" s="11" t="s">
        <v>3325</v>
      </c>
      <c r="Y603" s="11" t="s">
        <v>41</v>
      </c>
      <c r="Z603" s="11" t="s">
        <v>53</v>
      </c>
      <c r="AA603" s="11" t="str">
        <f>IF(A603=" ", "Missing Value", " ")</f>
        <v xml:space="preserve"> </v>
      </c>
    </row>
    <row r="604" spans="1:27">
      <c r="A604" s="11" t="s">
        <v>2203</v>
      </c>
      <c r="B604" s="11" t="s">
        <v>2204</v>
      </c>
      <c r="C604" s="11" t="s">
        <v>56</v>
      </c>
      <c r="D604" s="19">
        <v>33</v>
      </c>
      <c r="E604" s="11" t="s">
        <v>81</v>
      </c>
      <c r="F604" s="11" t="s">
        <v>82</v>
      </c>
      <c r="G604" s="11" t="s">
        <v>83</v>
      </c>
      <c r="H604" s="12">
        <v>46026</v>
      </c>
      <c r="I604" s="12" t="str">
        <f t="shared" si="10"/>
        <v>January</v>
      </c>
      <c r="J604" s="24">
        <v>0.65763888888888888</v>
      </c>
      <c r="K604" s="19">
        <v>8</v>
      </c>
      <c r="L604" s="12">
        <v>46027</v>
      </c>
      <c r="M604" s="24">
        <v>0.28263888888888888</v>
      </c>
      <c r="N604" s="11">
        <v>15</v>
      </c>
      <c r="O604" s="11" t="s">
        <v>34</v>
      </c>
      <c r="P604" s="11" t="s">
        <v>270</v>
      </c>
      <c r="Q604" s="11" t="s">
        <v>620</v>
      </c>
      <c r="R604" s="11" t="s">
        <v>36</v>
      </c>
      <c r="S604" s="19">
        <v>20</v>
      </c>
      <c r="T604" s="11" t="s">
        <v>49</v>
      </c>
      <c r="U604" s="11" t="s">
        <v>96</v>
      </c>
      <c r="V604" s="11">
        <v>5</v>
      </c>
      <c r="W604" s="11" t="s">
        <v>62</v>
      </c>
      <c r="X604" s="11" t="s">
        <v>3333</v>
      </c>
      <c r="Y604" s="11" t="s">
        <v>52</v>
      </c>
      <c r="Z604" s="11" t="s">
        <v>42</v>
      </c>
      <c r="AA604" s="11" t="s">
        <v>3251</v>
      </c>
    </row>
    <row r="605" spans="1:27">
      <c r="A605" s="11" t="s">
        <v>2206</v>
      </c>
      <c r="B605" s="11" t="s">
        <v>2207</v>
      </c>
      <c r="C605" s="11" t="s">
        <v>27</v>
      </c>
      <c r="D605" s="19">
        <v>2</v>
      </c>
      <c r="E605" s="11" t="s">
        <v>81</v>
      </c>
      <c r="F605" s="11" t="s">
        <v>82</v>
      </c>
      <c r="G605" s="11" t="s">
        <v>83</v>
      </c>
      <c r="H605" s="12">
        <v>46088</v>
      </c>
      <c r="I605" s="12" t="str">
        <f t="shared" si="10"/>
        <v>March</v>
      </c>
      <c r="J605" s="24">
        <v>0.375</v>
      </c>
      <c r="K605" s="19">
        <v>8</v>
      </c>
      <c r="L605" s="12">
        <v>46088</v>
      </c>
      <c r="M605" s="24">
        <v>0.83333333333333337</v>
      </c>
      <c r="N605" s="11">
        <v>11</v>
      </c>
      <c r="O605" s="11" t="s">
        <v>34</v>
      </c>
      <c r="P605" s="11" t="s">
        <v>35</v>
      </c>
      <c r="Q605" s="11"/>
      <c r="R605" s="11" t="s">
        <v>36</v>
      </c>
      <c r="S605" s="19">
        <v>20</v>
      </c>
      <c r="T605" s="11" t="s">
        <v>49</v>
      </c>
      <c r="U605" s="11" t="s">
        <v>164</v>
      </c>
      <c r="V605" s="11">
        <v>5</v>
      </c>
      <c r="W605" s="11" t="s">
        <v>89</v>
      </c>
      <c r="X605" s="11" t="s">
        <v>3333</v>
      </c>
      <c r="Y605" s="11" t="s">
        <v>41</v>
      </c>
      <c r="Z605" s="11" t="s">
        <v>71</v>
      </c>
      <c r="AA605" s="11" t="str">
        <f>IF(A605=" ", "Missing Value", " ")</f>
        <v xml:space="preserve"> </v>
      </c>
    </row>
    <row r="606" spans="1:27">
      <c r="A606" s="11" t="s">
        <v>2208</v>
      </c>
      <c r="B606" s="11" t="s">
        <v>2209</v>
      </c>
      <c r="C606" s="11" t="s">
        <v>27</v>
      </c>
      <c r="D606" s="19">
        <v>15</v>
      </c>
      <c r="E606" s="11" t="s">
        <v>92</v>
      </c>
      <c r="F606" s="11" t="s">
        <v>29</v>
      </c>
      <c r="G606" s="11" t="s">
        <v>30</v>
      </c>
      <c r="H606" s="12">
        <v>46140</v>
      </c>
      <c r="I606" s="12" t="str">
        <f t="shared" si="10"/>
        <v>April</v>
      </c>
      <c r="J606" s="24">
        <v>0.51527777777777772</v>
      </c>
      <c r="K606" s="19">
        <v>24</v>
      </c>
      <c r="L606" s="12">
        <v>46141</v>
      </c>
      <c r="M606" s="24">
        <v>0.80694444444444446</v>
      </c>
      <c r="N606" s="11">
        <v>31</v>
      </c>
      <c r="O606" s="11" t="s">
        <v>34</v>
      </c>
      <c r="P606" s="11" t="s">
        <v>35</v>
      </c>
      <c r="Q606" s="11"/>
      <c r="R606" s="11" t="s">
        <v>36</v>
      </c>
      <c r="S606" s="19">
        <v>50</v>
      </c>
      <c r="T606" s="11" t="s">
        <v>37</v>
      </c>
      <c r="U606" s="11" t="s">
        <v>164</v>
      </c>
      <c r="V606" s="11">
        <v>5</v>
      </c>
      <c r="W606" s="11" t="s">
        <v>39</v>
      </c>
      <c r="X606" s="11" t="s">
        <v>51</v>
      </c>
      <c r="Y606" s="11" t="s">
        <v>109</v>
      </c>
      <c r="Z606" s="11" t="s">
        <v>42</v>
      </c>
      <c r="AA606" s="11" t="s">
        <v>3244</v>
      </c>
    </row>
    <row r="607" spans="1:27">
      <c r="A607" s="11" t="s">
        <v>2210</v>
      </c>
      <c r="B607" s="11" t="s">
        <v>2211</v>
      </c>
      <c r="C607" s="11" t="s">
        <v>56</v>
      </c>
      <c r="D607" s="19">
        <v>14</v>
      </c>
      <c r="E607" s="11" t="s">
        <v>57</v>
      </c>
      <c r="F607" s="11" t="s">
        <v>29</v>
      </c>
      <c r="G607" s="11" t="s">
        <v>58</v>
      </c>
      <c r="H607" s="12">
        <v>46095</v>
      </c>
      <c r="I607" s="12" t="str">
        <f t="shared" si="10"/>
        <v>March</v>
      </c>
      <c r="J607" s="24">
        <v>0.45347222222222222</v>
      </c>
      <c r="K607" s="19">
        <v>3</v>
      </c>
      <c r="L607" s="12">
        <v>46095</v>
      </c>
      <c r="M607" s="24">
        <v>0.53680555555555554</v>
      </c>
      <c r="N607" s="11">
        <v>2</v>
      </c>
      <c r="O607" s="11" t="s">
        <v>68</v>
      </c>
      <c r="P607" s="11" t="s">
        <v>35</v>
      </c>
      <c r="Q607" s="11"/>
      <c r="R607" s="11" t="s">
        <v>36</v>
      </c>
      <c r="S607" s="19">
        <v>15</v>
      </c>
      <c r="T607" s="11" t="s">
        <v>49</v>
      </c>
      <c r="U607" s="11" t="s">
        <v>96</v>
      </c>
      <c r="V607" s="11">
        <v>4</v>
      </c>
      <c r="W607" s="11" t="s">
        <v>70</v>
      </c>
      <c r="X607" s="11" t="s">
        <v>51</v>
      </c>
      <c r="Y607" s="11" t="s">
        <v>109</v>
      </c>
      <c r="Z607" s="11" t="s">
        <v>42</v>
      </c>
      <c r="AA607" s="11"/>
    </row>
    <row r="608" spans="1:27">
      <c r="A608" s="11" t="s">
        <v>2212</v>
      </c>
      <c r="B608" s="11" t="s">
        <v>2213</v>
      </c>
      <c r="C608" s="11" t="s">
        <v>27</v>
      </c>
      <c r="D608" s="19">
        <v>38</v>
      </c>
      <c r="E608" s="11" t="s">
        <v>28</v>
      </c>
      <c r="F608" s="11" t="s">
        <v>29</v>
      </c>
      <c r="G608" s="11" t="s">
        <v>30</v>
      </c>
      <c r="H608" s="12">
        <v>46115</v>
      </c>
      <c r="I608" s="12" t="str">
        <f t="shared" si="10"/>
        <v>April</v>
      </c>
      <c r="J608" s="24">
        <v>0.59652777777777777</v>
      </c>
      <c r="K608" s="19">
        <v>5</v>
      </c>
      <c r="L608" s="12">
        <v>46115</v>
      </c>
      <c r="M608" s="24">
        <v>0.84652777777777777</v>
      </c>
      <c r="N608" s="11">
        <v>6</v>
      </c>
      <c r="O608" s="11" t="s">
        <v>34</v>
      </c>
      <c r="P608" s="11" t="s">
        <v>35</v>
      </c>
      <c r="Q608" s="11"/>
      <c r="R608" s="11" t="s">
        <v>36</v>
      </c>
      <c r="S608" s="19">
        <v>35</v>
      </c>
      <c r="T608" s="11" t="s">
        <v>49</v>
      </c>
      <c r="U608" s="11" t="s">
        <v>164</v>
      </c>
      <c r="V608" s="11">
        <v>4</v>
      </c>
      <c r="W608" s="11" t="s">
        <v>70</v>
      </c>
      <c r="X608" s="11" t="s">
        <v>3325</v>
      </c>
      <c r="Y608" s="11" t="s">
        <v>109</v>
      </c>
      <c r="Z608" s="11" t="s">
        <v>71</v>
      </c>
      <c r="AA608" s="11" t="str">
        <f>IF(A608=" ", "Missing Value", " ")</f>
        <v xml:space="preserve"> </v>
      </c>
    </row>
    <row r="609" spans="1:27">
      <c r="A609" s="11" t="s">
        <v>2214</v>
      </c>
      <c r="B609" s="11" t="s">
        <v>2215</v>
      </c>
      <c r="C609" s="11" t="s">
        <v>56</v>
      </c>
      <c r="D609" s="19">
        <v>85</v>
      </c>
      <c r="E609" s="11" t="s">
        <v>81</v>
      </c>
      <c r="F609" s="11" t="s">
        <v>82</v>
      </c>
      <c r="G609" s="11" t="s">
        <v>83</v>
      </c>
      <c r="H609" s="12">
        <v>46199</v>
      </c>
      <c r="I609" s="12" t="str">
        <f t="shared" si="10"/>
        <v>June</v>
      </c>
      <c r="J609" s="24">
        <v>0.41041666666666665</v>
      </c>
      <c r="K609" s="19">
        <v>8</v>
      </c>
      <c r="L609" s="12">
        <v>46200</v>
      </c>
      <c r="M609" s="24">
        <v>7.7083333333333337E-2</v>
      </c>
      <c r="N609" s="11">
        <v>16</v>
      </c>
      <c r="O609" s="11" t="s">
        <v>34</v>
      </c>
      <c r="P609" s="11" t="s">
        <v>270</v>
      </c>
      <c r="Q609" s="11" t="s">
        <v>391</v>
      </c>
      <c r="R609" s="11" t="s">
        <v>132</v>
      </c>
      <c r="S609" s="19">
        <v>20</v>
      </c>
      <c r="T609" s="11" t="s">
        <v>49</v>
      </c>
      <c r="U609" s="11" t="s">
        <v>96</v>
      </c>
      <c r="V609" s="11">
        <v>2</v>
      </c>
      <c r="W609" s="11" t="s">
        <v>39</v>
      </c>
      <c r="X609" s="11" t="s">
        <v>3325</v>
      </c>
      <c r="Y609" s="11" t="s">
        <v>41</v>
      </c>
      <c r="Z609" s="11" t="s">
        <v>71</v>
      </c>
      <c r="AA609" s="11" t="s">
        <v>3266</v>
      </c>
    </row>
    <row r="610" spans="1:27">
      <c r="A610" s="11" t="s">
        <v>2217</v>
      </c>
      <c r="B610" s="11" t="s">
        <v>2218</v>
      </c>
      <c r="C610" s="11" t="s">
        <v>56</v>
      </c>
      <c r="D610" s="19">
        <v>37</v>
      </c>
      <c r="E610" s="11" t="s">
        <v>149</v>
      </c>
      <c r="F610" s="11" t="s">
        <v>29</v>
      </c>
      <c r="G610" s="11" t="s">
        <v>30</v>
      </c>
      <c r="H610" s="12">
        <v>46150</v>
      </c>
      <c r="I610" s="12" t="str">
        <f t="shared" si="10"/>
        <v>May</v>
      </c>
      <c r="J610" s="24">
        <v>0.36875000000000002</v>
      </c>
      <c r="K610" s="19">
        <v>6</v>
      </c>
      <c r="L610" s="12">
        <v>46150</v>
      </c>
      <c r="M610" s="24">
        <v>0.95208333333333328</v>
      </c>
      <c r="N610" s="11">
        <v>14</v>
      </c>
      <c r="O610" s="11" t="s">
        <v>34</v>
      </c>
      <c r="P610" s="11" t="s">
        <v>35</v>
      </c>
      <c r="Q610" s="11"/>
      <c r="R610" s="11" t="s">
        <v>36</v>
      </c>
      <c r="S610" s="19">
        <v>40</v>
      </c>
      <c r="T610" s="11" t="s">
        <v>49</v>
      </c>
      <c r="U610" s="11" t="s">
        <v>38</v>
      </c>
      <c r="V610" s="11">
        <v>5</v>
      </c>
      <c r="W610" s="11" t="s">
        <v>89</v>
      </c>
      <c r="X610" s="11" t="s">
        <v>51</v>
      </c>
      <c r="Y610" s="11" t="s">
        <v>109</v>
      </c>
      <c r="Z610" s="11" t="s">
        <v>53</v>
      </c>
      <c r="AA610" s="11" t="str">
        <f>IF(A610=" ", "Missing Value", " ")</f>
        <v xml:space="preserve"> </v>
      </c>
    </row>
    <row r="611" spans="1:27">
      <c r="A611" s="11" t="s">
        <v>2219</v>
      </c>
      <c r="B611" s="11" t="s">
        <v>2220</v>
      </c>
      <c r="C611" s="11" t="s">
        <v>27</v>
      </c>
      <c r="D611" s="19">
        <v>64</v>
      </c>
      <c r="E611" s="11" t="s">
        <v>173</v>
      </c>
      <c r="F611" s="11" t="s">
        <v>29</v>
      </c>
      <c r="G611" s="11" t="s">
        <v>168</v>
      </c>
      <c r="H611" s="12">
        <v>46084</v>
      </c>
      <c r="I611" s="12" t="str">
        <f t="shared" si="10"/>
        <v>March</v>
      </c>
      <c r="J611" s="24">
        <v>0.53194444444444444</v>
      </c>
      <c r="K611" s="19">
        <v>4</v>
      </c>
      <c r="L611" s="12">
        <v>46084</v>
      </c>
      <c r="M611" s="24">
        <v>0.90694444444444444</v>
      </c>
      <c r="N611" s="11">
        <v>9</v>
      </c>
      <c r="O611" s="11" t="s">
        <v>34</v>
      </c>
      <c r="P611" s="11" t="s">
        <v>35</v>
      </c>
      <c r="Q611" s="11"/>
      <c r="R611" s="11" t="s">
        <v>36</v>
      </c>
      <c r="S611" s="19">
        <v>25</v>
      </c>
      <c r="T611" s="11" t="s">
        <v>37</v>
      </c>
      <c r="U611" s="11" t="s">
        <v>38</v>
      </c>
      <c r="V611" s="11">
        <v>4</v>
      </c>
      <c r="W611" s="11" t="s">
        <v>70</v>
      </c>
      <c r="X611" s="11" t="s">
        <v>3334</v>
      </c>
      <c r="Y611" s="11" t="s">
        <v>41</v>
      </c>
      <c r="Z611" s="11" t="s">
        <v>71</v>
      </c>
      <c r="AA611" s="11" t="s">
        <v>3234</v>
      </c>
    </row>
    <row r="612" spans="1:27">
      <c r="A612" s="11" t="s">
        <v>2221</v>
      </c>
      <c r="B612" s="11" t="s">
        <v>2222</v>
      </c>
      <c r="C612" s="11" t="s">
        <v>27</v>
      </c>
      <c r="D612" s="19">
        <v>1</v>
      </c>
      <c r="E612" s="11" t="s">
        <v>149</v>
      </c>
      <c r="F612" s="11" t="s">
        <v>29</v>
      </c>
      <c r="G612" s="11" t="s">
        <v>93</v>
      </c>
      <c r="H612" s="12">
        <v>46072</v>
      </c>
      <c r="I612" s="12" t="str">
        <f t="shared" si="10"/>
        <v>February</v>
      </c>
      <c r="J612" s="24">
        <v>0.30625000000000002</v>
      </c>
      <c r="K612" s="19">
        <v>6</v>
      </c>
      <c r="L612" s="12">
        <v>46072</v>
      </c>
      <c r="M612" s="24">
        <v>0.76458333333333328</v>
      </c>
      <c r="N612" s="11">
        <v>11</v>
      </c>
      <c r="O612" s="11" t="s">
        <v>34</v>
      </c>
      <c r="P612" s="11" t="s">
        <v>35</v>
      </c>
      <c r="Q612" s="11"/>
      <c r="R612" s="11" t="s">
        <v>36</v>
      </c>
      <c r="S612" s="19">
        <v>40</v>
      </c>
      <c r="T612" s="11" t="s">
        <v>49</v>
      </c>
      <c r="U612" s="11" t="s">
        <v>96</v>
      </c>
      <c r="V612" s="11">
        <v>2</v>
      </c>
      <c r="W612" s="11" t="s">
        <v>39</v>
      </c>
      <c r="X612" s="11" t="s">
        <v>3334</v>
      </c>
      <c r="Y612" s="11" t="s">
        <v>41</v>
      </c>
      <c r="Z612" s="11" t="s">
        <v>53</v>
      </c>
      <c r="AA612" s="11" t="s">
        <v>3234</v>
      </c>
    </row>
    <row r="613" spans="1:27">
      <c r="A613" s="11" t="s">
        <v>2224</v>
      </c>
      <c r="B613" s="11" t="s">
        <v>2225</v>
      </c>
      <c r="C613" s="11" t="s">
        <v>56</v>
      </c>
      <c r="D613" s="19">
        <v>1</v>
      </c>
      <c r="E613" s="11" t="s">
        <v>149</v>
      </c>
      <c r="F613" s="11" t="s">
        <v>29</v>
      </c>
      <c r="G613" s="11" t="s">
        <v>30</v>
      </c>
      <c r="H613" s="12">
        <v>46143</v>
      </c>
      <c r="I613" s="12" t="str">
        <f t="shared" si="10"/>
        <v>May</v>
      </c>
      <c r="J613" s="24">
        <v>0.64375000000000004</v>
      </c>
      <c r="K613" s="19">
        <v>6</v>
      </c>
      <c r="L613" s="12">
        <v>46144</v>
      </c>
      <c r="M613" s="24">
        <v>6.0416666666666667E-2</v>
      </c>
      <c r="N613" s="11">
        <v>10</v>
      </c>
      <c r="O613" s="11" t="s">
        <v>34</v>
      </c>
      <c r="P613" s="11" t="s">
        <v>35</v>
      </c>
      <c r="Q613" s="11"/>
      <c r="R613" s="11" t="s">
        <v>132</v>
      </c>
      <c r="S613" s="19">
        <v>40</v>
      </c>
      <c r="T613" s="11" t="s">
        <v>49</v>
      </c>
      <c r="U613" s="11" t="s">
        <v>164</v>
      </c>
      <c r="V613" s="11">
        <v>4</v>
      </c>
      <c r="W613" s="11" t="s">
        <v>62</v>
      </c>
      <c r="X613" s="11" t="s">
        <v>3325</v>
      </c>
      <c r="Y613" s="11" t="s">
        <v>52</v>
      </c>
      <c r="Z613" s="11" t="s">
        <v>42</v>
      </c>
      <c r="AA613" s="11" t="s">
        <v>3262</v>
      </c>
    </row>
    <row r="614" spans="1:27">
      <c r="A614" s="11" t="s">
        <v>2228</v>
      </c>
      <c r="B614" s="11" t="s">
        <v>2229</v>
      </c>
      <c r="C614" s="11" t="s">
        <v>56</v>
      </c>
      <c r="D614" s="19">
        <v>63</v>
      </c>
      <c r="E614" s="11" t="s">
        <v>81</v>
      </c>
      <c r="F614" s="11" t="s">
        <v>82</v>
      </c>
      <c r="G614" s="11" t="s">
        <v>83</v>
      </c>
      <c r="H614" s="12">
        <v>46043</v>
      </c>
      <c r="I614" s="12" t="str">
        <f t="shared" si="10"/>
        <v>January</v>
      </c>
      <c r="J614" s="24">
        <v>0.39583333333333331</v>
      </c>
      <c r="K614" s="19">
        <v>8</v>
      </c>
      <c r="L614" s="12">
        <v>46044</v>
      </c>
      <c r="M614" s="24">
        <v>2.0833333333333332E-2</v>
      </c>
      <c r="N614" s="11">
        <v>15</v>
      </c>
      <c r="O614" s="11" t="s">
        <v>34</v>
      </c>
      <c r="P614" s="11" t="s">
        <v>35</v>
      </c>
      <c r="Q614" s="11"/>
      <c r="R614" s="11" t="s">
        <v>36</v>
      </c>
      <c r="S614" s="19">
        <v>20</v>
      </c>
      <c r="T614" s="11" t="s">
        <v>37</v>
      </c>
      <c r="U614" s="11" t="s">
        <v>38</v>
      </c>
      <c r="V614" s="11">
        <v>4</v>
      </c>
      <c r="W614" s="11" t="s">
        <v>89</v>
      </c>
      <c r="X614" s="11" t="s">
        <v>3333</v>
      </c>
      <c r="Y614" s="11" t="s">
        <v>52</v>
      </c>
      <c r="Z614" s="11" t="s">
        <v>42</v>
      </c>
      <c r="AA614" s="11" t="str">
        <f>IF(A614=" ", "Missing Value", " ")</f>
        <v xml:space="preserve"> </v>
      </c>
    </row>
    <row r="615" spans="1:27">
      <c r="A615" s="11" t="s">
        <v>2231</v>
      </c>
      <c r="B615" s="11" t="s">
        <v>2232</v>
      </c>
      <c r="C615" s="11" t="s">
        <v>56</v>
      </c>
      <c r="D615" s="19">
        <v>35</v>
      </c>
      <c r="E615" s="11" t="s">
        <v>28</v>
      </c>
      <c r="F615" s="11" t="s">
        <v>29</v>
      </c>
      <c r="G615" s="11" t="s">
        <v>30</v>
      </c>
      <c r="H615" s="12">
        <v>46104</v>
      </c>
      <c r="I615" s="12" t="str">
        <f t="shared" si="10"/>
        <v>March</v>
      </c>
      <c r="J615" s="24">
        <v>0.50763888888888886</v>
      </c>
      <c r="K615" s="19">
        <v>5</v>
      </c>
      <c r="L615" s="12">
        <v>46104</v>
      </c>
      <c r="M615" s="24">
        <v>0.75763888888888886</v>
      </c>
      <c r="N615" s="11">
        <v>6</v>
      </c>
      <c r="O615" s="11" t="s">
        <v>34</v>
      </c>
      <c r="P615" s="11" t="s">
        <v>35</v>
      </c>
      <c r="Q615" s="11"/>
      <c r="R615" s="11" t="s">
        <v>36</v>
      </c>
      <c r="S615" s="19">
        <v>35</v>
      </c>
      <c r="T615" s="11" t="s">
        <v>49</v>
      </c>
      <c r="U615" s="11" t="s">
        <v>38</v>
      </c>
      <c r="V615" s="11">
        <v>5</v>
      </c>
      <c r="W615" s="11" t="s">
        <v>62</v>
      </c>
      <c r="X615" s="11" t="s">
        <v>51</v>
      </c>
      <c r="Y615" s="11" t="s">
        <v>52</v>
      </c>
      <c r="Z615" s="11" t="s">
        <v>42</v>
      </c>
      <c r="AA615" s="11" t="str">
        <f>IF(A615=" ", "Missing Value", " ")</f>
        <v xml:space="preserve"> </v>
      </c>
    </row>
    <row r="616" spans="1:27">
      <c r="A616" s="11" t="s">
        <v>2234</v>
      </c>
      <c r="B616" s="11" t="s">
        <v>2235</v>
      </c>
      <c r="C616" s="11" t="s">
        <v>27</v>
      </c>
      <c r="D616" s="19">
        <v>18</v>
      </c>
      <c r="E616" s="11" t="s">
        <v>28</v>
      </c>
      <c r="F616" s="11" t="s">
        <v>29</v>
      </c>
      <c r="G616" s="11" t="s">
        <v>83</v>
      </c>
      <c r="H616" s="12">
        <v>46082</v>
      </c>
      <c r="I616" s="12" t="str">
        <f t="shared" si="10"/>
        <v>March</v>
      </c>
      <c r="J616" s="24">
        <v>0.43611111111111112</v>
      </c>
      <c r="K616" s="19">
        <v>5</v>
      </c>
      <c r="L616" s="12">
        <v>46082</v>
      </c>
      <c r="M616" s="24">
        <v>0.68611111111111112</v>
      </c>
      <c r="N616" s="11">
        <v>6</v>
      </c>
      <c r="O616" s="11" t="s">
        <v>34</v>
      </c>
      <c r="P616" s="11" t="s">
        <v>35</v>
      </c>
      <c r="Q616" s="11"/>
      <c r="R616" s="11" t="s">
        <v>36</v>
      </c>
      <c r="S616" s="19">
        <v>35</v>
      </c>
      <c r="T616" s="11" t="s">
        <v>49</v>
      </c>
      <c r="U616" s="11" t="s">
        <v>96</v>
      </c>
      <c r="V616" s="11">
        <v>1</v>
      </c>
      <c r="W616" s="11" t="s">
        <v>62</v>
      </c>
      <c r="X616" s="11" t="s">
        <v>51</v>
      </c>
      <c r="Y616" s="11" t="s">
        <v>52</v>
      </c>
      <c r="Z616" s="11" t="s">
        <v>71</v>
      </c>
      <c r="AA616" s="11" t="s">
        <v>3234</v>
      </c>
    </row>
    <row r="617" spans="1:27">
      <c r="A617" s="11" t="s">
        <v>2236</v>
      </c>
      <c r="B617" s="11" t="s">
        <v>2237</v>
      </c>
      <c r="C617" s="11" t="s">
        <v>56</v>
      </c>
      <c r="D617" s="19">
        <v>10</v>
      </c>
      <c r="E617" s="11" t="s">
        <v>149</v>
      </c>
      <c r="F617" s="11" t="s">
        <v>29</v>
      </c>
      <c r="G617" s="11" t="s">
        <v>30</v>
      </c>
      <c r="H617" s="12">
        <v>46067</v>
      </c>
      <c r="I617" s="12" t="str">
        <f t="shared" si="10"/>
        <v>February</v>
      </c>
      <c r="J617" s="24">
        <v>0.68194444444444446</v>
      </c>
      <c r="K617" s="19">
        <v>6</v>
      </c>
      <c r="L617" s="12">
        <v>46067</v>
      </c>
      <c r="M617" s="24">
        <v>0.97361111111111109</v>
      </c>
      <c r="N617" s="11">
        <v>7</v>
      </c>
      <c r="O617" s="11" t="s">
        <v>34</v>
      </c>
      <c r="P617" s="11" t="s">
        <v>35</v>
      </c>
      <c r="Q617" s="11"/>
      <c r="R617" s="11" t="s">
        <v>36</v>
      </c>
      <c r="S617" s="19">
        <v>40</v>
      </c>
      <c r="T617" s="11" t="s">
        <v>49</v>
      </c>
      <c r="U617" s="11" t="s">
        <v>38</v>
      </c>
      <c r="V617" s="11">
        <v>1</v>
      </c>
      <c r="W617" s="11" t="s">
        <v>70</v>
      </c>
      <c r="X617" s="11" t="s">
        <v>51</v>
      </c>
      <c r="Y617" s="11" t="s">
        <v>52</v>
      </c>
      <c r="Z617" s="11" t="s">
        <v>53</v>
      </c>
      <c r="AA617" s="11" t="str">
        <f>IF(A617=" ", "Missing Value", " ")</f>
        <v xml:space="preserve"> </v>
      </c>
    </row>
    <row r="618" spans="1:27">
      <c r="A618" s="11" t="s">
        <v>2240</v>
      </c>
      <c r="B618" s="11" t="s">
        <v>2241</v>
      </c>
      <c r="C618" s="11" t="s">
        <v>27</v>
      </c>
      <c r="D618" s="19">
        <v>87</v>
      </c>
      <c r="E618" s="11" t="s">
        <v>173</v>
      </c>
      <c r="F618" s="11" t="s">
        <v>29</v>
      </c>
      <c r="G618" s="11" t="s">
        <v>168</v>
      </c>
      <c r="H618" s="12">
        <v>46142</v>
      </c>
      <c r="I618" s="12" t="str">
        <f t="shared" si="10"/>
        <v>April</v>
      </c>
      <c r="J618" s="24">
        <v>0.45833333333333331</v>
      </c>
      <c r="K618" s="19">
        <v>4</v>
      </c>
      <c r="L618" s="12">
        <v>46142</v>
      </c>
      <c r="M618" s="24">
        <v>0.875</v>
      </c>
      <c r="N618" s="11">
        <v>10</v>
      </c>
      <c r="O618" s="11" t="s">
        <v>34</v>
      </c>
      <c r="P618" s="11" t="s">
        <v>35</v>
      </c>
      <c r="Q618" s="11"/>
      <c r="R618" s="11" t="s">
        <v>36</v>
      </c>
      <c r="S618" s="19">
        <v>25</v>
      </c>
      <c r="T618" s="11" t="s">
        <v>49</v>
      </c>
      <c r="U618" s="11" t="s">
        <v>164</v>
      </c>
      <c r="V618" s="11">
        <v>2</v>
      </c>
      <c r="W618" s="11" t="s">
        <v>62</v>
      </c>
      <c r="X618" s="11" t="s">
        <v>3333</v>
      </c>
      <c r="Y618" s="11" t="s">
        <v>52</v>
      </c>
      <c r="Z618" s="11" t="s">
        <v>71</v>
      </c>
      <c r="AA618" s="11" t="s">
        <v>3234</v>
      </c>
    </row>
    <row r="619" spans="1:27">
      <c r="A619" s="11" t="s">
        <v>2243</v>
      </c>
      <c r="B619" s="11" t="s">
        <v>2244</v>
      </c>
      <c r="C619" s="11" t="s">
        <v>27</v>
      </c>
      <c r="D619" s="19">
        <v>21</v>
      </c>
      <c r="E619" s="11" t="s">
        <v>28</v>
      </c>
      <c r="F619" s="11" t="s">
        <v>29</v>
      </c>
      <c r="G619" s="11" t="s">
        <v>83</v>
      </c>
      <c r="H619" s="12">
        <v>46184</v>
      </c>
      <c r="I619" s="12" t="str">
        <f t="shared" si="10"/>
        <v>June</v>
      </c>
      <c r="J619" s="24">
        <v>0.67222222222222228</v>
      </c>
      <c r="K619" s="19">
        <v>5</v>
      </c>
      <c r="L619" s="12">
        <v>46185</v>
      </c>
      <c r="M619" s="24">
        <v>0.17222222222222222</v>
      </c>
      <c r="N619" s="11">
        <v>12</v>
      </c>
      <c r="O619" s="11" t="s">
        <v>34</v>
      </c>
      <c r="P619" s="11" t="s">
        <v>35</v>
      </c>
      <c r="Q619" s="11"/>
      <c r="R619" s="11" t="s">
        <v>132</v>
      </c>
      <c r="S619" s="19">
        <v>35</v>
      </c>
      <c r="T619" s="11" t="s">
        <v>49</v>
      </c>
      <c r="U619" s="11" t="s">
        <v>164</v>
      </c>
      <c r="V619" s="11">
        <v>3</v>
      </c>
      <c r="W619" s="11" t="s">
        <v>70</v>
      </c>
      <c r="X619" s="11" t="s">
        <v>3325</v>
      </c>
      <c r="Y619" s="11" t="s">
        <v>109</v>
      </c>
      <c r="Z619" s="11" t="s">
        <v>42</v>
      </c>
      <c r="AA619" s="11" t="s">
        <v>3264</v>
      </c>
    </row>
    <row r="620" spans="1:27">
      <c r="A620" s="11" t="s">
        <v>2246</v>
      </c>
      <c r="B620" s="11" t="s">
        <v>2247</v>
      </c>
      <c r="C620" s="11" t="s">
        <v>27</v>
      </c>
      <c r="D620" s="19">
        <v>55</v>
      </c>
      <c r="E620" s="11" t="s">
        <v>28</v>
      </c>
      <c r="F620" s="11" t="s">
        <v>29</v>
      </c>
      <c r="G620" s="11" t="s">
        <v>83</v>
      </c>
      <c r="H620" s="12">
        <v>46121</v>
      </c>
      <c r="I620" s="12" t="str">
        <f t="shared" si="10"/>
        <v>April</v>
      </c>
      <c r="J620" s="24">
        <v>0.69166666666666665</v>
      </c>
      <c r="K620" s="19">
        <v>5</v>
      </c>
      <c r="L620" s="12">
        <v>46122</v>
      </c>
      <c r="M620" s="24">
        <v>0.23333333333333334</v>
      </c>
      <c r="N620" s="11">
        <v>13</v>
      </c>
      <c r="O620" s="11" t="s">
        <v>34</v>
      </c>
      <c r="P620" s="11" t="s">
        <v>35</v>
      </c>
      <c r="Q620" s="11"/>
      <c r="R620" s="11" t="s">
        <v>36</v>
      </c>
      <c r="S620" s="19">
        <v>35</v>
      </c>
      <c r="T620" s="11" t="s">
        <v>49</v>
      </c>
      <c r="U620" s="11" t="s">
        <v>96</v>
      </c>
      <c r="V620" s="11">
        <v>5</v>
      </c>
      <c r="W620" s="11" t="s">
        <v>62</v>
      </c>
      <c r="X620" s="11" t="s">
        <v>3325</v>
      </c>
      <c r="Y620" s="11" t="s">
        <v>109</v>
      </c>
      <c r="Z620" s="11" t="s">
        <v>42</v>
      </c>
      <c r="AA620" s="11" t="s">
        <v>3234</v>
      </c>
    </row>
    <row r="621" spans="1:27">
      <c r="A621" s="11" t="s">
        <v>2249</v>
      </c>
      <c r="B621" s="11" t="s">
        <v>2250</v>
      </c>
      <c r="C621" s="11" t="s">
        <v>56</v>
      </c>
      <c r="D621" s="19">
        <v>32</v>
      </c>
      <c r="E621" s="11" t="s">
        <v>149</v>
      </c>
      <c r="F621" s="11" t="s">
        <v>29</v>
      </c>
      <c r="G621" s="11" t="s">
        <v>30</v>
      </c>
      <c r="H621" s="12">
        <v>46046</v>
      </c>
      <c r="I621" s="12" t="str">
        <f t="shared" si="10"/>
        <v>January</v>
      </c>
      <c r="J621" s="24">
        <v>0.64027777777777772</v>
      </c>
      <c r="K621" s="19">
        <v>6</v>
      </c>
      <c r="L621" s="12">
        <v>46047</v>
      </c>
      <c r="M621" s="24">
        <v>1.5277777777777777E-2</v>
      </c>
      <c r="N621" s="11">
        <v>9</v>
      </c>
      <c r="O621" s="11" t="s">
        <v>34</v>
      </c>
      <c r="P621" s="11" t="s">
        <v>35</v>
      </c>
      <c r="Q621" s="11"/>
      <c r="R621" s="11" t="s">
        <v>36</v>
      </c>
      <c r="S621" s="19">
        <v>40</v>
      </c>
      <c r="T621" s="11" t="s">
        <v>49</v>
      </c>
      <c r="U621" s="11" t="s">
        <v>38</v>
      </c>
      <c r="V621" s="11">
        <v>3</v>
      </c>
      <c r="W621" s="11" t="s">
        <v>39</v>
      </c>
      <c r="X621" s="11" t="s">
        <v>3325</v>
      </c>
      <c r="Y621" s="11" t="s">
        <v>41</v>
      </c>
      <c r="Z621" s="11" t="s">
        <v>53</v>
      </c>
      <c r="AA621" s="11" t="str">
        <f>IF(A621=" ", "Missing Value", " ")</f>
        <v xml:space="preserve"> </v>
      </c>
    </row>
    <row r="622" spans="1:27">
      <c r="A622" s="11" t="s">
        <v>2252</v>
      </c>
      <c r="B622" s="11" t="s">
        <v>2253</v>
      </c>
      <c r="C622" s="11" t="s">
        <v>27</v>
      </c>
      <c r="D622" s="19">
        <v>6</v>
      </c>
      <c r="E622" s="11" t="s">
        <v>57</v>
      </c>
      <c r="F622" s="11" t="s">
        <v>29</v>
      </c>
      <c r="G622" s="11" t="s">
        <v>168</v>
      </c>
      <c r="H622" s="12">
        <v>46061</v>
      </c>
      <c r="I622" s="12" t="str">
        <f t="shared" si="10"/>
        <v>February</v>
      </c>
      <c r="J622" s="24">
        <v>0.64166666666666672</v>
      </c>
      <c r="K622" s="19">
        <v>3</v>
      </c>
      <c r="L622" s="12">
        <v>46061</v>
      </c>
      <c r="M622" s="24">
        <v>0.89166666666666672</v>
      </c>
      <c r="N622" s="11">
        <v>6</v>
      </c>
      <c r="O622" s="11" t="s">
        <v>34</v>
      </c>
      <c r="P622" s="11" t="s">
        <v>35</v>
      </c>
      <c r="Q622" s="11"/>
      <c r="R622" s="11" t="s">
        <v>36</v>
      </c>
      <c r="S622" s="19">
        <v>15</v>
      </c>
      <c r="T622" s="11" t="s">
        <v>49</v>
      </c>
      <c r="U622" s="11" t="s">
        <v>96</v>
      </c>
      <c r="V622" s="11">
        <v>5</v>
      </c>
      <c r="W622" s="11" t="s">
        <v>39</v>
      </c>
      <c r="X622" s="11" t="s">
        <v>51</v>
      </c>
      <c r="Y622" s="11" t="s">
        <v>41</v>
      </c>
      <c r="Z622" s="11" t="s">
        <v>71</v>
      </c>
      <c r="AA622" s="11" t="s">
        <v>3234</v>
      </c>
    </row>
    <row r="623" spans="1:27">
      <c r="A623" s="11" t="s">
        <v>2254</v>
      </c>
      <c r="B623" s="11" t="s">
        <v>2255</v>
      </c>
      <c r="C623" s="11" t="s">
        <v>27</v>
      </c>
      <c r="D623" s="19">
        <v>80</v>
      </c>
      <c r="E623" s="11" t="s">
        <v>81</v>
      </c>
      <c r="F623" s="11" t="s">
        <v>82</v>
      </c>
      <c r="G623" s="11" t="s">
        <v>168</v>
      </c>
      <c r="H623" s="12">
        <v>46049</v>
      </c>
      <c r="I623" s="12" t="str">
        <f t="shared" si="10"/>
        <v>January</v>
      </c>
      <c r="J623" s="24">
        <v>0.39930555555555558</v>
      </c>
      <c r="K623" s="19">
        <v>8</v>
      </c>
      <c r="L623" s="12">
        <v>46050</v>
      </c>
      <c r="M623" s="24">
        <v>6.5972222222222224E-2</v>
      </c>
      <c r="N623" s="11">
        <v>16</v>
      </c>
      <c r="O623" s="11" t="s">
        <v>34</v>
      </c>
      <c r="P623" s="11" t="s">
        <v>35</v>
      </c>
      <c r="Q623" s="11"/>
      <c r="R623" s="11" t="s">
        <v>36</v>
      </c>
      <c r="S623" s="19">
        <v>20</v>
      </c>
      <c r="T623" s="11" t="s">
        <v>49</v>
      </c>
      <c r="U623" s="11" t="s">
        <v>164</v>
      </c>
      <c r="V623" s="11">
        <v>5</v>
      </c>
      <c r="W623" s="11" t="s">
        <v>89</v>
      </c>
      <c r="X623" s="11" t="s">
        <v>3334</v>
      </c>
      <c r="Y623" s="11" t="s">
        <v>41</v>
      </c>
      <c r="Z623" s="11" t="s">
        <v>71</v>
      </c>
      <c r="AA623" s="11" t="s">
        <v>3234</v>
      </c>
    </row>
    <row r="624" spans="1:27">
      <c r="A624" s="11" t="s">
        <v>2257</v>
      </c>
      <c r="B624" s="11" t="s">
        <v>2258</v>
      </c>
      <c r="C624" s="11" t="s">
        <v>27</v>
      </c>
      <c r="D624" s="19">
        <v>29</v>
      </c>
      <c r="E624" s="11" t="s">
        <v>92</v>
      </c>
      <c r="F624" s="11" t="s">
        <v>29</v>
      </c>
      <c r="G624" s="11" t="s">
        <v>168</v>
      </c>
      <c r="H624" s="12">
        <v>46136</v>
      </c>
      <c r="I624" s="12" t="str">
        <f t="shared" si="10"/>
        <v>April</v>
      </c>
      <c r="J624" s="24">
        <v>0.3263888888888889</v>
      </c>
      <c r="K624" s="19">
        <v>24</v>
      </c>
      <c r="L624" s="12">
        <v>46137</v>
      </c>
      <c r="M624" s="24">
        <v>0.61805555555555558</v>
      </c>
      <c r="N624" s="11">
        <v>31</v>
      </c>
      <c r="O624" s="11" t="s">
        <v>34</v>
      </c>
      <c r="P624" s="11" t="s">
        <v>35</v>
      </c>
      <c r="Q624" s="11"/>
      <c r="R624" s="11" t="s">
        <v>36</v>
      </c>
      <c r="S624" s="19">
        <v>50</v>
      </c>
      <c r="T624" s="11" t="s">
        <v>49</v>
      </c>
      <c r="U624" s="11" t="s">
        <v>164</v>
      </c>
      <c r="V624" s="11">
        <v>1</v>
      </c>
      <c r="W624" s="11" t="s">
        <v>70</v>
      </c>
      <c r="X624" s="11" t="s">
        <v>51</v>
      </c>
      <c r="Y624" s="11" t="s">
        <v>41</v>
      </c>
      <c r="Z624" s="11" t="s">
        <v>71</v>
      </c>
      <c r="AA624" s="11" t="s">
        <v>3234</v>
      </c>
    </row>
    <row r="625" spans="1:27">
      <c r="A625" s="11" t="s">
        <v>2261</v>
      </c>
      <c r="B625" s="11" t="s">
        <v>2262</v>
      </c>
      <c r="C625" s="11" t="s">
        <v>27</v>
      </c>
      <c r="D625" s="19">
        <v>80</v>
      </c>
      <c r="E625" s="11" t="s">
        <v>81</v>
      </c>
      <c r="F625" s="11" t="s">
        <v>82</v>
      </c>
      <c r="G625" s="11" t="s">
        <v>83</v>
      </c>
      <c r="H625" s="12">
        <v>46182</v>
      </c>
      <c r="I625" s="12" t="str">
        <f t="shared" si="10"/>
        <v>June</v>
      </c>
      <c r="J625" s="24">
        <v>0.50277777777777777</v>
      </c>
      <c r="K625" s="19">
        <v>8</v>
      </c>
      <c r="L625" s="12">
        <v>46183</v>
      </c>
      <c r="M625" s="24">
        <v>4.4444444444444446E-2</v>
      </c>
      <c r="N625" s="11">
        <v>13</v>
      </c>
      <c r="O625" s="11" t="s">
        <v>34</v>
      </c>
      <c r="P625" s="11" t="s">
        <v>35</v>
      </c>
      <c r="Q625" s="11"/>
      <c r="R625" s="11" t="s">
        <v>36</v>
      </c>
      <c r="S625" s="19">
        <v>20</v>
      </c>
      <c r="T625" s="11" t="s">
        <v>49</v>
      </c>
      <c r="U625" s="11" t="s">
        <v>164</v>
      </c>
      <c r="V625" s="11">
        <v>3</v>
      </c>
      <c r="W625" s="11" t="s">
        <v>89</v>
      </c>
      <c r="X625" s="11" t="s">
        <v>51</v>
      </c>
      <c r="Y625" s="11" t="s">
        <v>52</v>
      </c>
      <c r="Z625" s="11" t="s">
        <v>53</v>
      </c>
      <c r="AA625" s="11" t="str">
        <f>IF(A625=" ", "Missing Value", " ")</f>
        <v xml:space="preserve"> </v>
      </c>
    </row>
    <row r="626" spans="1:27">
      <c r="A626" s="11" t="s">
        <v>2265</v>
      </c>
      <c r="B626" s="11" t="s">
        <v>2266</v>
      </c>
      <c r="C626" s="11" t="s">
        <v>27</v>
      </c>
      <c r="D626" s="19">
        <v>32</v>
      </c>
      <c r="E626" s="11" t="s">
        <v>28</v>
      </c>
      <c r="F626" s="11" t="s">
        <v>29</v>
      </c>
      <c r="G626" s="11" t="s">
        <v>30</v>
      </c>
      <c r="H626" s="12">
        <v>46039</v>
      </c>
      <c r="I626" s="12" t="str">
        <f t="shared" si="10"/>
        <v>January</v>
      </c>
      <c r="J626" s="24">
        <v>0.69236111111111109</v>
      </c>
      <c r="K626" s="19">
        <v>5</v>
      </c>
      <c r="L626" s="12">
        <v>46040</v>
      </c>
      <c r="M626" s="24">
        <v>2.5694444444444443E-2</v>
      </c>
      <c r="N626" s="11">
        <v>8</v>
      </c>
      <c r="O626" s="11" t="s">
        <v>34</v>
      </c>
      <c r="P626" s="11" t="s">
        <v>35</v>
      </c>
      <c r="Q626" s="11"/>
      <c r="R626" s="11" t="s">
        <v>36</v>
      </c>
      <c r="S626" s="19">
        <v>35</v>
      </c>
      <c r="T626" s="11" t="s">
        <v>49</v>
      </c>
      <c r="U626" s="11" t="s">
        <v>96</v>
      </c>
      <c r="V626" s="11">
        <v>2</v>
      </c>
      <c r="W626" s="11" t="s">
        <v>89</v>
      </c>
      <c r="X626" s="11" t="s">
        <v>3325</v>
      </c>
      <c r="Y626" s="11" t="s">
        <v>52</v>
      </c>
      <c r="Z626" s="11" t="s">
        <v>53</v>
      </c>
      <c r="AA626" s="11" t="str">
        <f>IF(A626=" ", "Missing Value", " ")</f>
        <v xml:space="preserve"> </v>
      </c>
    </row>
    <row r="627" spans="1:27">
      <c r="A627" s="11" t="s">
        <v>2269</v>
      </c>
      <c r="B627" s="11" t="s">
        <v>2270</v>
      </c>
      <c r="C627" s="11" t="s">
        <v>27</v>
      </c>
      <c r="D627" s="19">
        <v>31</v>
      </c>
      <c r="E627" s="11" t="s">
        <v>92</v>
      </c>
      <c r="F627" s="11" t="s">
        <v>29</v>
      </c>
      <c r="G627" s="11" t="s">
        <v>93</v>
      </c>
      <c r="H627" s="12">
        <v>46161</v>
      </c>
      <c r="I627" s="12" t="str">
        <f t="shared" si="10"/>
        <v>May</v>
      </c>
      <c r="J627" s="24">
        <v>0.59791666666666665</v>
      </c>
      <c r="K627" s="19">
        <v>24</v>
      </c>
      <c r="L627" s="12">
        <v>46162</v>
      </c>
      <c r="M627" s="24">
        <v>0.68125000000000002</v>
      </c>
      <c r="N627" s="11">
        <v>26</v>
      </c>
      <c r="O627" s="11" t="s">
        <v>34</v>
      </c>
      <c r="P627" s="11" t="s">
        <v>35</v>
      </c>
      <c r="Q627" s="11"/>
      <c r="R627" s="11" t="s">
        <v>36</v>
      </c>
      <c r="S627" s="19">
        <v>50</v>
      </c>
      <c r="T627" s="11" t="s">
        <v>49</v>
      </c>
      <c r="U627" s="11" t="s">
        <v>96</v>
      </c>
      <c r="V627" s="11">
        <v>5</v>
      </c>
      <c r="W627" s="11" t="s">
        <v>89</v>
      </c>
      <c r="X627" s="11" t="s">
        <v>3334</v>
      </c>
      <c r="Y627" s="11" t="s">
        <v>41</v>
      </c>
      <c r="Z627" s="11" t="s">
        <v>53</v>
      </c>
      <c r="AA627" s="11" t="str">
        <f>IF(A627=" ", "Missing Value", " ")</f>
        <v xml:space="preserve"> </v>
      </c>
    </row>
    <row r="628" spans="1:27">
      <c r="A628" s="11" t="s">
        <v>2273</v>
      </c>
      <c r="B628" s="11" t="s">
        <v>2274</v>
      </c>
      <c r="C628" s="11" t="s">
        <v>56</v>
      </c>
      <c r="D628" s="19">
        <v>37</v>
      </c>
      <c r="E628" s="11" t="s">
        <v>92</v>
      </c>
      <c r="F628" s="11" t="s">
        <v>29</v>
      </c>
      <c r="G628" s="11" t="s">
        <v>30</v>
      </c>
      <c r="H628" s="12">
        <v>46126</v>
      </c>
      <c r="I628" s="12" t="str">
        <f t="shared" si="10"/>
        <v>April</v>
      </c>
      <c r="J628" s="24">
        <v>0.38750000000000001</v>
      </c>
      <c r="K628" s="19">
        <v>24</v>
      </c>
      <c r="L628" s="12">
        <v>46127</v>
      </c>
      <c r="M628" s="24">
        <v>0.5541666666666667</v>
      </c>
      <c r="N628" s="11">
        <v>28</v>
      </c>
      <c r="O628" s="11" t="s">
        <v>34</v>
      </c>
      <c r="P628" s="11" t="s">
        <v>35</v>
      </c>
      <c r="Q628" s="11"/>
      <c r="R628" s="11" t="s">
        <v>36</v>
      </c>
      <c r="S628" s="19">
        <v>50</v>
      </c>
      <c r="T628" s="11" t="s">
        <v>49</v>
      </c>
      <c r="U628" s="11" t="s">
        <v>164</v>
      </c>
      <c r="V628" s="11">
        <v>3</v>
      </c>
      <c r="W628" s="11" t="s">
        <v>89</v>
      </c>
      <c r="X628" s="11" t="s">
        <v>3334</v>
      </c>
      <c r="Y628" s="11" t="s">
        <v>41</v>
      </c>
      <c r="Z628" s="11" t="s">
        <v>53</v>
      </c>
      <c r="AA628" s="11" t="s">
        <v>3246</v>
      </c>
    </row>
    <row r="629" spans="1:27">
      <c r="A629" s="11" t="s">
        <v>2275</v>
      </c>
      <c r="B629" s="11" t="s">
        <v>2276</v>
      </c>
      <c r="C629" s="11" t="s">
        <v>27</v>
      </c>
      <c r="D629" s="19">
        <v>41</v>
      </c>
      <c r="E629" s="11" t="s">
        <v>92</v>
      </c>
      <c r="F629" s="11" t="s">
        <v>29</v>
      </c>
      <c r="G629" s="11" t="s">
        <v>93</v>
      </c>
      <c r="H629" s="12">
        <v>46035</v>
      </c>
      <c r="I629" s="12" t="str">
        <f t="shared" si="10"/>
        <v>January</v>
      </c>
      <c r="J629" s="24">
        <v>0.41597222222222224</v>
      </c>
      <c r="K629" s="19">
        <v>24</v>
      </c>
      <c r="L629" s="12">
        <v>46036</v>
      </c>
      <c r="M629" s="24">
        <v>0.49930555555555556</v>
      </c>
      <c r="N629" s="11">
        <v>26</v>
      </c>
      <c r="O629" s="11" t="s">
        <v>34</v>
      </c>
      <c r="P629" s="11" t="s">
        <v>35</v>
      </c>
      <c r="Q629" s="11"/>
      <c r="R629" s="11" t="s">
        <v>36</v>
      </c>
      <c r="S629" s="19">
        <v>50</v>
      </c>
      <c r="T629" s="11" t="s">
        <v>37</v>
      </c>
      <c r="U629" s="11" t="s">
        <v>38</v>
      </c>
      <c r="V629" s="11">
        <v>5</v>
      </c>
      <c r="W629" s="11" t="s">
        <v>62</v>
      </c>
      <c r="X629" s="11" t="s">
        <v>3334</v>
      </c>
      <c r="Y629" s="11" t="s">
        <v>41</v>
      </c>
      <c r="Z629" s="11" t="s">
        <v>53</v>
      </c>
      <c r="AA629" s="11" t="str">
        <f>IF(A629=" ", "Missing Value", " ")</f>
        <v xml:space="preserve"> </v>
      </c>
    </row>
    <row r="630" spans="1:27">
      <c r="A630" s="11" t="s">
        <v>2277</v>
      </c>
      <c r="B630" s="11" t="s">
        <v>2278</v>
      </c>
      <c r="C630" s="11" t="s">
        <v>27</v>
      </c>
      <c r="D630" s="19">
        <v>54</v>
      </c>
      <c r="E630" s="11" t="s">
        <v>149</v>
      </c>
      <c r="F630" s="11" t="s">
        <v>29</v>
      </c>
      <c r="G630" s="11" t="s">
        <v>30</v>
      </c>
      <c r="H630" s="12">
        <v>46108</v>
      </c>
      <c r="I630" s="12" t="str">
        <f t="shared" si="10"/>
        <v>March</v>
      </c>
      <c r="J630" s="24">
        <v>0.56666666666666665</v>
      </c>
      <c r="K630" s="19">
        <v>6</v>
      </c>
      <c r="L630" s="12">
        <v>46108</v>
      </c>
      <c r="M630" s="24">
        <v>0.94166666666666665</v>
      </c>
      <c r="N630" s="11">
        <v>9</v>
      </c>
      <c r="O630" s="11" t="s">
        <v>34</v>
      </c>
      <c r="P630" s="11" t="s">
        <v>35</v>
      </c>
      <c r="Q630" s="11"/>
      <c r="R630" s="11" t="s">
        <v>36</v>
      </c>
      <c r="S630" s="19">
        <v>40</v>
      </c>
      <c r="T630" s="11" t="s">
        <v>49</v>
      </c>
      <c r="U630" s="11" t="s">
        <v>164</v>
      </c>
      <c r="V630" s="11">
        <v>4</v>
      </c>
      <c r="W630" s="11" t="s">
        <v>89</v>
      </c>
      <c r="X630" s="11" t="s">
        <v>3334</v>
      </c>
      <c r="Y630" s="11" t="s">
        <v>52</v>
      </c>
      <c r="Z630" s="11" t="s">
        <v>71</v>
      </c>
      <c r="AA630" s="11" t="str">
        <f>IF(A630=" ", "Missing Value", " ")</f>
        <v xml:space="preserve"> </v>
      </c>
    </row>
    <row r="631" spans="1:27">
      <c r="A631" s="11" t="s">
        <v>2279</v>
      </c>
      <c r="B631" s="11" t="s">
        <v>2280</v>
      </c>
      <c r="C631" s="11" t="s">
        <v>56</v>
      </c>
      <c r="D631" s="19">
        <v>42</v>
      </c>
      <c r="E631" s="11" t="s">
        <v>81</v>
      </c>
      <c r="F631" s="11" t="s">
        <v>82</v>
      </c>
      <c r="G631" s="11" t="s">
        <v>30</v>
      </c>
      <c r="H631" s="12">
        <v>46092</v>
      </c>
      <c r="I631" s="12" t="str">
        <f t="shared" si="10"/>
        <v>March</v>
      </c>
      <c r="J631" s="24">
        <v>0.3034722222222222</v>
      </c>
      <c r="K631" s="19">
        <v>8</v>
      </c>
      <c r="L631" s="12">
        <v>46092</v>
      </c>
      <c r="M631" s="24">
        <v>0.63680555555555551</v>
      </c>
      <c r="N631" s="11">
        <v>8</v>
      </c>
      <c r="O631" s="11" t="s">
        <v>68</v>
      </c>
      <c r="P631" s="11" t="s">
        <v>35</v>
      </c>
      <c r="Q631" s="11"/>
      <c r="R631" s="11" t="s">
        <v>36</v>
      </c>
      <c r="S631" s="19">
        <v>20</v>
      </c>
      <c r="T631" s="11" t="s">
        <v>49</v>
      </c>
      <c r="U631" s="11" t="s">
        <v>38</v>
      </c>
      <c r="V631" s="11">
        <v>5</v>
      </c>
      <c r="W631" s="11" t="s">
        <v>89</v>
      </c>
      <c r="X631" s="11" t="s">
        <v>3333</v>
      </c>
      <c r="Y631" s="11" t="s">
        <v>52</v>
      </c>
      <c r="Z631" s="11" t="s">
        <v>53</v>
      </c>
      <c r="AA631" s="11" t="s">
        <v>3234</v>
      </c>
    </row>
    <row r="632" spans="1:27">
      <c r="A632" s="11" t="s">
        <v>2282</v>
      </c>
      <c r="B632" s="11" t="s">
        <v>2283</v>
      </c>
      <c r="C632" s="11" t="s">
        <v>27</v>
      </c>
      <c r="D632" s="19">
        <v>36</v>
      </c>
      <c r="E632" s="11" t="s">
        <v>57</v>
      </c>
      <c r="F632" s="11" t="s">
        <v>29</v>
      </c>
      <c r="G632" s="11" t="s">
        <v>58</v>
      </c>
      <c r="H632" s="12">
        <v>46063</v>
      </c>
      <c r="I632" s="12" t="str">
        <f t="shared" si="10"/>
        <v>February</v>
      </c>
      <c r="J632" s="24">
        <v>0.64930555555555558</v>
      </c>
      <c r="K632" s="19">
        <v>3</v>
      </c>
      <c r="L632" s="12">
        <v>46063</v>
      </c>
      <c r="M632" s="24">
        <v>0.85763888888888884</v>
      </c>
      <c r="N632" s="11">
        <v>5</v>
      </c>
      <c r="O632" s="11" t="s">
        <v>34</v>
      </c>
      <c r="P632" s="11" t="s">
        <v>35</v>
      </c>
      <c r="Q632" s="11"/>
      <c r="R632" s="11" t="s">
        <v>36</v>
      </c>
      <c r="S632" s="19">
        <v>15</v>
      </c>
      <c r="T632" s="11" t="s">
        <v>49</v>
      </c>
      <c r="U632" s="11" t="s">
        <v>96</v>
      </c>
      <c r="V632" s="11">
        <v>1</v>
      </c>
      <c r="W632" s="11" t="s">
        <v>89</v>
      </c>
      <c r="X632" s="11" t="s">
        <v>3333</v>
      </c>
      <c r="Y632" s="11" t="s">
        <v>41</v>
      </c>
      <c r="Z632" s="11" t="s">
        <v>42</v>
      </c>
      <c r="AA632" s="11"/>
    </row>
    <row r="633" spans="1:27">
      <c r="A633" s="11" t="s">
        <v>2284</v>
      </c>
      <c r="B633" s="11" t="s">
        <v>2285</v>
      </c>
      <c r="C633" s="11" t="s">
        <v>56</v>
      </c>
      <c r="D633" s="19">
        <v>10</v>
      </c>
      <c r="E633" s="11" t="s">
        <v>92</v>
      </c>
      <c r="F633" s="11" t="s">
        <v>29</v>
      </c>
      <c r="G633" s="11" t="s">
        <v>93</v>
      </c>
      <c r="H633" s="12">
        <v>46081</v>
      </c>
      <c r="I633" s="12" t="str">
        <f t="shared" si="10"/>
        <v>February</v>
      </c>
      <c r="J633" s="24">
        <v>0.42291666666666666</v>
      </c>
      <c r="K633" s="19">
        <v>24</v>
      </c>
      <c r="L633" s="12">
        <v>46082</v>
      </c>
      <c r="M633" s="24">
        <v>0.63124999999999998</v>
      </c>
      <c r="N633" s="11">
        <v>29</v>
      </c>
      <c r="O633" s="11" t="s">
        <v>34</v>
      </c>
      <c r="P633" s="11" t="s">
        <v>35</v>
      </c>
      <c r="Q633" s="11"/>
      <c r="R633" s="11" t="s">
        <v>36</v>
      </c>
      <c r="S633" s="19">
        <v>50</v>
      </c>
      <c r="T633" s="11" t="s">
        <v>49</v>
      </c>
      <c r="U633" s="11" t="s">
        <v>96</v>
      </c>
      <c r="V633" s="11">
        <v>2</v>
      </c>
      <c r="W633" s="11" t="s">
        <v>70</v>
      </c>
      <c r="X633" s="11" t="s">
        <v>3333</v>
      </c>
      <c r="Y633" s="11" t="s">
        <v>41</v>
      </c>
      <c r="Z633" s="11" t="s">
        <v>42</v>
      </c>
      <c r="AA633" s="11" t="s">
        <v>3232</v>
      </c>
    </row>
    <row r="634" spans="1:27">
      <c r="A634" s="11" t="s">
        <v>2286</v>
      </c>
      <c r="B634" s="11" t="s">
        <v>2287</v>
      </c>
      <c r="C634" s="11" t="s">
        <v>56</v>
      </c>
      <c r="D634" s="19">
        <v>84</v>
      </c>
      <c r="E634" s="11" t="s">
        <v>81</v>
      </c>
      <c r="F634" s="11" t="s">
        <v>82</v>
      </c>
      <c r="G634" s="11" t="s">
        <v>83</v>
      </c>
      <c r="H634" s="12">
        <v>46189</v>
      </c>
      <c r="I634" s="12" t="str">
        <f t="shared" si="10"/>
        <v>June</v>
      </c>
      <c r="J634" s="24">
        <v>0.45763888888888887</v>
      </c>
      <c r="K634" s="19">
        <v>8</v>
      </c>
      <c r="L634" s="12">
        <v>46190</v>
      </c>
      <c r="M634" s="24">
        <v>0.12430555555555556</v>
      </c>
      <c r="N634" s="11">
        <v>16</v>
      </c>
      <c r="O634" s="11" t="s">
        <v>34</v>
      </c>
      <c r="P634" s="11" t="s">
        <v>35</v>
      </c>
      <c r="Q634" s="11"/>
      <c r="R634" s="11" t="s">
        <v>36</v>
      </c>
      <c r="S634" s="19">
        <v>20</v>
      </c>
      <c r="T634" s="11" t="s">
        <v>37</v>
      </c>
      <c r="U634" s="11" t="s">
        <v>164</v>
      </c>
      <c r="V634" s="11">
        <v>1</v>
      </c>
      <c r="W634" s="11" t="s">
        <v>89</v>
      </c>
      <c r="X634" s="11" t="s">
        <v>51</v>
      </c>
      <c r="Y634" s="11" t="s">
        <v>52</v>
      </c>
      <c r="Z634" s="11" t="s">
        <v>53</v>
      </c>
      <c r="AA634" s="11" t="str">
        <f>IF(A634=" ", "Missing Value", " ")</f>
        <v xml:space="preserve"> </v>
      </c>
    </row>
    <row r="635" spans="1:27">
      <c r="A635" s="11" t="s">
        <v>2290</v>
      </c>
      <c r="B635" s="11" t="s">
        <v>2291</v>
      </c>
      <c r="C635" s="11" t="s">
        <v>56</v>
      </c>
      <c r="D635" s="19">
        <v>64</v>
      </c>
      <c r="E635" s="11" t="s">
        <v>149</v>
      </c>
      <c r="F635" s="11" t="s">
        <v>29</v>
      </c>
      <c r="G635" s="11" t="s">
        <v>168</v>
      </c>
      <c r="H635" s="12">
        <v>46160</v>
      </c>
      <c r="I635" s="12" t="str">
        <f t="shared" si="10"/>
        <v>May</v>
      </c>
      <c r="J635" s="24">
        <v>0.34027777777777779</v>
      </c>
      <c r="K635" s="19">
        <v>6</v>
      </c>
      <c r="L635" s="12">
        <v>46160</v>
      </c>
      <c r="M635" s="24">
        <v>0.84027777777777779</v>
      </c>
      <c r="N635" s="11">
        <v>12</v>
      </c>
      <c r="O635" s="11" t="s">
        <v>34</v>
      </c>
      <c r="P635" s="11" t="s">
        <v>35</v>
      </c>
      <c r="Q635" s="11"/>
      <c r="R635" s="11" t="s">
        <v>36</v>
      </c>
      <c r="S635" s="19">
        <v>40</v>
      </c>
      <c r="T635" s="11" t="s">
        <v>49</v>
      </c>
      <c r="U635" s="11" t="s">
        <v>38</v>
      </c>
      <c r="V635" s="11">
        <v>2</v>
      </c>
      <c r="W635" s="11" t="s">
        <v>89</v>
      </c>
      <c r="X635" s="11" t="s">
        <v>51</v>
      </c>
      <c r="Y635" s="11" t="s">
        <v>41</v>
      </c>
      <c r="Z635" s="11" t="s">
        <v>71</v>
      </c>
      <c r="AA635" s="11" t="s">
        <v>3234</v>
      </c>
    </row>
    <row r="636" spans="1:27">
      <c r="A636" s="11" t="s">
        <v>2293</v>
      </c>
      <c r="B636" s="11" t="s">
        <v>2294</v>
      </c>
      <c r="C636" s="11" t="s">
        <v>27</v>
      </c>
      <c r="D636" s="19">
        <v>44</v>
      </c>
      <c r="E636" s="11" t="s">
        <v>173</v>
      </c>
      <c r="F636" s="11" t="s">
        <v>29</v>
      </c>
      <c r="G636" s="11" t="s">
        <v>168</v>
      </c>
      <c r="H636" s="12">
        <v>46072</v>
      </c>
      <c r="I636" s="12" t="str">
        <f t="shared" si="10"/>
        <v>February</v>
      </c>
      <c r="J636" s="24">
        <v>0.68194444444444446</v>
      </c>
      <c r="K636" s="19">
        <v>4</v>
      </c>
      <c r="L636" s="12">
        <v>46072</v>
      </c>
      <c r="M636" s="24">
        <v>0.80694444444444446</v>
      </c>
      <c r="N636" s="11">
        <v>3</v>
      </c>
      <c r="O636" s="11" t="s">
        <v>68</v>
      </c>
      <c r="P636" s="11" t="s">
        <v>35</v>
      </c>
      <c r="Q636" s="11"/>
      <c r="R636" s="11" t="s">
        <v>36</v>
      </c>
      <c r="S636" s="19">
        <v>25</v>
      </c>
      <c r="T636" s="11" t="s">
        <v>49</v>
      </c>
      <c r="U636" s="11" t="s">
        <v>38</v>
      </c>
      <c r="V636" s="11">
        <v>5</v>
      </c>
      <c r="W636" s="11" t="s">
        <v>39</v>
      </c>
      <c r="X636" s="11" t="s">
        <v>51</v>
      </c>
      <c r="Y636" s="11" t="s">
        <v>52</v>
      </c>
      <c r="Z636" s="11" t="s">
        <v>53</v>
      </c>
      <c r="AA636" s="11" t="s">
        <v>3234</v>
      </c>
    </row>
    <row r="637" spans="1:27">
      <c r="A637" s="11" t="s">
        <v>2295</v>
      </c>
      <c r="B637" s="11" t="s">
        <v>2296</v>
      </c>
      <c r="C637" s="11" t="s">
        <v>56</v>
      </c>
      <c r="D637" s="19">
        <v>87</v>
      </c>
      <c r="E637" s="11" t="s">
        <v>173</v>
      </c>
      <c r="F637" s="11" t="s">
        <v>29</v>
      </c>
      <c r="G637" s="11" t="s">
        <v>168</v>
      </c>
      <c r="H637" s="12">
        <v>46120</v>
      </c>
      <c r="I637" s="12" t="str">
        <f t="shared" si="10"/>
        <v>April</v>
      </c>
      <c r="J637" s="24">
        <v>0.52986111111111112</v>
      </c>
      <c r="K637" s="19">
        <v>4</v>
      </c>
      <c r="L637" s="12">
        <v>46120</v>
      </c>
      <c r="M637" s="24">
        <v>0.86319444444444449</v>
      </c>
      <c r="N637" s="11">
        <v>8</v>
      </c>
      <c r="O637" s="11" t="s">
        <v>34</v>
      </c>
      <c r="P637" s="11" t="s">
        <v>35</v>
      </c>
      <c r="Q637" s="11"/>
      <c r="R637" s="11" t="s">
        <v>36</v>
      </c>
      <c r="S637" s="19">
        <v>25</v>
      </c>
      <c r="T637" s="11" t="s">
        <v>49</v>
      </c>
      <c r="U637" s="11" t="s">
        <v>164</v>
      </c>
      <c r="V637" s="11">
        <v>5</v>
      </c>
      <c r="W637" s="11" t="s">
        <v>89</v>
      </c>
      <c r="X637" s="11" t="s">
        <v>3333</v>
      </c>
      <c r="Y637" s="11" t="s">
        <v>52</v>
      </c>
      <c r="Z637" s="11" t="s">
        <v>53</v>
      </c>
      <c r="AA637" s="11" t="s">
        <v>3234</v>
      </c>
    </row>
    <row r="638" spans="1:27">
      <c r="A638" s="11" t="s">
        <v>2297</v>
      </c>
      <c r="B638" s="11" t="s">
        <v>2298</v>
      </c>
      <c r="C638" s="11" t="s">
        <v>56</v>
      </c>
      <c r="D638" s="19">
        <v>56</v>
      </c>
      <c r="E638" s="11" t="s">
        <v>92</v>
      </c>
      <c r="F638" s="11" t="s">
        <v>29</v>
      </c>
      <c r="G638" s="11" t="s">
        <v>93</v>
      </c>
      <c r="H638" s="12">
        <v>46100</v>
      </c>
      <c r="I638" s="12" t="str">
        <f t="shared" si="10"/>
        <v>March</v>
      </c>
      <c r="J638" s="24">
        <v>0.59305555555555556</v>
      </c>
      <c r="K638" s="19">
        <v>24</v>
      </c>
      <c r="L638" s="12">
        <v>46101</v>
      </c>
      <c r="M638" s="24">
        <v>0.84305555555555556</v>
      </c>
      <c r="N638" s="11">
        <v>30</v>
      </c>
      <c r="O638" s="11" t="s">
        <v>34</v>
      </c>
      <c r="P638" s="11" t="s">
        <v>35</v>
      </c>
      <c r="Q638" s="11"/>
      <c r="R638" s="11" t="s">
        <v>36</v>
      </c>
      <c r="S638" s="19">
        <v>50</v>
      </c>
      <c r="T638" s="11" t="s">
        <v>37</v>
      </c>
      <c r="U638" s="11" t="s">
        <v>96</v>
      </c>
      <c r="V638" s="11">
        <v>2</v>
      </c>
      <c r="W638" s="11" t="s">
        <v>70</v>
      </c>
      <c r="X638" s="11" t="s">
        <v>3333</v>
      </c>
      <c r="Y638" s="11" t="s">
        <v>52</v>
      </c>
      <c r="Z638" s="11" t="s">
        <v>71</v>
      </c>
      <c r="AA638" s="11" t="s">
        <v>3229</v>
      </c>
    </row>
    <row r="639" spans="1:27">
      <c r="A639" s="11" t="s">
        <v>2299</v>
      </c>
      <c r="B639" s="11" t="s">
        <v>2300</v>
      </c>
      <c r="C639" s="11" t="s">
        <v>27</v>
      </c>
      <c r="D639" s="19">
        <v>23</v>
      </c>
      <c r="E639" s="11" t="s">
        <v>81</v>
      </c>
      <c r="F639" s="11" t="s">
        <v>82</v>
      </c>
      <c r="G639" s="11" t="s">
        <v>83</v>
      </c>
      <c r="H639" s="12">
        <v>46181</v>
      </c>
      <c r="I639" s="12" t="str">
        <f t="shared" si="10"/>
        <v>June</v>
      </c>
      <c r="J639" s="24">
        <v>0.52777777777777779</v>
      </c>
      <c r="K639" s="19">
        <v>8</v>
      </c>
      <c r="L639" s="12">
        <v>46181</v>
      </c>
      <c r="M639" s="24">
        <v>0.90277777777777779</v>
      </c>
      <c r="N639" s="11">
        <v>9</v>
      </c>
      <c r="O639" s="11" t="s">
        <v>34</v>
      </c>
      <c r="P639" s="11" t="s">
        <v>35</v>
      </c>
      <c r="Q639" s="11"/>
      <c r="R639" s="11" t="s">
        <v>36</v>
      </c>
      <c r="S639" s="19">
        <v>20</v>
      </c>
      <c r="T639" s="11" t="s">
        <v>37</v>
      </c>
      <c r="U639" s="11" t="s">
        <v>38</v>
      </c>
      <c r="V639" s="11">
        <v>2</v>
      </c>
      <c r="W639" s="11" t="s">
        <v>70</v>
      </c>
      <c r="X639" s="11" t="s">
        <v>51</v>
      </c>
      <c r="Y639" s="11" t="s">
        <v>109</v>
      </c>
      <c r="Z639" s="11" t="s">
        <v>71</v>
      </c>
      <c r="AA639" s="11" t="str">
        <f>IF(A639=" ", "Missing Value", " ")</f>
        <v xml:space="preserve"> </v>
      </c>
    </row>
    <row r="640" spans="1:27">
      <c r="A640" s="11" t="s">
        <v>2301</v>
      </c>
      <c r="B640" s="11" t="s">
        <v>2302</v>
      </c>
      <c r="C640" s="11" t="s">
        <v>56</v>
      </c>
      <c r="D640" s="19">
        <v>17</v>
      </c>
      <c r="E640" s="11" t="s">
        <v>81</v>
      </c>
      <c r="F640" s="11" t="s">
        <v>82</v>
      </c>
      <c r="G640" s="11" t="s">
        <v>30</v>
      </c>
      <c r="H640" s="12">
        <v>46144</v>
      </c>
      <c r="I640" s="12" t="str">
        <f t="shared" si="10"/>
        <v>May</v>
      </c>
      <c r="J640" s="24">
        <v>0.34583333333333333</v>
      </c>
      <c r="K640" s="19">
        <v>8</v>
      </c>
      <c r="L640" s="12">
        <v>46144</v>
      </c>
      <c r="M640" s="24">
        <v>0.88749999999999996</v>
      </c>
      <c r="N640" s="11">
        <v>13</v>
      </c>
      <c r="O640" s="11" t="s">
        <v>34</v>
      </c>
      <c r="P640" s="11" t="s">
        <v>35</v>
      </c>
      <c r="Q640" s="11"/>
      <c r="R640" s="11" t="s">
        <v>36</v>
      </c>
      <c r="S640" s="19">
        <v>20</v>
      </c>
      <c r="T640" s="11" t="s">
        <v>37</v>
      </c>
      <c r="U640" s="11" t="s">
        <v>96</v>
      </c>
      <c r="V640" s="11">
        <v>4</v>
      </c>
      <c r="W640" s="11" t="s">
        <v>39</v>
      </c>
      <c r="X640" s="11" t="s">
        <v>51</v>
      </c>
      <c r="Y640" s="11" t="s">
        <v>41</v>
      </c>
      <c r="Z640" s="11" t="s">
        <v>42</v>
      </c>
      <c r="AA640" s="11" t="s">
        <v>3234</v>
      </c>
    </row>
    <row r="641" spans="1:27">
      <c r="A641" s="11" t="s">
        <v>2305</v>
      </c>
      <c r="B641" s="11" t="s">
        <v>2306</v>
      </c>
      <c r="C641" s="11" t="s">
        <v>27</v>
      </c>
      <c r="D641" s="19">
        <v>30</v>
      </c>
      <c r="E641" s="11" t="s">
        <v>149</v>
      </c>
      <c r="F641" s="11" t="s">
        <v>29</v>
      </c>
      <c r="G641" s="11" t="s">
        <v>30</v>
      </c>
      <c r="H641" s="12">
        <v>46163</v>
      </c>
      <c r="I641" s="12" t="str">
        <f t="shared" si="10"/>
        <v>May</v>
      </c>
      <c r="J641" s="24">
        <v>0.43958333333333333</v>
      </c>
      <c r="K641" s="19">
        <v>6</v>
      </c>
      <c r="L641" s="12">
        <v>46163</v>
      </c>
      <c r="M641" s="24">
        <v>0.8979166666666667</v>
      </c>
      <c r="N641" s="11">
        <v>11</v>
      </c>
      <c r="O641" s="11" t="s">
        <v>34</v>
      </c>
      <c r="P641" s="11" t="s">
        <v>35</v>
      </c>
      <c r="Q641" s="11"/>
      <c r="R641" s="11" t="s">
        <v>36</v>
      </c>
      <c r="S641" s="19">
        <v>40</v>
      </c>
      <c r="T641" s="11" t="s">
        <v>49</v>
      </c>
      <c r="U641" s="11" t="s">
        <v>96</v>
      </c>
      <c r="V641" s="11">
        <v>1</v>
      </c>
      <c r="W641" s="11" t="s">
        <v>89</v>
      </c>
      <c r="X641" s="11" t="s">
        <v>3325</v>
      </c>
      <c r="Y641" s="11" t="s">
        <v>109</v>
      </c>
      <c r="Z641" s="11" t="s">
        <v>71</v>
      </c>
      <c r="AA641" s="11" t="str">
        <f>IF(A641=" ", "Missing Value", " ")</f>
        <v xml:space="preserve"> </v>
      </c>
    </row>
    <row r="642" spans="1:27">
      <c r="A642" s="11" t="s">
        <v>2308</v>
      </c>
      <c r="B642" s="11" t="s">
        <v>2309</v>
      </c>
      <c r="C642" s="11" t="s">
        <v>56</v>
      </c>
      <c r="D642" s="19">
        <v>82</v>
      </c>
      <c r="E642" s="11" t="s">
        <v>92</v>
      </c>
      <c r="F642" s="11" t="s">
        <v>29</v>
      </c>
      <c r="G642" s="11" t="s">
        <v>168</v>
      </c>
      <c r="H642" s="12">
        <v>46063</v>
      </c>
      <c r="I642" s="12" t="str">
        <f t="shared" ref="I642:I705" si="11">TEXT(H642, "mmmm")</f>
        <v>February</v>
      </c>
      <c r="J642" s="24">
        <v>0.69305555555555554</v>
      </c>
      <c r="K642" s="19">
        <v>24</v>
      </c>
      <c r="L642" s="12">
        <v>46064</v>
      </c>
      <c r="M642" s="24">
        <v>0.98472222222222228</v>
      </c>
      <c r="N642" s="11">
        <v>31</v>
      </c>
      <c r="O642" s="11" t="s">
        <v>34</v>
      </c>
      <c r="P642" s="11" t="s">
        <v>35</v>
      </c>
      <c r="Q642" s="11"/>
      <c r="R642" s="11" t="s">
        <v>36</v>
      </c>
      <c r="S642" s="19">
        <v>50</v>
      </c>
      <c r="T642" s="11" t="s">
        <v>49</v>
      </c>
      <c r="U642" s="11" t="s">
        <v>38</v>
      </c>
      <c r="V642" s="11">
        <v>4</v>
      </c>
      <c r="W642" s="11" t="s">
        <v>89</v>
      </c>
      <c r="X642" s="11" t="s">
        <v>51</v>
      </c>
      <c r="Y642" s="11" t="s">
        <v>52</v>
      </c>
      <c r="Z642" s="11" t="s">
        <v>42</v>
      </c>
      <c r="AA642" s="11" t="s">
        <v>3246</v>
      </c>
    </row>
    <row r="643" spans="1:27">
      <c r="A643" s="11" t="s">
        <v>2312</v>
      </c>
      <c r="B643" s="11" t="s">
        <v>2313</v>
      </c>
      <c r="C643" s="11" t="s">
        <v>56</v>
      </c>
      <c r="D643" s="19">
        <v>76</v>
      </c>
      <c r="E643" s="11" t="s">
        <v>92</v>
      </c>
      <c r="F643" s="11" t="s">
        <v>29</v>
      </c>
      <c r="G643" s="11" t="s">
        <v>93</v>
      </c>
      <c r="H643" s="12">
        <v>46125</v>
      </c>
      <c r="I643" s="12" t="str">
        <f t="shared" si="11"/>
        <v>April</v>
      </c>
      <c r="J643" s="24">
        <v>0.36527777777777776</v>
      </c>
      <c r="K643" s="19">
        <v>24</v>
      </c>
      <c r="L643" s="12">
        <v>46126</v>
      </c>
      <c r="M643" s="24">
        <v>0.69861111111111107</v>
      </c>
      <c r="N643" s="11">
        <v>32</v>
      </c>
      <c r="O643" s="11" t="s">
        <v>34</v>
      </c>
      <c r="P643" s="11" t="s">
        <v>35</v>
      </c>
      <c r="Q643" s="11"/>
      <c r="R643" s="11" t="s">
        <v>36</v>
      </c>
      <c r="S643" s="19">
        <v>50</v>
      </c>
      <c r="T643" s="11" t="s">
        <v>37</v>
      </c>
      <c r="U643" s="11" t="s">
        <v>38</v>
      </c>
      <c r="V643" s="11">
        <v>3</v>
      </c>
      <c r="W643" s="11" t="s">
        <v>89</v>
      </c>
      <c r="X643" s="11" t="s">
        <v>3334</v>
      </c>
      <c r="Y643" s="11" t="s">
        <v>41</v>
      </c>
      <c r="Z643" s="11" t="s">
        <v>42</v>
      </c>
      <c r="AA643" s="11" t="s">
        <v>3229</v>
      </c>
    </row>
    <row r="644" spans="1:27">
      <c r="A644" s="11" t="s">
        <v>2314</v>
      </c>
      <c r="B644" s="11" t="s">
        <v>2315</v>
      </c>
      <c r="C644" s="11" t="s">
        <v>56</v>
      </c>
      <c r="D644" s="19">
        <v>50</v>
      </c>
      <c r="E644" s="11" t="s">
        <v>57</v>
      </c>
      <c r="F644" s="11" t="s">
        <v>29</v>
      </c>
      <c r="G644" s="11" t="s">
        <v>168</v>
      </c>
      <c r="H644" s="12">
        <v>46118</v>
      </c>
      <c r="I644" s="12" t="str">
        <f t="shared" si="11"/>
        <v>April</v>
      </c>
      <c r="J644" s="24">
        <v>0.44791666666666669</v>
      </c>
      <c r="K644" s="19">
        <v>3</v>
      </c>
      <c r="L644" s="12">
        <v>46118</v>
      </c>
      <c r="M644" s="24">
        <v>0.65625</v>
      </c>
      <c r="N644" s="11">
        <v>5</v>
      </c>
      <c r="O644" s="11" t="s">
        <v>34</v>
      </c>
      <c r="P644" s="11" t="s">
        <v>35</v>
      </c>
      <c r="Q644" s="11"/>
      <c r="R644" s="11" t="s">
        <v>36</v>
      </c>
      <c r="S644" s="19">
        <v>15</v>
      </c>
      <c r="T644" s="11" t="s">
        <v>37</v>
      </c>
      <c r="U644" s="11" t="s">
        <v>96</v>
      </c>
      <c r="V644" s="11">
        <v>5</v>
      </c>
      <c r="W644" s="11" t="s">
        <v>89</v>
      </c>
      <c r="X644" s="11" t="s">
        <v>3333</v>
      </c>
      <c r="Y644" s="11" t="s">
        <v>52</v>
      </c>
      <c r="Z644" s="11" t="s">
        <v>71</v>
      </c>
      <c r="AA644" s="11" t="s">
        <v>3234</v>
      </c>
    </row>
    <row r="645" spans="1:27">
      <c r="A645" s="11" t="s">
        <v>2316</v>
      </c>
      <c r="B645" s="11" t="s">
        <v>2317</v>
      </c>
      <c r="C645" s="11" t="s">
        <v>27</v>
      </c>
      <c r="D645" s="19">
        <v>32</v>
      </c>
      <c r="E645" s="11" t="s">
        <v>173</v>
      </c>
      <c r="F645" s="11" t="s">
        <v>29</v>
      </c>
      <c r="G645" s="11" t="s">
        <v>58</v>
      </c>
      <c r="H645" s="12">
        <v>46076</v>
      </c>
      <c r="I645" s="12" t="str">
        <f t="shared" si="11"/>
        <v>February</v>
      </c>
      <c r="J645" s="24">
        <v>0.36944444444444446</v>
      </c>
      <c r="K645" s="19">
        <v>4</v>
      </c>
      <c r="L645" s="12">
        <v>46076</v>
      </c>
      <c r="M645" s="24">
        <v>0.86944444444444446</v>
      </c>
      <c r="N645" s="11">
        <v>12</v>
      </c>
      <c r="O645" s="11" t="s">
        <v>34</v>
      </c>
      <c r="P645" s="11" t="s">
        <v>35</v>
      </c>
      <c r="Q645" s="11"/>
      <c r="R645" s="11" t="s">
        <v>36</v>
      </c>
      <c r="S645" s="19">
        <v>25</v>
      </c>
      <c r="T645" s="11" t="s">
        <v>37</v>
      </c>
      <c r="U645" s="11" t="s">
        <v>96</v>
      </c>
      <c r="V645" s="11">
        <v>3</v>
      </c>
      <c r="W645" s="11" t="s">
        <v>89</v>
      </c>
      <c r="X645" s="11" t="s">
        <v>3334</v>
      </c>
      <c r="Y645" s="11" t="s">
        <v>52</v>
      </c>
      <c r="Z645" s="11" t="s">
        <v>42</v>
      </c>
      <c r="AA645" s="11" t="s">
        <v>3234</v>
      </c>
    </row>
    <row r="646" spans="1:27">
      <c r="A646" s="11" t="s">
        <v>2318</v>
      </c>
      <c r="B646" s="11" t="s">
        <v>2319</v>
      </c>
      <c r="C646" s="11" t="s">
        <v>27</v>
      </c>
      <c r="D646" s="19">
        <v>88</v>
      </c>
      <c r="E646" s="11" t="s">
        <v>149</v>
      </c>
      <c r="F646" s="11" t="s">
        <v>29</v>
      </c>
      <c r="G646" s="11" t="s">
        <v>93</v>
      </c>
      <c r="H646" s="12">
        <v>46110</v>
      </c>
      <c r="I646" s="12" t="str">
        <f t="shared" si="11"/>
        <v>March</v>
      </c>
      <c r="J646" s="24">
        <v>0.37986111111111109</v>
      </c>
      <c r="K646" s="19">
        <v>6</v>
      </c>
      <c r="L646" s="12">
        <v>46110</v>
      </c>
      <c r="M646" s="24">
        <v>0.96319444444444446</v>
      </c>
      <c r="N646" s="11">
        <v>14</v>
      </c>
      <c r="O646" s="11" t="s">
        <v>34</v>
      </c>
      <c r="P646" s="11" t="s">
        <v>35</v>
      </c>
      <c r="Q646" s="11"/>
      <c r="R646" s="11" t="s">
        <v>36</v>
      </c>
      <c r="S646" s="19">
        <v>40</v>
      </c>
      <c r="T646" s="11" t="s">
        <v>49</v>
      </c>
      <c r="U646" s="11" t="s">
        <v>38</v>
      </c>
      <c r="V646" s="11">
        <v>5</v>
      </c>
      <c r="W646" s="11" t="s">
        <v>70</v>
      </c>
      <c r="X646" s="11" t="s">
        <v>3334</v>
      </c>
      <c r="Y646" s="11" t="s">
        <v>52</v>
      </c>
      <c r="Z646" s="11" t="s">
        <v>53</v>
      </c>
      <c r="AA646" s="11" t="s">
        <v>3234</v>
      </c>
    </row>
    <row r="647" spans="1:27">
      <c r="A647" s="11" t="s">
        <v>2320</v>
      </c>
      <c r="B647" s="11" t="s">
        <v>2321</v>
      </c>
      <c r="C647" s="11" t="s">
        <v>27</v>
      </c>
      <c r="D647" s="19">
        <v>39</v>
      </c>
      <c r="E647" s="11" t="s">
        <v>173</v>
      </c>
      <c r="F647" s="11" t="s">
        <v>29</v>
      </c>
      <c r="G647" s="11" t="s">
        <v>168</v>
      </c>
      <c r="H647" s="12">
        <v>46100</v>
      </c>
      <c r="I647" s="12" t="str">
        <f t="shared" si="11"/>
        <v>March</v>
      </c>
      <c r="J647" s="24">
        <v>0.66319444444444442</v>
      </c>
      <c r="K647" s="19">
        <v>4</v>
      </c>
      <c r="L647" s="12">
        <v>46100</v>
      </c>
      <c r="M647" s="24">
        <v>0.91319444444444442</v>
      </c>
      <c r="N647" s="11">
        <v>6</v>
      </c>
      <c r="O647" s="11" t="s">
        <v>34</v>
      </c>
      <c r="P647" s="11" t="s">
        <v>35</v>
      </c>
      <c r="Q647" s="11"/>
      <c r="R647" s="11" t="s">
        <v>36</v>
      </c>
      <c r="S647" s="19">
        <v>25</v>
      </c>
      <c r="T647" s="11" t="s">
        <v>37</v>
      </c>
      <c r="U647" s="11" t="s">
        <v>38</v>
      </c>
      <c r="V647" s="11">
        <v>3</v>
      </c>
      <c r="W647" s="11" t="s">
        <v>89</v>
      </c>
      <c r="X647" s="11" t="s">
        <v>3333</v>
      </c>
      <c r="Y647" s="11" t="s">
        <v>41</v>
      </c>
      <c r="Z647" s="11" t="s">
        <v>53</v>
      </c>
      <c r="AA647" s="11" t="s">
        <v>3234</v>
      </c>
    </row>
    <row r="648" spans="1:27">
      <c r="A648" s="11" t="s">
        <v>2322</v>
      </c>
      <c r="B648" s="11" t="s">
        <v>2323</v>
      </c>
      <c r="C648" s="11" t="s">
        <v>56</v>
      </c>
      <c r="D648" s="19">
        <v>29</v>
      </c>
      <c r="E648" s="11" t="s">
        <v>57</v>
      </c>
      <c r="F648" s="11" t="s">
        <v>29</v>
      </c>
      <c r="G648" s="11" t="s">
        <v>93</v>
      </c>
      <c r="H648" s="12">
        <v>46115</v>
      </c>
      <c r="I648" s="12" t="str">
        <f t="shared" si="11"/>
        <v>April</v>
      </c>
      <c r="J648" s="24">
        <v>0.65555555555555556</v>
      </c>
      <c r="K648" s="19">
        <v>3</v>
      </c>
      <c r="L648" s="12">
        <v>46115</v>
      </c>
      <c r="M648" s="24">
        <v>0.82222222222222219</v>
      </c>
      <c r="N648" s="11">
        <v>4</v>
      </c>
      <c r="O648" s="11" t="s">
        <v>34</v>
      </c>
      <c r="P648" s="11" t="s">
        <v>35</v>
      </c>
      <c r="Q648" s="11"/>
      <c r="R648" s="11" t="s">
        <v>36</v>
      </c>
      <c r="S648" s="19">
        <v>15</v>
      </c>
      <c r="T648" s="11" t="s">
        <v>49</v>
      </c>
      <c r="U648" s="11" t="s">
        <v>164</v>
      </c>
      <c r="V648" s="11">
        <v>3</v>
      </c>
      <c r="W648" s="11" t="s">
        <v>70</v>
      </c>
      <c r="X648" s="11" t="s">
        <v>3333</v>
      </c>
      <c r="Y648" s="11" t="s">
        <v>52</v>
      </c>
      <c r="Z648" s="11" t="s">
        <v>71</v>
      </c>
      <c r="AA648" s="11" t="s">
        <v>3234</v>
      </c>
    </row>
    <row r="649" spans="1:27">
      <c r="A649" s="11" t="s">
        <v>2326</v>
      </c>
      <c r="B649" s="11" t="s">
        <v>2327</v>
      </c>
      <c r="C649" s="11" t="s">
        <v>27</v>
      </c>
      <c r="D649" s="19">
        <v>63</v>
      </c>
      <c r="E649" s="11" t="s">
        <v>28</v>
      </c>
      <c r="F649" s="11" t="s">
        <v>29</v>
      </c>
      <c r="G649" s="11" t="s">
        <v>83</v>
      </c>
      <c r="H649" s="12">
        <v>46161</v>
      </c>
      <c r="I649" s="12" t="str">
        <f t="shared" si="11"/>
        <v>May</v>
      </c>
      <c r="J649" s="24">
        <v>0.65416666666666667</v>
      </c>
      <c r="K649" s="19">
        <v>5</v>
      </c>
      <c r="L649" s="12">
        <v>46162</v>
      </c>
      <c r="M649" s="24">
        <v>0.1125</v>
      </c>
      <c r="N649" s="11">
        <v>11</v>
      </c>
      <c r="O649" s="11" t="s">
        <v>34</v>
      </c>
      <c r="P649" s="11" t="s">
        <v>35</v>
      </c>
      <c r="Q649" s="11"/>
      <c r="R649" s="11" t="s">
        <v>36</v>
      </c>
      <c r="S649" s="19">
        <v>35</v>
      </c>
      <c r="T649" s="11" t="s">
        <v>37</v>
      </c>
      <c r="U649" s="11" t="s">
        <v>96</v>
      </c>
      <c r="V649" s="11">
        <v>4</v>
      </c>
      <c r="W649" s="11" t="s">
        <v>89</v>
      </c>
      <c r="X649" s="11" t="s">
        <v>51</v>
      </c>
      <c r="Y649" s="11" t="s">
        <v>41</v>
      </c>
      <c r="Z649" s="11" t="s">
        <v>71</v>
      </c>
      <c r="AA649" s="11" t="s">
        <v>3234</v>
      </c>
    </row>
    <row r="650" spans="1:27">
      <c r="A650" s="11" t="s">
        <v>2330</v>
      </c>
      <c r="B650" s="11" t="s">
        <v>2331</v>
      </c>
      <c r="C650" s="11" t="s">
        <v>27</v>
      </c>
      <c r="D650" s="19">
        <v>49</v>
      </c>
      <c r="E650" s="11" t="s">
        <v>173</v>
      </c>
      <c r="F650" s="11" t="s">
        <v>29</v>
      </c>
      <c r="G650" s="11" t="s">
        <v>168</v>
      </c>
      <c r="H650" s="12">
        <v>46185</v>
      </c>
      <c r="I650" s="12" t="str">
        <f t="shared" si="11"/>
        <v>June</v>
      </c>
      <c r="J650" s="24">
        <v>0.43263888888888891</v>
      </c>
      <c r="K650" s="19">
        <v>4</v>
      </c>
      <c r="L650" s="12">
        <v>46185</v>
      </c>
      <c r="M650" s="24">
        <v>0.76597222222222228</v>
      </c>
      <c r="N650" s="11">
        <v>8</v>
      </c>
      <c r="O650" s="11" t="s">
        <v>34</v>
      </c>
      <c r="P650" s="11" t="s">
        <v>35</v>
      </c>
      <c r="Q650" s="11"/>
      <c r="R650" s="11" t="s">
        <v>36</v>
      </c>
      <c r="S650" s="19">
        <v>25</v>
      </c>
      <c r="T650" s="11" t="s">
        <v>37</v>
      </c>
      <c r="U650" s="11" t="s">
        <v>96</v>
      </c>
      <c r="V650" s="11">
        <v>4</v>
      </c>
      <c r="W650" s="11" t="s">
        <v>70</v>
      </c>
      <c r="X650" s="11" t="s">
        <v>3325</v>
      </c>
      <c r="Y650" s="11" t="s">
        <v>109</v>
      </c>
      <c r="Z650" s="11" t="s">
        <v>71</v>
      </c>
      <c r="AA650" s="11" t="s">
        <v>3234</v>
      </c>
    </row>
    <row r="651" spans="1:27">
      <c r="A651" s="11" t="s">
        <v>2333</v>
      </c>
      <c r="B651" s="11" t="s">
        <v>2334</v>
      </c>
      <c r="C651" s="11" t="s">
        <v>27</v>
      </c>
      <c r="D651" s="19">
        <v>5</v>
      </c>
      <c r="E651" s="11" t="s">
        <v>92</v>
      </c>
      <c r="F651" s="11" t="s">
        <v>29</v>
      </c>
      <c r="G651" s="11" t="s">
        <v>93</v>
      </c>
      <c r="H651" s="12">
        <v>46125</v>
      </c>
      <c r="I651" s="12" t="str">
        <f t="shared" si="11"/>
        <v>April</v>
      </c>
      <c r="J651" s="24">
        <v>0.65972222222222221</v>
      </c>
      <c r="K651" s="19">
        <v>24</v>
      </c>
      <c r="L651" s="12">
        <v>46126</v>
      </c>
      <c r="M651" s="24">
        <v>0.70138888888888884</v>
      </c>
      <c r="N651" s="11">
        <v>25</v>
      </c>
      <c r="O651" s="11" t="s">
        <v>34</v>
      </c>
      <c r="P651" s="11" t="s">
        <v>35</v>
      </c>
      <c r="Q651" s="11"/>
      <c r="R651" s="11" t="s">
        <v>36</v>
      </c>
      <c r="S651" s="19">
        <v>50</v>
      </c>
      <c r="T651" s="11" t="s">
        <v>37</v>
      </c>
      <c r="U651" s="11" t="s">
        <v>164</v>
      </c>
      <c r="V651" s="11">
        <v>3</v>
      </c>
      <c r="W651" s="11" t="s">
        <v>39</v>
      </c>
      <c r="X651" s="11" t="s">
        <v>3334</v>
      </c>
      <c r="Y651" s="11" t="s">
        <v>52</v>
      </c>
      <c r="Z651" s="11" t="s">
        <v>53</v>
      </c>
      <c r="AA651" s="11" t="s">
        <v>3233</v>
      </c>
    </row>
    <row r="652" spans="1:27">
      <c r="A652" s="11" t="s">
        <v>2335</v>
      </c>
      <c r="B652" s="11" t="s">
        <v>2336</v>
      </c>
      <c r="C652" s="11" t="s">
        <v>27</v>
      </c>
      <c r="D652" s="19">
        <v>39</v>
      </c>
      <c r="E652" s="11" t="s">
        <v>173</v>
      </c>
      <c r="F652" s="11" t="s">
        <v>29</v>
      </c>
      <c r="G652" s="11" t="s">
        <v>168</v>
      </c>
      <c r="H652" s="12">
        <v>46026</v>
      </c>
      <c r="I652" s="12" t="str">
        <f t="shared" si="11"/>
        <v>January</v>
      </c>
      <c r="J652" s="24">
        <v>0.63888888888888884</v>
      </c>
      <c r="K652" s="19">
        <v>4</v>
      </c>
      <c r="L652" s="12">
        <v>46026</v>
      </c>
      <c r="M652" s="24">
        <v>0.88888888888888884</v>
      </c>
      <c r="N652" s="11">
        <v>6</v>
      </c>
      <c r="O652" s="11" t="s">
        <v>34</v>
      </c>
      <c r="P652" s="11" t="s">
        <v>35</v>
      </c>
      <c r="Q652" s="11"/>
      <c r="R652" s="11" t="s">
        <v>36</v>
      </c>
      <c r="S652" s="19">
        <v>25</v>
      </c>
      <c r="T652" s="11" t="s">
        <v>49</v>
      </c>
      <c r="U652" s="11" t="s">
        <v>96</v>
      </c>
      <c r="V652" s="11">
        <v>2</v>
      </c>
      <c r="W652" s="11" t="s">
        <v>70</v>
      </c>
      <c r="X652" s="11" t="s">
        <v>51</v>
      </c>
      <c r="Y652" s="11" t="s">
        <v>41</v>
      </c>
      <c r="Z652" s="11" t="s">
        <v>71</v>
      </c>
      <c r="AA652" s="11" t="s">
        <v>3234</v>
      </c>
    </row>
    <row r="653" spans="1:27">
      <c r="A653" s="11" t="s">
        <v>2338</v>
      </c>
      <c r="B653" s="11" t="s">
        <v>2339</v>
      </c>
      <c r="C653" s="11" t="s">
        <v>56</v>
      </c>
      <c r="D653" s="19">
        <v>52</v>
      </c>
      <c r="E653" s="11" t="s">
        <v>28</v>
      </c>
      <c r="F653" s="11" t="s">
        <v>29</v>
      </c>
      <c r="G653" s="11" t="s">
        <v>30</v>
      </c>
      <c r="H653" s="12">
        <v>46077</v>
      </c>
      <c r="I653" s="12" t="str">
        <f t="shared" si="11"/>
        <v>February</v>
      </c>
      <c r="J653" s="24">
        <v>0.64375000000000004</v>
      </c>
      <c r="K653" s="19">
        <v>5</v>
      </c>
      <c r="L653" s="12">
        <v>46078</v>
      </c>
      <c r="M653" s="24">
        <v>0.18541666666666667</v>
      </c>
      <c r="N653" s="11">
        <v>13</v>
      </c>
      <c r="O653" s="11" t="s">
        <v>34</v>
      </c>
      <c r="P653" s="11" t="s">
        <v>35</v>
      </c>
      <c r="Q653" s="11"/>
      <c r="R653" s="11" t="s">
        <v>36</v>
      </c>
      <c r="S653" s="19">
        <v>35</v>
      </c>
      <c r="T653" s="11" t="s">
        <v>49</v>
      </c>
      <c r="U653" s="11" t="s">
        <v>164</v>
      </c>
      <c r="V653" s="11">
        <v>1</v>
      </c>
      <c r="W653" s="11" t="s">
        <v>62</v>
      </c>
      <c r="X653" s="11" t="s">
        <v>3333</v>
      </c>
      <c r="Y653" s="11" t="s">
        <v>52</v>
      </c>
      <c r="Z653" s="11" t="s">
        <v>42</v>
      </c>
      <c r="AA653" s="11" t="str">
        <f>IF(A653=" ", "Missing Value", " ")</f>
        <v xml:space="preserve"> </v>
      </c>
    </row>
    <row r="654" spans="1:27">
      <c r="A654" s="11" t="s">
        <v>2341</v>
      </c>
      <c r="B654" s="11" t="s">
        <v>2342</v>
      </c>
      <c r="C654" s="11" t="s">
        <v>27</v>
      </c>
      <c r="D654" s="19">
        <v>12</v>
      </c>
      <c r="E654" s="11" t="s">
        <v>28</v>
      </c>
      <c r="F654" s="11" t="s">
        <v>29</v>
      </c>
      <c r="G654" s="11" t="s">
        <v>30</v>
      </c>
      <c r="H654" s="12">
        <v>46182</v>
      </c>
      <c r="I654" s="12" t="str">
        <f t="shared" si="11"/>
        <v>June</v>
      </c>
      <c r="J654" s="24">
        <v>0.58333333333333337</v>
      </c>
      <c r="K654" s="19">
        <v>5</v>
      </c>
      <c r="L654" s="12">
        <v>46182</v>
      </c>
      <c r="M654" s="24">
        <v>0.83333333333333337</v>
      </c>
      <c r="N654" s="11">
        <v>6</v>
      </c>
      <c r="O654" s="11" t="s">
        <v>34</v>
      </c>
      <c r="P654" s="11" t="s">
        <v>35</v>
      </c>
      <c r="Q654" s="11"/>
      <c r="R654" s="11" t="s">
        <v>36</v>
      </c>
      <c r="S654" s="19">
        <v>35</v>
      </c>
      <c r="T654" s="11" t="s">
        <v>37</v>
      </c>
      <c r="U654" s="11" t="s">
        <v>164</v>
      </c>
      <c r="V654" s="11">
        <v>4</v>
      </c>
      <c r="W654" s="11" t="s">
        <v>39</v>
      </c>
      <c r="X654" s="11" t="s">
        <v>3334</v>
      </c>
      <c r="Y654" s="11" t="s">
        <v>109</v>
      </c>
      <c r="Z654" s="11" t="s">
        <v>53</v>
      </c>
      <c r="AA654" s="11" t="str">
        <f>IF(A654=" ", "Missing Value", " ")</f>
        <v xml:space="preserve"> </v>
      </c>
    </row>
    <row r="655" spans="1:27">
      <c r="A655" s="11" t="s">
        <v>2343</v>
      </c>
      <c r="B655" s="11" t="s">
        <v>2344</v>
      </c>
      <c r="C655" s="11" t="s">
        <v>27</v>
      </c>
      <c r="D655" s="19">
        <v>32</v>
      </c>
      <c r="E655" s="11" t="s">
        <v>81</v>
      </c>
      <c r="F655" s="11" t="s">
        <v>82</v>
      </c>
      <c r="G655" s="11" t="s">
        <v>168</v>
      </c>
      <c r="H655" s="12">
        <v>46080</v>
      </c>
      <c r="I655" s="12" t="str">
        <f t="shared" si="11"/>
        <v>February</v>
      </c>
      <c r="J655" s="24">
        <v>0.51041666666666663</v>
      </c>
      <c r="K655" s="19">
        <v>8</v>
      </c>
      <c r="L655" s="12">
        <v>46080</v>
      </c>
      <c r="M655" s="24">
        <v>0.88541666666666663</v>
      </c>
      <c r="N655" s="11">
        <v>9</v>
      </c>
      <c r="O655" s="11" t="s">
        <v>34</v>
      </c>
      <c r="P655" s="11" t="s">
        <v>35</v>
      </c>
      <c r="Q655" s="11"/>
      <c r="R655" s="11" t="s">
        <v>36</v>
      </c>
      <c r="S655" s="19">
        <v>20</v>
      </c>
      <c r="T655" s="11" t="s">
        <v>49</v>
      </c>
      <c r="U655" s="11" t="s">
        <v>38</v>
      </c>
      <c r="V655" s="11">
        <v>3</v>
      </c>
      <c r="W655" s="11" t="s">
        <v>70</v>
      </c>
      <c r="X655" s="11" t="s">
        <v>3334</v>
      </c>
      <c r="Y655" s="11" t="s">
        <v>52</v>
      </c>
      <c r="Z655" s="11" t="s">
        <v>53</v>
      </c>
      <c r="AA655" s="11" t="s">
        <v>3234</v>
      </c>
    </row>
    <row r="656" spans="1:27">
      <c r="A656" s="11" t="s">
        <v>2346</v>
      </c>
      <c r="B656" s="11" t="s">
        <v>2347</v>
      </c>
      <c r="C656" s="11" t="s">
        <v>27</v>
      </c>
      <c r="D656" s="19">
        <v>26</v>
      </c>
      <c r="E656" s="11" t="s">
        <v>81</v>
      </c>
      <c r="F656" s="11" t="s">
        <v>82</v>
      </c>
      <c r="G656" s="11" t="s">
        <v>83</v>
      </c>
      <c r="H656" s="12">
        <v>46190</v>
      </c>
      <c r="I656" s="12" t="str">
        <f t="shared" si="11"/>
        <v>June</v>
      </c>
      <c r="J656" s="24">
        <v>0.58888888888888891</v>
      </c>
      <c r="K656" s="19">
        <v>8</v>
      </c>
      <c r="L656" s="12">
        <v>46190</v>
      </c>
      <c r="M656" s="24">
        <v>0.92222222222222228</v>
      </c>
      <c r="N656" s="11">
        <v>8</v>
      </c>
      <c r="O656" s="11" t="s">
        <v>68</v>
      </c>
      <c r="P656" s="11" t="s">
        <v>35</v>
      </c>
      <c r="Q656" s="11"/>
      <c r="R656" s="11" t="s">
        <v>36</v>
      </c>
      <c r="S656" s="19">
        <v>20</v>
      </c>
      <c r="T656" s="11" t="s">
        <v>49</v>
      </c>
      <c r="U656" s="11" t="s">
        <v>38</v>
      </c>
      <c r="V656" s="11">
        <v>4</v>
      </c>
      <c r="W656" s="11" t="s">
        <v>89</v>
      </c>
      <c r="X656" s="11" t="s">
        <v>3334</v>
      </c>
      <c r="Y656" s="11" t="s">
        <v>41</v>
      </c>
      <c r="Z656" s="11" t="s">
        <v>42</v>
      </c>
      <c r="AA656" s="11" t="str">
        <f>IF(A656=" ", "Missing Value", " ")</f>
        <v xml:space="preserve"> </v>
      </c>
    </row>
    <row r="657" spans="1:27">
      <c r="A657" s="11" t="s">
        <v>2350</v>
      </c>
      <c r="B657" s="11" t="s">
        <v>2351</v>
      </c>
      <c r="C657" s="11" t="s">
        <v>27</v>
      </c>
      <c r="D657" s="19">
        <v>18</v>
      </c>
      <c r="E657" s="11" t="s">
        <v>81</v>
      </c>
      <c r="F657" s="11" t="s">
        <v>82</v>
      </c>
      <c r="G657" s="11" t="s">
        <v>83</v>
      </c>
      <c r="H657" s="12">
        <v>46086</v>
      </c>
      <c r="I657" s="12" t="str">
        <f t="shared" si="11"/>
        <v>March</v>
      </c>
      <c r="J657" s="24">
        <v>0.60416666666666663</v>
      </c>
      <c r="K657" s="19">
        <v>8</v>
      </c>
      <c r="L657" s="12">
        <v>46086</v>
      </c>
      <c r="M657" s="24">
        <v>0.9375</v>
      </c>
      <c r="N657" s="11">
        <v>8</v>
      </c>
      <c r="O657" s="11" t="s">
        <v>68</v>
      </c>
      <c r="P657" s="11" t="s">
        <v>35</v>
      </c>
      <c r="Q657" s="11"/>
      <c r="R657" s="11" t="s">
        <v>36</v>
      </c>
      <c r="S657" s="19">
        <v>20</v>
      </c>
      <c r="T657" s="11" t="s">
        <v>37</v>
      </c>
      <c r="U657" s="11" t="s">
        <v>38</v>
      </c>
      <c r="V657" s="11">
        <v>2</v>
      </c>
      <c r="W657" s="11" t="s">
        <v>70</v>
      </c>
      <c r="X657" s="11" t="s">
        <v>51</v>
      </c>
      <c r="Y657" s="11" t="s">
        <v>41</v>
      </c>
      <c r="Z657" s="11" t="s">
        <v>42</v>
      </c>
      <c r="AA657" s="11" t="str">
        <f>IF(A657=" ", "Missing Value", " ")</f>
        <v xml:space="preserve"> </v>
      </c>
    </row>
    <row r="658" spans="1:27">
      <c r="A658" s="11" t="s">
        <v>2352</v>
      </c>
      <c r="B658" s="11" t="s">
        <v>2353</v>
      </c>
      <c r="C658" s="11" t="s">
        <v>27</v>
      </c>
      <c r="D658" s="19">
        <v>59</v>
      </c>
      <c r="E658" s="11" t="s">
        <v>173</v>
      </c>
      <c r="F658" s="11" t="s">
        <v>29</v>
      </c>
      <c r="G658" s="11" t="s">
        <v>168</v>
      </c>
      <c r="H658" s="12">
        <v>46083</v>
      </c>
      <c r="I658" s="12" t="str">
        <f t="shared" si="11"/>
        <v>March</v>
      </c>
      <c r="J658" s="24">
        <v>0.62013888888888891</v>
      </c>
      <c r="K658" s="19">
        <v>4</v>
      </c>
      <c r="L658" s="12">
        <v>46083</v>
      </c>
      <c r="M658" s="24">
        <v>0.99513888888888891</v>
      </c>
      <c r="N658" s="11">
        <v>9</v>
      </c>
      <c r="O658" s="11" t="s">
        <v>34</v>
      </c>
      <c r="P658" s="11" t="s">
        <v>35</v>
      </c>
      <c r="Q658" s="11"/>
      <c r="R658" s="11" t="s">
        <v>36</v>
      </c>
      <c r="S658" s="19">
        <v>25</v>
      </c>
      <c r="T658" s="11" t="s">
        <v>49</v>
      </c>
      <c r="U658" s="11" t="s">
        <v>38</v>
      </c>
      <c r="V658" s="11">
        <v>3</v>
      </c>
      <c r="W658" s="11" t="s">
        <v>89</v>
      </c>
      <c r="X658" s="11" t="s">
        <v>3334</v>
      </c>
      <c r="Y658" s="11" t="s">
        <v>52</v>
      </c>
      <c r="Z658" s="11" t="s">
        <v>42</v>
      </c>
      <c r="AA658" s="11" t="s">
        <v>3234</v>
      </c>
    </row>
    <row r="659" spans="1:27">
      <c r="A659" s="11" t="s">
        <v>2355</v>
      </c>
      <c r="B659" s="11" t="s">
        <v>2356</v>
      </c>
      <c r="C659" s="11" t="s">
        <v>27</v>
      </c>
      <c r="D659" s="19">
        <v>16</v>
      </c>
      <c r="E659" s="11" t="s">
        <v>57</v>
      </c>
      <c r="F659" s="11" t="s">
        <v>29</v>
      </c>
      <c r="G659" s="11" t="s">
        <v>93</v>
      </c>
      <c r="H659" s="12">
        <v>46199</v>
      </c>
      <c r="I659" s="12" t="str">
        <f t="shared" si="11"/>
        <v>June</v>
      </c>
      <c r="J659" s="24">
        <v>0.55277777777777781</v>
      </c>
      <c r="K659" s="19">
        <v>3</v>
      </c>
      <c r="L659" s="12">
        <v>46199</v>
      </c>
      <c r="M659" s="24">
        <v>0.71944444444444444</v>
      </c>
      <c r="N659" s="11">
        <v>4</v>
      </c>
      <c r="O659" s="11" t="s">
        <v>34</v>
      </c>
      <c r="P659" s="11" t="s">
        <v>35</v>
      </c>
      <c r="Q659" s="11"/>
      <c r="R659" s="11" t="s">
        <v>36</v>
      </c>
      <c r="S659" s="19">
        <v>15</v>
      </c>
      <c r="T659" s="11" t="s">
        <v>49</v>
      </c>
      <c r="U659" s="11" t="s">
        <v>96</v>
      </c>
      <c r="V659" s="11">
        <v>5</v>
      </c>
      <c r="W659" s="11" t="s">
        <v>89</v>
      </c>
      <c r="X659" s="11" t="s">
        <v>51</v>
      </c>
      <c r="Y659" s="11" t="s">
        <v>52</v>
      </c>
      <c r="Z659" s="11" t="s">
        <v>53</v>
      </c>
      <c r="AA659" s="11" t="s">
        <v>3234</v>
      </c>
    </row>
    <row r="660" spans="1:27">
      <c r="A660" s="11" t="s">
        <v>2358</v>
      </c>
      <c r="B660" s="11" t="s">
        <v>2359</v>
      </c>
      <c r="C660" s="11" t="s">
        <v>56</v>
      </c>
      <c r="D660" s="19">
        <v>66</v>
      </c>
      <c r="E660" s="11" t="s">
        <v>92</v>
      </c>
      <c r="F660" s="11" t="s">
        <v>29</v>
      </c>
      <c r="G660" s="11" t="s">
        <v>83</v>
      </c>
      <c r="H660" s="12">
        <v>46094</v>
      </c>
      <c r="I660" s="12" t="str">
        <f t="shared" si="11"/>
        <v>March</v>
      </c>
      <c r="J660" s="24">
        <v>0.40486111111111112</v>
      </c>
      <c r="K660" s="19">
        <v>24</v>
      </c>
      <c r="L660" s="12">
        <v>46095</v>
      </c>
      <c r="M660" s="24">
        <v>0.61319444444444449</v>
      </c>
      <c r="N660" s="11">
        <v>29</v>
      </c>
      <c r="O660" s="11" t="s">
        <v>34</v>
      </c>
      <c r="P660" s="11" t="s">
        <v>35</v>
      </c>
      <c r="Q660" s="11"/>
      <c r="R660" s="11" t="s">
        <v>36</v>
      </c>
      <c r="S660" s="19">
        <v>50</v>
      </c>
      <c r="T660" s="11" t="s">
        <v>37</v>
      </c>
      <c r="U660" s="11" t="s">
        <v>96</v>
      </c>
      <c r="V660" s="11">
        <v>4</v>
      </c>
      <c r="W660" s="11" t="s">
        <v>62</v>
      </c>
      <c r="X660" s="11" t="s">
        <v>3333</v>
      </c>
      <c r="Y660" s="11" t="s">
        <v>52</v>
      </c>
      <c r="Z660" s="11" t="s">
        <v>42</v>
      </c>
      <c r="AA660" s="11" t="s">
        <v>3235</v>
      </c>
    </row>
    <row r="661" spans="1:27">
      <c r="A661" s="11" t="s">
        <v>2362</v>
      </c>
      <c r="B661" s="11" t="s">
        <v>2363</v>
      </c>
      <c r="C661" s="11" t="s">
        <v>27</v>
      </c>
      <c r="D661" s="19">
        <v>12</v>
      </c>
      <c r="E661" s="11" t="s">
        <v>92</v>
      </c>
      <c r="F661" s="11" t="s">
        <v>29</v>
      </c>
      <c r="G661" s="11" t="s">
        <v>83</v>
      </c>
      <c r="H661" s="12">
        <v>46091</v>
      </c>
      <c r="I661" s="12" t="str">
        <f t="shared" si="11"/>
        <v>March</v>
      </c>
      <c r="J661" s="24">
        <v>0.38055555555555554</v>
      </c>
      <c r="K661" s="19">
        <v>24</v>
      </c>
      <c r="L661" s="12">
        <v>46092</v>
      </c>
      <c r="M661" s="24">
        <v>0.46388888888888891</v>
      </c>
      <c r="N661" s="11">
        <v>26</v>
      </c>
      <c r="O661" s="11" t="s">
        <v>34</v>
      </c>
      <c r="P661" s="11" t="s">
        <v>35</v>
      </c>
      <c r="Q661" s="11"/>
      <c r="R661" s="11" t="s">
        <v>36</v>
      </c>
      <c r="S661" s="19">
        <v>50</v>
      </c>
      <c r="T661" s="11" t="s">
        <v>37</v>
      </c>
      <c r="U661" s="11" t="s">
        <v>164</v>
      </c>
      <c r="V661" s="11">
        <v>2</v>
      </c>
      <c r="W661" s="11" t="s">
        <v>39</v>
      </c>
      <c r="X661" s="11" t="s">
        <v>3325</v>
      </c>
      <c r="Y661" s="11" t="s">
        <v>41</v>
      </c>
      <c r="Z661" s="11" t="s">
        <v>71</v>
      </c>
      <c r="AA661" s="11" t="s">
        <v>3250</v>
      </c>
    </row>
    <row r="662" spans="1:27">
      <c r="A662" s="11" t="s">
        <v>2365</v>
      </c>
      <c r="B662" s="11" t="s">
        <v>2366</v>
      </c>
      <c r="C662" s="11" t="s">
        <v>27</v>
      </c>
      <c r="D662" s="19">
        <v>67</v>
      </c>
      <c r="E662" s="11" t="s">
        <v>173</v>
      </c>
      <c r="F662" s="11" t="s">
        <v>29</v>
      </c>
      <c r="G662" s="11" t="s">
        <v>83</v>
      </c>
      <c r="H662" s="12">
        <v>46096</v>
      </c>
      <c r="I662" s="12" t="str">
        <f t="shared" si="11"/>
        <v>March</v>
      </c>
      <c r="J662" s="24">
        <v>0.47430555555555554</v>
      </c>
      <c r="K662" s="19">
        <v>4</v>
      </c>
      <c r="L662" s="12">
        <v>46096</v>
      </c>
      <c r="M662" s="24">
        <v>0.80763888888888891</v>
      </c>
      <c r="N662" s="11">
        <v>8</v>
      </c>
      <c r="O662" s="11" t="s">
        <v>34</v>
      </c>
      <c r="P662" s="11" t="s">
        <v>35</v>
      </c>
      <c r="Q662" s="11"/>
      <c r="R662" s="11" t="s">
        <v>36</v>
      </c>
      <c r="S662" s="19">
        <v>25</v>
      </c>
      <c r="T662" s="11" t="s">
        <v>37</v>
      </c>
      <c r="U662" s="11" t="s">
        <v>96</v>
      </c>
      <c r="V662" s="11">
        <v>3</v>
      </c>
      <c r="W662" s="11" t="s">
        <v>39</v>
      </c>
      <c r="X662" s="11" t="s">
        <v>3325</v>
      </c>
      <c r="Y662" s="11" t="s">
        <v>41</v>
      </c>
      <c r="Z662" s="11" t="s">
        <v>71</v>
      </c>
      <c r="AA662" s="11" t="s">
        <v>3234</v>
      </c>
    </row>
    <row r="663" spans="1:27">
      <c r="A663" s="11" t="s">
        <v>2367</v>
      </c>
      <c r="B663" s="11" t="s">
        <v>2368</v>
      </c>
      <c r="C663" s="11" t="s">
        <v>27</v>
      </c>
      <c r="D663" s="19">
        <v>49</v>
      </c>
      <c r="E663" s="11" t="s">
        <v>57</v>
      </c>
      <c r="F663" s="11" t="s">
        <v>29</v>
      </c>
      <c r="G663" s="11" t="s">
        <v>58</v>
      </c>
      <c r="H663" s="12">
        <v>46183</v>
      </c>
      <c r="I663" s="12" t="str">
        <f t="shared" si="11"/>
        <v>June</v>
      </c>
      <c r="J663" s="24">
        <v>0.48541666666666666</v>
      </c>
      <c r="K663" s="19">
        <v>3</v>
      </c>
      <c r="L663" s="12">
        <v>46183</v>
      </c>
      <c r="M663" s="24">
        <v>0.73541666666666672</v>
      </c>
      <c r="N663" s="11">
        <v>6</v>
      </c>
      <c r="O663" s="11" t="s">
        <v>34</v>
      </c>
      <c r="P663" s="11" t="s">
        <v>35</v>
      </c>
      <c r="Q663" s="11"/>
      <c r="R663" s="11" t="s">
        <v>36</v>
      </c>
      <c r="S663" s="19">
        <v>15</v>
      </c>
      <c r="T663" s="11" t="s">
        <v>49</v>
      </c>
      <c r="U663" s="11" t="s">
        <v>164</v>
      </c>
      <c r="V663" s="11">
        <v>3</v>
      </c>
      <c r="W663" s="11" t="s">
        <v>39</v>
      </c>
      <c r="X663" s="11" t="s">
        <v>51</v>
      </c>
      <c r="Y663" s="11" t="s">
        <v>41</v>
      </c>
      <c r="Z663" s="11" t="s">
        <v>53</v>
      </c>
      <c r="AA663" s="11"/>
    </row>
    <row r="664" spans="1:27">
      <c r="A664" s="11" t="s">
        <v>2370</v>
      </c>
      <c r="B664" s="11" t="s">
        <v>2371</v>
      </c>
      <c r="C664" s="11" t="s">
        <v>27</v>
      </c>
      <c r="D664" s="19">
        <v>50</v>
      </c>
      <c r="E664" s="11" t="s">
        <v>149</v>
      </c>
      <c r="F664" s="11" t="s">
        <v>29</v>
      </c>
      <c r="G664" s="11" t="s">
        <v>83</v>
      </c>
      <c r="H664" s="12">
        <v>46026</v>
      </c>
      <c r="I664" s="12" t="str">
        <f t="shared" si="11"/>
        <v>January</v>
      </c>
      <c r="J664" s="24">
        <v>0.49375000000000002</v>
      </c>
      <c r="K664" s="19">
        <v>6</v>
      </c>
      <c r="L664" s="12">
        <v>46026</v>
      </c>
      <c r="M664" s="24">
        <v>0.91041666666666665</v>
      </c>
      <c r="N664" s="11">
        <v>10</v>
      </c>
      <c r="O664" s="11" t="s">
        <v>34</v>
      </c>
      <c r="P664" s="11" t="s">
        <v>35</v>
      </c>
      <c r="Q664" s="11"/>
      <c r="R664" s="11" t="s">
        <v>36</v>
      </c>
      <c r="S664" s="19">
        <v>40</v>
      </c>
      <c r="T664" s="11" t="s">
        <v>49</v>
      </c>
      <c r="U664" s="11" t="s">
        <v>96</v>
      </c>
      <c r="V664" s="11">
        <v>4</v>
      </c>
      <c r="W664" s="11" t="s">
        <v>70</v>
      </c>
      <c r="X664" s="11" t="s">
        <v>3334</v>
      </c>
      <c r="Y664" s="11" t="s">
        <v>52</v>
      </c>
      <c r="Z664" s="11" t="s">
        <v>71</v>
      </c>
      <c r="AA664" s="11" t="s">
        <v>3234</v>
      </c>
    </row>
    <row r="665" spans="1:27">
      <c r="A665" s="11" t="s">
        <v>2373</v>
      </c>
      <c r="B665" s="11" t="s">
        <v>2374</v>
      </c>
      <c r="C665" s="11" t="s">
        <v>56</v>
      </c>
      <c r="D665" s="19">
        <v>59</v>
      </c>
      <c r="E665" s="11" t="s">
        <v>81</v>
      </c>
      <c r="F665" s="11" t="s">
        <v>82</v>
      </c>
      <c r="G665" s="11" t="s">
        <v>30</v>
      </c>
      <c r="H665" s="12">
        <v>46137</v>
      </c>
      <c r="I665" s="12" t="str">
        <f t="shared" si="11"/>
        <v>April</v>
      </c>
      <c r="J665" s="24">
        <v>0.4201388888888889</v>
      </c>
      <c r="K665" s="19">
        <v>8</v>
      </c>
      <c r="L665" s="12">
        <v>46138</v>
      </c>
      <c r="M665" s="24">
        <v>4.5138888888888888E-2</v>
      </c>
      <c r="N665" s="11">
        <v>15</v>
      </c>
      <c r="O665" s="11" t="s">
        <v>34</v>
      </c>
      <c r="P665" s="11" t="s">
        <v>35</v>
      </c>
      <c r="Q665" s="11"/>
      <c r="R665" s="11" t="s">
        <v>36</v>
      </c>
      <c r="S665" s="19"/>
      <c r="T665" s="11" t="s">
        <v>37</v>
      </c>
      <c r="U665" s="11" t="s">
        <v>38</v>
      </c>
      <c r="V665" s="11">
        <v>4</v>
      </c>
      <c r="W665" s="11" t="s">
        <v>62</v>
      </c>
      <c r="X665" s="11" t="s">
        <v>51</v>
      </c>
      <c r="Y665" s="11" t="s">
        <v>109</v>
      </c>
      <c r="Z665" s="11" t="s">
        <v>42</v>
      </c>
      <c r="AA665" s="11" t="s">
        <v>3234</v>
      </c>
    </row>
    <row r="666" spans="1:27">
      <c r="A666" s="11" t="s">
        <v>2377</v>
      </c>
      <c r="B666" s="11" t="s">
        <v>2378</v>
      </c>
      <c r="C666" s="11" t="s">
        <v>27</v>
      </c>
      <c r="D666" s="19">
        <v>58</v>
      </c>
      <c r="E666" s="11" t="s">
        <v>81</v>
      </c>
      <c r="F666" s="11" t="s">
        <v>82</v>
      </c>
      <c r="G666" s="11" t="s">
        <v>83</v>
      </c>
      <c r="H666" s="12">
        <v>46166</v>
      </c>
      <c r="I666" s="12" t="str">
        <f t="shared" si="11"/>
        <v>May</v>
      </c>
      <c r="J666" s="24">
        <v>0.30138888888888887</v>
      </c>
      <c r="K666" s="19">
        <v>8</v>
      </c>
      <c r="L666" s="12">
        <v>46166</v>
      </c>
      <c r="M666" s="24">
        <v>0.80138888888888893</v>
      </c>
      <c r="N666" s="11">
        <v>12</v>
      </c>
      <c r="O666" s="11" t="s">
        <v>34</v>
      </c>
      <c r="P666" s="11" t="s">
        <v>35</v>
      </c>
      <c r="Q666" s="11"/>
      <c r="R666" s="11" t="s">
        <v>36</v>
      </c>
      <c r="S666" s="19">
        <v>20</v>
      </c>
      <c r="T666" s="11" t="s">
        <v>37</v>
      </c>
      <c r="U666" s="11" t="s">
        <v>164</v>
      </c>
      <c r="V666" s="11">
        <v>2</v>
      </c>
      <c r="W666" s="11" t="s">
        <v>62</v>
      </c>
      <c r="X666" s="11" t="s">
        <v>3334</v>
      </c>
      <c r="Y666" s="11" t="s">
        <v>109</v>
      </c>
      <c r="Z666" s="11" t="s">
        <v>71</v>
      </c>
      <c r="AA666" s="11" t="str">
        <f>IF(A666=" ", "Missing Value", " ")</f>
        <v xml:space="preserve"> </v>
      </c>
    </row>
    <row r="667" spans="1:27">
      <c r="A667" s="11" t="s">
        <v>2379</v>
      </c>
      <c r="B667" s="11" t="s">
        <v>2380</v>
      </c>
      <c r="C667" s="11" t="s">
        <v>56</v>
      </c>
      <c r="D667" s="19">
        <v>72</v>
      </c>
      <c r="E667" s="11" t="s">
        <v>28</v>
      </c>
      <c r="F667" s="11" t="s">
        <v>29</v>
      </c>
      <c r="G667" s="11" t="s">
        <v>58</v>
      </c>
      <c r="H667" s="12">
        <v>46203</v>
      </c>
      <c r="I667" s="12" t="str">
        <f t="shared" si="11"/>
        <v>June</v>
      </c>
      <c r="J667" s="24">
        <v>0.625</v>
      </c>
      <c r="K667" s="19">
        <v>5</v>
      </c>
      <c r="L667" s="12">
        <v>46203</v>
      </c>
      <c r="M667" s="24">
        <v>0.875</v>
      </c>
      <c r="N667" s="11">
        <v>6</v>
      </c>
      <c r="O667" s="11" t="s">
        <v>34</v>
      </c>
      <c r="P667" s="11" t="s">
        <v>35</v>
      </c>
      <c r="Q667" s="11"/>
      <c r="R667" s="11" t="s">
        <v>36</v>
      </c>
      <c r="S667" s="19">
        <v>35</v>
      </c>
      <c r="T667" s="11" t="s">
        <v>49</v>
      </c>
      <c r="U667" s="11" t="s">
        <v>164</v>
      </c>
      <c r="V667" s="11">
        <v>2</v>
      </c>
      <c r="W667" s="11" t="s">
        <v>89</v>
      </c>
      <c r="X667" s="11" t="s">
        <v>3334</v>
      </c>
      <c r="Y667" s="11" t="s">
        <v>109</v>
      </c>
      <c r="Z667" s="11" t="s">
        <v>53</v>
      </c>
      <c r="AA667" s="11" t="s">
        <v>3234</v>
      </c>
    </row>
    <row r="668" spans="1:27">
      <c r="A668" s="11" t="s">
        <v>2381</v>
      </c>
      <c r="B668" s="11" t="s">
        <v>2382</v>
      </c>
      <c r="C668" s="11" t="s">
        <v>56</v>
      </c>
      <c r="D668" s="19">
        <v>4</v>
      </c>
      <c r="E668" s="11" t="s">
        <v>149</v>
      </c>
      <c r="F668" s="11" t="s">
        <v>29</v>
      </c>
      <c r="G668" s="11" t="s">
        <v>30</v>
      </c>
      <c r="H668" s="12">
        <v>46066</v>
      </c>
      <c r="I668" s="12" t="str">
        <f t="shared" si="11"/>
        <v>February</v>
      </c>
      <c r="J668" s="24">
        <v>0.67777777777777781</v>
      </c>
      <c r="K668" s="19">
        <v>6</v>
      </c>
      <c r="L668" s="12">
        <v>46067</v>
      </c>
      <c r="M668" s="24">
        <v>0.1361111111111111</v>
      </c>
      <c r="N668" s="11">
        <v>11</v>
      </c>
      <c r="O668" s="11" t="s">
        <v>34</v>
      </c>
      <c r="P668" s="11" t="s">
        <v>35</v>
      </c>
      <c r="Q668" s="11"/>
      <c r="R668" s="11" t="s">
        <v>36</v>
      </c>
      <c r="S668" s="19">
        <v>40</v>
      </c>
      <c r="T668" s="11" t="s">
        <v>49</v>
      </c>
      <c r="U668" s="11" t="s">
        <v>38</v>
      </c>
      <c r="V668" s="11">
        <v>1</v>
      </c>
      <c r="W668" s="11" t="s">
        <v>39</v>
      </c>
      <c r="X668" s="11" t="s">
        <v>3333</v>
      </c>
      <c r="Y668" s="11" t="s">
        <v>41</v>
      </c>
      <c r="Z668" s="11" t="s">
        <v>53</v>
      </c>
      <c r="AA668" s="11" t="str">
        <f>IF(A668=" ", "Missing Value", " ")</f>
        <v xml:space="preserve"> </v>
      </c>
    </row>
    <row r="669" spans="1:27">
      <c r="A669" s="11" t="s">
        <v>2384</v>
      </c>
      <c r="B669" s="11" t="s">
        <v>2385</v>
      </c>
      <c r="C669" s="11" t="s">
        <v>27</v>
      </c>
      <c r="D669" s="19">
        <v>83</v>
      </c>
      <c r="E669" s="11" t="s">
        <v>57</v>
      </c>
      <c r="F669" s="11" t="s">
        <v>29</v>
      </c>
      <c r="G669" s="11" t="s">
        <v>58</v>
      </c>
      <c r="H669" s="12">
        <v>46041</v>
      </c>
      <c r="I669" s="12" t="str">
        <f t="shared" si="11"/>
        <v>January</v>
      </c>
      <c r="J669" s="24">
        <v>0.31805555555555554</v>
      </c>
      <c r="K669" s="19">
        <v>3</v>
      </c>
      <c r="L669" s="12">
        <v>46041</v>
      </c>
      <c r="M669" s="24">
        <v>0.65138888888888891</v>
      </c>
      <c r="N669" s="11">
        <v>8</v>
      </c>
      <c r="O669" s="11" t="s">
        <v>34</v>
      </c>
      <c r="P669" s="11" t="s">
        <v>270</v>
      </c>
      <c r="Q669" s="11" t="s">
        <v>271</v>
      </c>
      <c r="R669" s="11" t="s">
        <v>36</v>
      </c>
      <c r="S669" s="19">
        <v>15</v>
      </c>
      <c r="T669" s="11" t="s">
        <v>37</v>
      </c>
      <c r="U669" s="11" t="s">
        <v>96</v>
      </c>
      <c r="V669" s="11">
        <v>2</v>
      </c>
      <c r="W669" s="11" t="s">
        <v>62</v>
      </c>
      <c r="X669" s="11" t="s">
        <v>51</v>
      </c>
      <c r="Y669" s="11" t="s">
        <v>52</v>
      </c>
      <c r="Z669" s="11" t="s">
        <v>53</v>
      </c>
      <c r="AA669" s="11" t="s">
        <v>3288</v>
      </c>
    </row>
    <row r="670" spans="1:27">
      <c r="A670" s="11" t="s">
        <v>2386</v>
      </c>
      <c r="B670" s="11" t="s">
        <v>2387</v>
      </c>
      <c r="C670" s="11" t="s">
        <v>56</v>
      </c>
      <c r="D670" s="19">
        <v>45</v>
      </c>
      <c r="E670" s="11" t="s">
        <v>173</v>
      </c>
      <c r="F670" s="11" t="s">
        <v>29</v>
      </c>
      <c r="G670" s="11" t="s">
        <v>30</v>
      </c>
      <c r="H670" s="12">
        <v>46067</v>
      </c>
      <c r="I670" s="12" t="str">
        <f t="shared" si="11"/>
        <v>February</v>
      </c>
      <c r="J670" s="24">
        <v>0.4465277777777778</v>
      </c>
      <c r="K670" s="19">
        <v>4</v>
      </c>
      <c r="L670" s="12">
        <v>46067</v>
      </c>
      <c r="M670" s="24">
        <v>0.82152777777777775</v>
      </c>
      <c r="N670" s="11">
        <v>9</v>
      </c>
      <c r="O670" s="11" t="s">
        <v>34</v>
      </c>
      <c r="P670" s="11" t="s">
        <v>35</v>
      </c>
      <c r="Q670" s="11"/>
      <c r="R670" s="11" t="s">
        <v>36</v>
      </c>
      <c r="S670" s="19">
        <v>25</v>
      </c>
      <c r="T670" s="11" t="s">
        <v>49</v>
      </c>
      <c r="U670" s="11" t="s">
        <v>96</v>
      </c>
      <c r="V670" s="11">
        <v>4</v>
      </c>
      <c r="W670" s="11" t="s">
        <v>62</v>
      </c>
      <c r="X670" s="11" t="s">
        <v>3333</v>
      </c>
      <c r="Y670" s="11" t="s">
        <v>41</v>
      </c>
      <c r="Z670" s="11" t="s">
        <v>53</v>
      </c>
      <c r="AA670" s="11" t="s">
        <v>3234</v>
      </c>
    </row>
    <row r="671" spans="1:27">
      <c r="A671" s="11" t="s">
        <v>2390</v>
      </c>
      <c r="B671" s="11" t="s">
        <v>2391</v>
      </c>
      <c r="C671" s="11" t="s">
        <v>56</v>
      </c>
      <c r="D671" s="19">
        <v>21</v>
      </c>
      <c r="E671" s="11" t="s">
        <v>28</v>
      </c>
      <c r="F671" s="11" t="s">
        <v>29</v>
      </c>
      <c r="G671" s="11" t="s">
        <v>30</v>
      </c>
      <c r="H671" s="12">
        <v>46122</v>
      </c>
      <c r="I671" s="12" t="str">
        <f t="shared" si="11"/>
        <v>April</v>
      </c>
      <c r="J671" s="24">
        <v>0.45</v>
      </c>
      <c r="K671" s="19">
        <v>5</v>
      </c>
      <c r="L671" s="12">
        <v>46122</v>
      </c>
      <c r="M671" s="24">
        <v>0.9916666666666667</v>
      </c>
      <c r="N671" s="11">
        <v>13</v>
      </c>
      <c r="O671" s="11" t="s">
        <v>34</v>
      </c>
      <c r="P671" s="11" t="s">
        <v>270</v>
      </c>
      <c r="Q671" s="11" t="s">
        <v>391</v>
      </c>
      <c r="R671" s="11" t="s">
        <v>36</v>
      </c>
      <c r="S671" s="19">
        <v>35</v>
      </c>
      <c r="T671" s="11" t="s">
        <v>49</v>
      </c>
      <c r="U671" s="11" t="s">
        <v>38</v>
      </c>
      <c r="V671" s="11">
        <v>4</v>
      </c>
      <c r="W671" s="11" t="s">
        <v>70</v>
      </c>
      <c r="X671" s="11" t="s">
        <v>51</v>
      </c>
      <c r="Y671" s="11" t="s">
        <v>109</v>
      </c>
      <c r="Z671" s="11" t="s">
        <v>53</v>
      </c>
      <c r="AA671" s="11" t="s">
        <v>3251</v>
      </c>
    </row>
    <row r="672" spans="1:27">
      <c r="A672" s="11" t="s">
        <v>2393</v>
      </c>
      <c r="B672" s="11" t="s">
        <v>2394</v>
      </c>
      <c r="C672" s="11" t="s">
        <v>56</v>
      </c>
      <c r="D672" s="19">
        <v>2</v>
      </c>
      <c r="E672" s="11" t="s">
        <v>28</v>
      </c>
      <c r="F672" s="11" t="s">
        <v>29</v>
      </c>
      <c r="G672" s="11" t="s">
        <v>83</v>
      </c>
      <c r="H672" s="12">
        <v>46152</v>
      </c>
      <c r="I672" s="12" t="str">
        <f t="shared" si="11"/>
        <v>May</v>
      </c>
      <c r="J672" s="24">
        <v>0.49444444444444446</v>
      </c>
      <c r="K672" s="19">
        <v>5</v>
      </c>
      <c r="L672" s="12">
        <v>46152</v>
      </c>
      <c r="M672" s="24">
        <v>0.78611111111111109</v>
      </c>
      <c r="N672" s="11">
        <v>7</v>
      </c>
      <c r="O672" s="11" t="s">
        <v>34</v>
      </c>
      <c r="P672" s="11" t="s">
        <v>35</v>
      </c>
      <c r="Q672" s="11"/>
      <c r="R672" s="11" t="s">
        <v>36</v>
      </c>
      <c r="S672" s="19">
        <v>35</v>
      </c>
      <c r="T672" s="11" t="s">
        <v>49</v>
      </c>
      <c r="U672" s="11" t="s">
        <v>96</v>
      </c>
      <c r="V672" s="11">
        <v>1</v>
      </c>
      <c r="W672" s="11" t="s">
        <v>39</v>
      </c>
      <c r="X672" s="11" t="s">
        <v>3334</v>
      </c>
      <c r="Y672" s="11" t="s">
        <v>41</v>
      </c>
      <c r="Z672" s="11" t="s">
        <v>71</v>
      </c>
      <c r="AA672" s="11" t="s">
        <v>3234</v>
      </c>
    </row>
    <row r="673" spans="1:27">
      <c r="A673" s="11" t="s">
        <v>2395</v>
      </c>
      <c r="B673" s="11" t="s">
        <v>2396</v>
      </c>
      <c r="C673" s="11" t="s">
        <v>27</v>
      </c>
      <c r="D673" s="19">
        <v>57</v>
      </c>
      <c r="E673" s="11" t="s">
        <v>57</v>
      </c>
      <c r="F673" s="11" t="s">
        <v>29</v>
      </c>
      <c r="G673" s="11" t="s">
        <v>168</v>
      </c>
      <c r="H673" s="12">
        <v>46096</v>
      </c>
      <c r="I673" s="12" t="str">
        <f t="shared" si="11"/>
        <v>March</v>
      </c>
      <c r="J673" s="24">
        <v>0.47708333333333336</v>
      </c>
      <c r="K673" s="19">
        <v>3</v>
      </c>
      <c r="L673" s="12">
        <v>46096</v>
      </c>
      <c r="M673" s="24">
        <v>0.76875000000000004</v>
      </c>
      <c r="N673" s="11">
        <v>7</v>
      </c>
      <c r="O673" s="11" t="s">
        <v>34</v>
      </c>
      <c r="P673" s="11" t="s">
        <v>35</v>
      </c>
      <c r="Q673" s="11"/>
      <c r="R673" s="11" t="s">
        <v>36</v>
      </c>
      <c r="S673" s="19">
        <v>15</v>
      </c>
      <c r="T673" s="11" t="s">
        <v>37</v>
      </c>
      <c r="U673" s="11" t="s">
        <v>164</v>
      </c>
      <c r="V673" s="11">
        <v>1</v>
      </c>
      <c r="W673" s="11" t="s">
        <v>70</v>
      </c>
      <c r="X673" s="11" t="s">
        <v>51</v>
      </c>
      <c r="Y673" s="11" t="s">
        <v>52</v>
      </c>
      <c r="Z673" s="11" t="s">
        <v>42</v>
      </c>
      <c r="AA673" s="11" t="s">
        <v>3234</v>
      </c>
    </row>
    <row r="674" spans="1:27">
      <c r="A674" s="11" t="s">
        <v>2399</v>
      </c>
      <c r="B674" s="11" t="s">
        <v>2400</v>
      </c>
      <c r="C674" s="11" t="s">
        <v>56</v>
      </c>
      <c r="D674" s="19">
        <v>19</v>
      </c>
      <c r="E674" s="11" t="s">
        <v>57</v>
      </c>
      <c r="F674" s="11" t="s">
        <v>29</v>
      </c>
      <c r="G674" s="11" t="s">
        <v>168</v>
      </c>
      <c r="H674" s="12">
        <v>46136</v>
      </c>
      <c r="I674" s="12" t="str">
        <f t="shared" si="11"/>
        <v>April</v>
      </c>
      <c r="J674" s="24">
        <v>0.54861111111111116</v>
      </c>
      <c r="K674" s="19">
        <v>3</v>
      </c>
      <c r="L674" s="12">
        <v>46136</v>
      </c>
      <c r="M674" s="24">
        <v>0.88194444444444442</v>
      </c>
      <c r="N674" s="11">
        <v>8</v>
      </c>
      <c r="O674" s="11" t="s">
        <v>34</v>
      </c>
      <c r="P674" s="11" t="s">
        <v>35</v>
      </c>
      <c r="Q674" s="11"/>
      <c r="R674" s="11" t="s">
        <v>36</v>
      </c>
      <c r="S674" s="19">
        <v>15</v>
      </c>
      <c r="T674" s="11" t="s">
        <v>37</v>
      </c>
      <c r="U674" s="11" t="s">
        <v>96</v>
      </c>
      <c r="V674" s="11">
        <v>4</v>
      </c>
      <c r="W674" s="11" t="s">
        <v>70</v>
      </c>
      <c r="X674" s="11" t="s">
        <v>3325</v>
      </c>
      <c r="Y674" s="11" t="s">
        <v>109</v>
      </c>
      <c r="Z674" s="11" t="s">
        <v>71</v>
      </c>
      <c r="AA674" s="11" t="s">
        <v>3234</v>
      </c>
    </row>
    <row r="675" spans="1:27">
      <c r="A675" s="11" t="s">
        <v>2401</v>
      </c>
      <c r="B675" s="11" t="s">
        <v>2402</v>
      </c>
      <c r="C675" s="11" t="s">
        <v>56</v>
      </c>
      <c r="D675" s="19">
        <v>64</v>
      </c>
      <c r="E675" s="11" t="s">
        <v>92</v>
      </c>
      <c r="F675" s="11" t="s">
        <v>29</v>
      </c>
      <c r="G675" s="11" t="s">
        <v>93</v>
      </c>
      <c r="H675" s="12">
        <v>46102</v>
      </c>
      <c r="I675" s="12" t="str">
        <f t="shared" si="11"/>
        <v>March</v>
      </c>
      <c r="J675" s="24">
        <v>0.37430555555555556</v>
      </c>
      <c r="K675" s="19">
        <v>24</v>
      </c>
      <c r="L675" s="12">
        <v>46103</v>
      </c>
      <c r="M675" s="24">
        <v>0.66597222222222219</v>
      </c>
      <c r="N675" s="11">
        <v>31</v>
      </c>
      <c r="O675" s="11" t="s">
        <v>34</v>
      </c>
      <c r="P675" s="11" t="s">
        <v>35</v>
      </c>
      <c r="Q675" s="11"/>
      <c r="R675" s="11" t="s">
        <v>36</v>
      </c>
      <c r="S675" s="19">
        <v>50</v>
      </c>
      <c r="T675" s="11" t="s">
        <v>37</v>
      </c>
      <c r="U675" s="11" t="s">
        <v>96</v>
      </c>
      <c r="V675" s="11">
        <v>1</v>
      </c>
      <c r="W675" s="11" t="s">
        <v>70</v>
      </c>
      <c r="X675" s="11" t="s">
        <v>3325</v>
      </c>
      <c r="Y675" s="11" t="s">
        <v>41</v>
      </c>
      <c r="Z675" s="11" t="s">
        <v>42</v>
      </c>
      <c r="AA675" s="11" t="s">
        <v>3229</v>
      </c>
    </row>
    <row r="676" spans="1:27">
      <c r="A676" s="11" t="s">
        <v>2404</v>
      </c>
      <c r="B676" s="11" t="s">
        <v>2405</v>
      </c>
      <c r="C676" s="11" t="s">
        <v>56</v>
      </c>
      <c r="D676" s="19">
        <v>53</v>
      </c>
      <c r="E676" s="11" t="s">
        <v>92</v>
      </c>
      <c r="F676" s="11" t="s">
        <v>29</v>
      </c>
      <c r="G676" s="11" t="s">
        <v>93</v>
      </c>
      <c r="H676" s="12">
        <v>46038</v>
      </c>
      <c r="I676" s="12" t="str">
        <f t="shared" si="11"/>
        <v>January</v>
      </c>
      <c r="J676" s="24">
        <v>0.53055555555555556</v>
      </c>
      <c r="K676" s="19">
        <v>24</v>
      </c>
      <c r="L676" s="12">
        <v>46039</v>
      </c>
      <c r="M676" s="24">
        <v>0.86388888888888893</v>
      </c>
      <c r="N676" s="11">
        <v>32</v>
      </c>
      <c r="O676" s="11" t="s">
        <v>34</v>
      </c>
      <c r="P676" s="11" t="s">
        <v>35</v>
      </c>
      <c r="Q676" s="11"/>
      <c r="R676" s="11" t="s">
        <v>36</v>
      </c>
      <c r="S676" s="19">
        <v>50</v>
      </c>
      <c r="T676" s="11" t="s">
        <v>37</v>
      </c>
      <c r="U676" s="11" t="s">
        <v>164</v>
      </c>
      <c r="V676" s="11">
        <v>1</v>
      </c>
      <c r="W676" s="11" t="s">
        <v>70</v>
      </c>
      <c r="X676" s="11" t="s">
        <v>3325</v>
      </c>
      <c r="Y676" s="11" t="s">
        <v>41</v>
      </c>
      <c r="Z676" s="11" t="s">
        <v>71</v>
      </c>
      <c r="AA676" s="11" t="s">
        <v>3229</v>
      </c>
    </row>
    <row r="677" spans="1:27">
      <c r="A677" s="11" t="s">
        <v>2407</v>
      </c>
      <c r="B677" s="11" t="s">
        <v>2408</v>
      </c>
      <c r="C677" s="11" t="s">
        <v>27</v>
      </c>
      <c r="D677" s="19">
        <v>5</v>
      </c>
      <c r="E677" s="11" t="s">
        <v>92</v>
      </c>
      <c r="F677" s="11" t="s">
        <v>29</v>
      </c>
      <c r="G677" s="11" t="s">
        <v>93</v>
      </c>
      <c r="H677" s="12">
        <v>46159</v>
      </c>
      <c r="I677" s="12" t="str">
        <f t="shared" si="11"/>
        <v>May</v>
      </c>
      <c r="J677" s="24">
        <v>0.30486111111111114</v>
      </c>
      <c r="K677" s="19">
        <v>24</v>
      </c>
      <c r="L677" s="12">
        <v>46160</v>
      </c>
      <c r="M677" s="24">
        <v>0.55486111111111114</v>
      </c>
      <c r="N677" s="11">
        <v>30</v>
      </c>
      <c r="O677" s="11" t="s">
        <v>34</v>
      </c>
      <c r="P677" s="11" t="s">
        <v>35</v>
      </c>
      <c r="Q677" s="11"/>
      <c r="R677" s="11" t="s">
        <v>36</v>
      </c>
      <c r="S677" s="19">
        <v>50</v>
      </c>
      <c r="T677" s="11" t="s">
        <v>49</v>
      </c>
      <c r="U677" s="11" t="s">
        <v>38</v>
      </c>
      <c r="V677" s="11">
        <v>2</v>
      </c>
      <c r="W677" s="11" t="s">
        <v>39</v>
      </c>
      <c r="X677" s="11" t="s">
        <v>3333</v>
      </c>
      <c r="Y677" s="11" t="s">
        <v>41</v>
      </c>
      <c r="Z677" s="11" t="s">
        <v>42</v>
      </c>
      <c r="AA677" s="11" t="s">
        <v>3233</v>
      </c>
    </row>
    <row r="678" spans="1:27">
      <c r="A678" s="11" t="s">
        <v>2409</v>
      </c>
      <c r="B678" s="11" t="s">
        <v>2410</v>
      </c>
      <c r="C678" s="11" t="s">
        <v>27</v>
      </c>
      <c r="D678" s="19">
        <v>76</v>
      </c>
      <c r="E678" s="11" t="s">
        <v>81</v>
      </c>
      <c r="F678" s="11" t="s">
        <v>82</v>
      </c>
      <c r="G678" s="11" t="s">
        <v>83</v>
      </c>
      <c r="H678" s="12">
        <v>46057</v>
      </c>
      <c r="I678" s="12" t="str">
        <f t="shared" si="11"/>
        <v>February</v>
      </c>
      <c r="J678" s="24">
        <v>0.32083333333333336</v>
      </c>
      <c r="K678" s="19">
        <v>8</v>
      </c>
      <c r="L678" s="12">
        <v>46057</v>
      </c>
      <c r="M678" s="24">
        <v>0.61250000000000004</v>
      </c>
      <c r="N678" s="11">
        <v>7</v>
      </c>
      <c r="O678" s="11" t="s">
        <v>68</v>
      </c>
      <c r="P678" s="11" t="s">
        <v>270</v>
      </c>
      <c r="Q678" s="11" t="s">
        <v>391</v>
      </c>
      <c r="R678" s="11" t="s">
        <v>36</v>
      </c>
      <c r="S678" s="19">
        <v>20</v>
      </c>
      <c r="T678" s="11" t="s">
        <v>37</v>
      </c>
      <c r="U678" s="11" t="s">
        <v>38</v>
      </c>
      <c r="V678" s="11">
        <v>5</v>
      </c>
      <c r="W678" s="11" t="s">
        <v>70</v>
      </c>
      <c r="X678" s="11" t="s">
        <v>3333</v>
      </c>
      <c r="Y678" s="11" t="s">
        <v>41</v>
      </c>
      <c r="Z678" s="11" t="s">
        <v>71</v>
      </c>
      <c r="AA678" s="11" t="s">
        <v>3251</v>
      </c>
    </row>
    <row r="679" spans="1:27">
      <c r="A679" s="11" t="s">
        <v>2411</v>
      </c>
      <c r="B679" s="11" t="s">
        <v>2412</v>
      </c>
      <c r="C679" s="11" t="s">
        <v>56</v>
      </c>
      <c r="D679" s="19">
        <v>82</v>
      </c>
      <c r="E679" s="11" t="s">
        <v>57</v>
      </c>
      <c r="F679" s="11" t="s">
        <v>29</v>
      </c>
      <c r="G679" s="11" t="s">
        <v>58</v>
      </c>
      <c r="H679" s="12">
        <v>46024</v>
      </c>
      <c r="I679" s="12" t="str">
        <f t="shared" si="11"/>
        <v>January</v>
      </c>
      <c r="J679" s="24">
        <v>0.47638888888888886</v>
      </c>
      <c r="K679" s="19">
        <v>3</v>
      </c>
      <c r="L679" s="12">
        <v>46024</v>
      </c>
      <c r="M679" s="24">
        <v>0.80972222222222223</v>
      </c>
      <c r="N679" s="11">
        <v>8</v>
      </c>
      <c r="O679" s="11" t="s">
        <v>34</v>
      </c>
      <c r="P679" s="11" t="s">
        <v>35</v>
      </c>
      <c r="Q679" s="11"/>
      <c r="R679" s="11" t="s">
        <v>132</v>
      </c>
      <c r="S679" s="19">
        <v>15</v>
      </c>
      <c r="T679" s="11" t="s">
        <v>49</v>
      </c>
      <c r="U679" s="11" t="s">
        <v>38</v>
      </c>
      <c r="V679" s="11">
        <v>1</v>
      </c>
      <c r="W679" s="11" t="s">
        <v>89</v>
      </c>
      <c r="X679" s="11" t="s">
        <v>3325</v>
      </c>
      <c r="Y679" s="11" t="s">
        <v>109</v>
      </c>
      <c r="Z679" s="11" t="s">
        <v>42</v>
      </c>
      <c r="AA679" s="11" t="s">
        <v>3262</v>
      </c>
    </row>
    <row r="680" spans="1:27">
      <c r="A680" s="11" t="s">
        <v>2415</v>
      </c>
      <c r="B680" s="11" t="s">
        <v>2416</v>
      </c>
      <c r="C680" s="11" t="s">
        <v>27</v>
      </c>
      <c r="D680" s="19">
        <v>2</v>
      </c>
      <c r="E680" s="11" t="s">
        <v>57</v>
      </c>
      <c r="F680" s="11" t="s">
        <v>29</v>
      </c>
      <c r="G680" s="11" t="s">
        <v>58</v>
      </c>
      <c r="H680" s="12">
        <v>46043</v>
      </c>
      <c r="I680" s="12" t="str">
        <f t="shared" si="11"/>
        <v>January</v>
      </c>
      <c r="J680" s="24">
        <v>0.68958333333333333</v>
      </c>
      <c r="K680" s="19">
        <v>3</v>
      </c>
      <c r="L680" s="12">
        <v>46043</v>
      </c>
      <c r="M680" s="24">
        <v>0.81458333333333333</v>
      </c>
      <c r="N680" s="11">
        <v>3</v>
      </c>
      <c r="O680" s="11" t="s">
        <v>68</v>
      </c>
      <c r="P680" s="11" t="s">
        <v>35</v>
      </c>
      <c r="Q680" s="11"/>
      <c r="R680" s="11" t="s">
        <v>36</v>
      </c>
      <c r="S680" s="19">
        <v>15</v>
      </c>
      <c r="T680" s="11" t="s">
        <v>49</v>
      </c>
      <c r="U680" s="11" t="s">
        <v>164</v>
      </c>
      <c r="V680" s="11">
        <v>3</v>
      </c>
      <c r="W680" s="11" t="s">
        <v>62</v>
      </c>
      <c r="X680" s="11" t="s">
        <v>3333</v>
      </c>
      <c r="Y680" s="11" t="s">
        <v>109</v>
      </c>
      <c r="Z680" s="11" t="s">
        <v>42</v>
      </c>
      <c r="AA680" s="11"/>
    </row>
    <row r="681" spans="1:27">
      <c r="A681" s="11" t="s">
        <v>2418</v>
      </c>
      <c r="B681" s="11" t="s">
        <v>2419</v>
      </c>
      <c r="C681" s="11" t="s">
        <v>27</v>
      </c>
      <c r="D681" s="19">
        <v>48</v>
      </c>
      <c r="E681" s="11" t="s">
        <v>173</v>
      </c>
      <c r="F681" s="11" t="s">
        <v>29</v>
      </c>
      <c r="G681" s="11" t="s">
        <v>83</v>
      </c>
      <c r="H681" s="12">
        <v>46041</v>
      </c>
      <c r="I681" s="12" t="str">
        <f t="shared" si="11"/>
        <v>January</v>
      </c>
      <c r="J681" s="24">
        <v>0.57777777777777772</v>
      </c>
      <c r="K681" s="19">
        <v>4</v>
      </c>
      <c r="L681" s="12">
        <v>46041</v>
      </c>
      <c r="M681" s="24">
        <v>0.91111111111111109</v>
      </c>
      <c r="N681" s="11">
        <v>8</v>
      </c>
      <c r="O681" s="11" t="s">
        <v>34</v>
      </c>
      <c r="P681" s="11" t="s">
        <v>35</v>
      </c>
      <c r="Q681" s="11"/>
      <c r="R681" s="11" t="s">
        <v>36</v>
      </c>
      <c r="S681" s="19">
        <v>25</v>
      </c>
      <c r="T681" s="11" t="s">
        <v>37</v>
      </c>
      <c r="U681" s="11" t="s">
        <v>164</v>
      </c>
      <c r="V681" s="11">
        <v>3</v>
      </c>
      <c r="W681" s="11" t="s">
        <v>62</v>
      </c>
      <c r="X681" s="11" t="s">
        <v>3325</v>
      </c>
      <c r="Y681" s="11" t="s">
        <v>52</v>
      </c>
      <c r="Z681" s="11" t="s">
        <v>42</v>
      </c>
      <c r="AA681" s="11" t="s">
        <v>3234</v>
      </c>
    </row>
    <row r="682" spans="1:27">
      <c r="A682" s="11" t="s">
        <v>2421</v>
      </c>
      <c r="B682" s="11" t="s">
        <v>2422</v>
      </c>
      <c r="C682" s="11" t="s">
        <v>27</v>
      </c>
      <c r="D682" s="19">
        <v>54</v>
      </c>
      <c r="E682" s="11" t="s">
        <v>149</v>
      </c>
      <c r="F682" s="11" t="s">
        <v>29</v>
      </c>
      <c r="G682" s="11" t="s">
        <v>30</v>
      </c>
      <c r="H682" s="12">
        <v>46095</v>
      </c>
      <c r="I682" s="12" t="str">
        <f t="shared" si="11"/>
        <v>March</v>
      </c>
      <c r="J682" s="24">
        <v>0.65625</v>
      </c>
      <c r="K682" s="19">
        <v>6</v>
      </c>
      <c r="L682" s="12">
        <v>46095</v>
      </c>
      <c r="M682" s="24">
        <v>0.98958333333333337</v>
      </c>
      <c r="N682" s="11">
        <v>8</v>
      </c>
      <c r="O682" s="11" t="s">
        <v>34</v>
      </c>
      <c r="P682" s="11" t="s">
        <v>35</v>
      </c>
      <c r="Q682" s="11"/>
      <c r="R682" s="11" t="s">
        <v>36</v>
      </c>
      <c r="S682" s="19">
        <v>40</v>
      </c>
      <c r="T682" s="11" t="s">
        <v>49</v>
      </c>
      <c r="U682" s="11" t="s">
        <v>96</v>
      </c>
      <c r="V682" s="11">
        <v>4</v>
      </c>
      <c r="W682" s="11" t="s">
        <v>62</v>
      </c>
      <c r="X682" s="11" t="s">
        <v>3333</v>
      </c>
      <c r="Y682" s="11" t="s">
        <v>41</v>
      </c>
      <c r="Z682" s="11" t="s">
        <v>71</v>
      </c>
      <c r="AA682" s="11" t="str">
        <f>IF(A682=" ", "Missing Value", " ")</f>
        <v xml:space="preserve"> </v>
      </c>
    </row>
    <row r="683" spans="1:27">
      <c r="A683" s="11" t="s">
        <v>2423</v>
      </c>
      <c r="B683" s="11" t="s">
        <v>2424</v>
      </c>
      <c r="C683" s="11" t="s">
        <v>27</v>
      </c>
      <c r="D683" s="19">
        <v>4</v>
      </c>
      <c r="E683" s="11" t="s">
        <v>173</v>
      </c>
      <c r="F683" s="11" t="s">
        <v>29</v>
      </c>
      <c r="G683" s="11" t="s">
        <v>30</v>
      </c>
      <c r="H683" s="12">
        <v>46053</v>
      </c>
      <c r="I683" s="12" t="str">
        <f t="shared" si="11"/>
        <v>January</v>
      </c>
      <c r="J683" s="24">
        <v>0.31944444444444442</v>
      </c>
      <c r="K683" s="19">
        <v>4</v>
      </c>
      <c r="L683" s="12">
        <v>46053</v>
      </c>
      <c r="M683" s="24">
        <v>0.77777777777777779</v>
      </c>
      <c r="N683" s="11">
        <v>11</v>
      </c>
      <c r="O683" s="11" t="s">
        <v>34</v>
      </c>
      <c r="P683" s="11" t="s">
        <v>35</v>
      </c>
      <c r="Q683" s="11"/>
      <c r="R683" s="11" t="s">
        <v>36</v>
      </c>
      <c r="S683" s="19">
        <v>25</v>
      </c>
      <c r="T683" s="11" t="s">
        <v>37</v>
      </c>
      <c r="U683" s="11" t="s">
        <v>96</v>
      </c>
      <c r="V683" s="11">
        <v>4</v>
      </c>
      <c r="W683" s="11" t="s">
        <v>70</v>
      </c>
      <c r="X683" s="11" t="s">
        <v>3325</v>
      </c>
      <c r="Y683" s="11" t="s">
        <v>52</v>
      </c>
      <c r="Z683" s="11" t="s">
        <v>53</v>
      </c>
      <c r="AA683" s="11" t="s">
        <v>3234</v>
      </c>
    </row>
    <row r="684" spans="1:27">
      <c r="A684" s="11" t="s">
        <v>2426</v>
      </c>
      <c r="B684" s="11" t="s">
        <v>2427</v>
      </c>
      <c r="C684" s="11" t="s">
        <v>27</v>
      </c>
      <c r="D684" s="19">
        <v>69</v>
      </c>
      <c r="E684" s="11" t="s">
        <v>92</v>
      </c>
      <c r="F684" s="11" t="s">
        <v>29</v>
      </c>
      <c r="G684" s="11" t="s">
        <v>83</v>
      </c>
      <c r="H684" s="12">
        <v>46157</v>
      </c>
      <c r="I684" s="12" t="str">
        <f t="shared" si="11"/>
        <v>May</v>
      </c>
      <c r="J684" s="24">
        <v>0.37152777777777779</v>
      </c>
      <c r="K684" s="19">
        <v>24</v>
      </c>
      <c r="L684" s="12">
        <v>46158</v>
      </c>
      <c r="M684" s="24">
        <v>0.3298611111111111</v>
      </c>
      <c r="N684" s="11">
        <v>23</v>
      </c>
      <c r="O684" s="11" t="s">
        <v>68</v>
      </c>
      <c r="P684" s="11" t="s">
        <v>35</v>
      </c>
      <c r="Q684" s="11"/>
      <c r="R684" s="11" t="s">
        <v>36</v>
      </c>
      <c r="S684" s="19">
        <v>50</v>
      </c>
      <c r="T684" s="11" t="s">
        <v>37</v>
      </c>
      <c r="U684" s="11" t="s">
        <v>96</v>
      </c>
      <c r="V684" s="11">
        <v>4</v>
      </c>
      <c r="W684" s="11" t="s">
        <v>39</v>
      </c>
      <c r="X684" s="11" t="s">
        <v>3325</v>
      </c>
      <c r="Y684" s="11" t="s">
        <v>52</v>
      </c>
      <c r="Z684" s="11" t="s">
        <v>71</v>
      </c>
      <c r="AA684" s="11" t="s">
        <v>3234</v>
      </c>
    </row>
    <row r="685" spans="1:27">
      <c r="A685" s="11" t="s">
        <v>2429</v>
      </c>
      <c r="B685" s="11" t="s">
        <v>2430</v>
      </c>
      <c r="C685" s="11" t="s">
        <v>56</v>
      </c>
      <c r="D685" s="19">
        <v>55</v>
      </c>
      <c r="E685" s="11" t="s">
        <v>57</v>
      </c>
      <c r="F685" s="11" t="s">
        <v>29</v>
      </c>
      <c r="G685" s="11" t="s">
        <v>30</v>
      </c>
      <c r="H685" s="12">
        <v>46164</v>
      </c>
      <c r="I685" s="12" t="str">
        <f t="shared" si="11"/>
        <v>May</v>
      </c>
      <c r="J685" s="24">
        <v>0.5625</v>
      </c>
      <c r="K685" s="19">
        <v>3</v>
      </c>
      <c r="L685" s="12">
        <v>46164</v>
      </c>
      <c r="M685" s="24">
        <v>0.77083333333333337</v>
      </c>
      <c r="N685" s="11">
        <v>5</v>
      </c>
      <c r="O685" s="11" t="s">
        <v>34</v>
      </c>
      <c r="P685" s="11" t="s">
        <v>35</v>
      </c>
      <c r="Q685" s="11"/>
      <c r="R685" s="11" t="s">
        <v>36</v>
      </c>
      <c r="S685" s="19">
        <v>15</v>
      </c>
      <c r="T685" s="11" t="s">
        <v>49</v>
      </c>
      <c r="U685" s="11" t="s">
        <v>96</v>
      </c>
      <c r="V685" s="11">
        <v>2</v>
      </c>
      <c r="W685" s="11" t="s">
        <v>62</v>
      </c>
      <c r="X685" s="11" t="s">
        <v>3333</v>
      </c>
      <c r="Y685" s="11" t="s">
        <v>41</v>
      </c>
      <c r="Z685" s="11" t="s">
        <v>71</v>
      </c>
      <c r="AA685" s="11" t="s">
        <v>3234</v>
      </c>
    </row>
    <row r="686" spans="1:27">
      <c r="A686" s="11" t="s">
        <v>2432</v>
      </c>
      <c r="B686" s="11" t="s">
        <v>2433</v>
      </c>
      <c r="C686" s="11" t="s">
        <v>56</v>
      </c>
      <c r="D686" s="19">
        <v>64</v>
      </c>
      <c r="E686" s="11" t="s">
        <v>28</v>
      </c>
      <c r="F686" s="11" t="s">
        <v>29</v>
      </c>
      <c r="G686" s="11" t="s">
        <v>168</v>
      </c>
      <c r="H686" s="12">
        <v>46136</v>
      </c>
      <c r="I686" s="12" t="str">
        <f t="shared" si="11"/>
        <v>April</v>
      </c>
      <c r="J686" s="24">
        <v>0.68402777777777779</v>
      </c>
      <c r="K686" s="19">
        <v>5</v>
      </c>
      <c r="L686" s="12">
        <v>46136</v>
      </c>
      <c r="M686" s="24">
        <v>0.85069444444444442</v>
      </c>
      <c r="N686" s="11">
        <v>4</v>
      </c>
      <c r="O686" s="11" t="s">
        <v>68</v>
      </c>
      <c r="P686" s="11" t="s">
        <v>35</v>
      </c>
      <c r="Q686" s="11"/>
      <c r="R686" s="11" t="s">
        <v>36</v>
      </c>
      <c r="S686" s="19">
        <v>35</v>
      </c>
      <c r="T686" s="11" t="s">
        <v>49</v>
      </c>
      <c r="U686" s="11" t="s">
        <v>164</v>
      </c>
      <c r="V686" s="11">
        <v>1</v>
      </c>
      <c r="W686" s="11" t="s">
        <v>89</v>
      </c>
      <c r="X686" s="11" t="s">
        <v>51</v>
      </c>
      <c r="Y686" s="11" t="s">
        <v>52</v>
      </c>
      <c r="Z686" s="11" t="s">
        <v>42</v>
      </c>
      <c r="AA686" s="11" t="s">
        <v>3234</v>
      </c>
    </row>
    <row r="687" spans="1:27">
      <c r="A687" s="11" t="s">
        <v>2434</v>
      </c>
      <c r="B687" s="11" t="s">
        <v>2435</v>
      </c>
      <c r="C687" s="11" t="s">
        <v>27</v>
      </c>
      <c r="D687" s="19">
        <v>62</v>
      </c>
      <c r="E687" s="11" t="s">
        <v>92</v>
      </c>
      <c r="F687" s="11" t="s">
        <v>29</v>
      </c>
      <c r="G687" s="11" t="s">
        <v>93</v>
      </c>
      <c r="H687" s="12">
        <v>46070</v>
      </c>
      <c r="I687" s="12" t="str">
        <f t="shared" si="11"/>
        <v>February</v>
      </c>
      <c r="J687" s="24">
        <v>0.53472222222222221</v>
      </c>
      <c r="K687" s="19">
        <v>24</v>
      </c>
      <c r="L687" s="12">
        <v>46071</v>
      </c>
      <c r="M687" s="24">
        <v>0.78472222222222221</v>
      </c>
      <c r="N687" s="11">
        <v>30</v>
      </c>
      <c r="O687" s="11" t="s">
        <v>34</v>
      </c>
      <c r="P687" s="11" t="s">
        <v>35</v>
      </c>
      <c r="Q687" s="11"/>
      <c r="R687" s="11" t="s">
        <v>36</v>
      </c>
      <c r="S687" s="19">
        <v>50</v>
      </c>
      <c r="T687" s="11" t="s">
        <v>37</v>
      </c>
      <c r="U687" s="11" t="s">
        <v>96</v>
      </c>
      <c r="V687" s="11">
        <v>2</v>
      </c>
      <c r="W687" s="11" t="s">
        <v>62</v>
      </c>
      <c r="X687" s="11" t="s">
        <v>3334</v>
      </c>
      <c r="Y687" s="11" t="s">
        <v>41</v>
      </c>
      <c r="Z687" s="11" t="s">
        <v>71</v>
      </c>
      <c r="AA687" s="11" t="str">
        <f>IF(A687=" ", "Missing Value", " ")</f>
        <v xml:space="preserve"> </v>
      </c>
    </row>
    <row r="688" spans="1:27">
      <c r="A688" s="11" t="s">
        <v>2438</v>
      </c>
      <c r="B688" s="11" t="s">
        <v>2439</v>
      </c>
      <c r="C688" s="11" t="s">
        <v>56</v>
      </c>
      <c r="D688" s="19">
        <v>31</v>
      </c>
      <c r="E688" s="11" t="s">
        <v>28</v>
      </c>
      <c r="F688" s="11" t="s">
        <v>29</v>
      </c>
      <c r="G688" s="11" t="s">
        <v>30</v>
      </c>
      <c r="H688" s="12">
        <v>46129</v>
      </c>
      <c r="I688" s="12" t="str">
        <f t="shared" si="11"/>
        <v>April</v>
      </c>
      <c r="J688" s="24">
        <v>0.44513888888888886</v>
      </c>
      <c r="K688" s="19">
        <v>5</v>
      </c>
      <c r="L688" s="12">
        <v>46129</v>
      </c>
      <c r="M688" s="24">
        <v>0.69513888888888886</v>
      </c>
      <c r="N688" s="11">
        <v>6</v>
      </c>
      <c r="O688" s="11" t="s">
        <v>34</v>
      </c>
      <c r="P688" s="11" t="s">
        <v>35</v>
      </c>
      <c r="Q688" s="11"/>
      <c r="R688" s="11" t="s">
        <v>36</v>
      </c>
      <c r="S688" s="19">
        <v>35</v>
      </c>
      <c r="T688" s="11" t="s">
        <v>49</v>
      </c>
      <c r="U688" s="11" t="s">
        <v>96</v>
      </c>
      <c r="V688" s="11">
        <v>4</v>
      </c>
      <c r="W688" s="11" t="s">
        <v>70</v>
      </c>
      <c r="X688" s="11" t="s">
        <v>3333</v>
      </c>
      <c r="Y688" s="11" t="s">
        <v>109</v>
      </c>
      <c r="Z688" s="11" t="s">
        <v>71</v>
      </c>
      <c r="AA688" s="11" t="str">
        <f>IF(A688=" ", "Missing Value", " ")</f>
        <v xml:space="preserve"> </v>
      </c>
    </row>
    <row r="689" spans="1:27">
      <c r="A689" s="11" t="s">
        <v>2440</v>
      </c>
      <c r="B689" s="11" t="s">
        <v>2441</v>
      </c>
      <c r="C689" s="11" t="s">
        <v>27</v>
      </c>
      <c r="D689" s="19">
        <v>69</v>
      </c>
      <c r="E689" s="11" t="s">
        <v>28</v>
      </c>
      <c r="F689" s="11" t="s">
        <v>29</v>
      </c>
      <c r="G689" s="11" t="s">
        <v>30</v>
      </c>
      <c r="H689" s="12">
        <v>46180</v>
      </c>
      <c r="I689" s="12" t="str">
        <f t="shared" si="11"/>
        <v>June</v>
      </c>
      <c r="J689" s="24">
        <v>0.49861111111111112</v>
      </c>
      <c r="K689" s="19">
        <v>5</v>
      </c>
      <c r="L689" s="12">
        <v>46180</v>
      </c>
      <c r="M689" s="24">
        <v>0.91527777777777775</v>
      </c>
      <c r="N689" s="11">
        <v>10</v>
      </c>
      <c r="O689" s="11" t="s">
        <v>34</v>
      </c>
      <c r="P689" s="11" t="s">
        <v>270</v>
      </c>
      <c r="Q689" s="11" t="s">
        <v>271</v>
      </c>
      <c r="R689" s="11" t="s">
        <v>36</v>
      </c>
      <c r="S689" s="19">
        <v>35</v>
      </c>
      <c r="T689" s="11" t="s">
        <v>49</v>
      </c>
      <c r="U689" s="11" t="s">
        <v>96</v>
      </c>
      <c r="V689" s="11">
        <v>1</v>
      </c>
      <c r="W689" s="11" t="s">
        <v>39</v>
      </c>
      <c r="X689" s="11" t="s">
        <v>3333</v>
      </c>
      <c r="Y689" s="11" t="s">
        <v>109</v>
      </c>
      <c r="Z689" s="11" t="s">
        <v>71</v>
      </c>
      <c r="AA689" s="11" t="s">
        <v>3251</v>
      </c>
    </row>
    <row r="690" spans="1:27">
      <c r="A690" s="11" t="s">
        <v>2444</v>
      </c>
      <c r="B690" s="11" t="s">
        <v>2445</v>
      </c>
      <c r="C690" s="11" t="s">
        <v>27</v>
      </c>
      <c r="D690" s="19">
        <v>37</v>
      </c>
      <c r="E690" s="11" t="s">
        <v>57</v>
      </c>
      <c r="F690" s="11" t="s">
        <v>29</v>
      </c>
      <c r="G690" s="11" t="s">
        <v>58</v>
      </c>
      <c r="H690" s="12">
        <v>46202</v>
      </c>
      <c r="I690" s="12" t="str">
        <f t="shared" si="11"/>
        <v>June</v>
      </c>
      <c r="J690" s="24">
        <v>0.60347222222222219</v>
      </c>
      <c r="K690" s="19">
        <v>3</v>
      </c>
      <c r="L690" s="12">
        <v>46202</v>
      </c>
      <c r="M690" s="24">
        <v>0.93680555555555556</v>
      </c>
      <c r="N690" s="11">
        <v>8</v>
      </c>
      <c r="O690" s="11" t="s">
        <v>34</v>
      </c>
      <c r="P690" s="11" t="s">
        <v>35</v>
      </c>
      <c r="Q690" s="11"/>
      <c r="R690" s="11" t="s">
        <v>36</v>
      </c>
      <c r="S690" s="19">
        <v>15</v>
      </c>
      <c r="T690" s="11" t="s">
        <v>49</v>
      </c>
      <c r="U690" s="11" t="s">
        <v>96</v>
      </c>
      <c r="V690" s="11">
        <v>4</v>
      </c>
      <c r="W690" s="11" t="s">
        <v>39</v>
      </c>
      <c r="X690" s="11" t="s">
        <v>3325</v>
      </c>
      <c r="Y690" s="11" t="s">
        <v>109</v>
      </c>
      <c r="Z690" s="11" t="s">
        <v>53</v>
      </c>
      <c r="AA690" s="11"/>
    </row>
    <row r="691" spans="1:27">
      <c r="A691" s="11" t="s">
        <v>2446</v>
      </c>
      <c r="B691" s="11" t="s">
        <v>2447</v>
      </c>
      <c r="C691" s="11" t="s">
        <v>27</v>
      </c>
      <c r="D691" s="19">
        <v>78</v>
      </c>
      <c r="E691" s="11" t="s">
        <v>81</v>
      </c>
      <c r="F691" s="11" t="s">
        <v>82</v>
      </c>
      <c r="G691" s="11" t="s">
        <v>83</v>
      </c>
      <c r="H691" s="12">
        <v>46096</v>
      </c>
      <c r="I691" s="12" t="str">
        <f t="shared" si="11"/>
        <v>March</v>
      </c>
      <c r="J691" s="24">
        <v>0.38819444444444445</v>
      </c>
      <c r="K691" s="19">
        <v>8</v>
      </c>
      <c r="L691" s="12">
        <v>46096</v>
      </c>
      <c r="M691" s="24">
        <v>0.92986111111111114</v>
      </c>
      <c r="N691" s="11">
        <v>13</v>
      </c>
      <c r="O691" s="11" t="s">
        <v>34</v>
      </c>
      <c r="P691" s="11" t="s">
        <v>35</v>
      </c>
      <c r="Q691" s="11"/>
      <c r="R691" s="11" t="s">
        <v>36</v>
      </c>
      <c r="S691" s="19">
        <v>20</v>
      </c>
      <c r="T691" s="11" t="s">
        <v>37</v>
      </c>
      <c r="U691" s="11" t="s">
        <v>96</v>
      </c>
      <c r="V691" s="11">
        <v>2</v>
      </c>
      <c r="W691" s="11" t="s">
        <v>62</v>
      </c>
      <c r="X691" s="11" t="s">
        <v>51</v>
      </c>
      <c r="Y691" s="11" t="s">
        <v>41</v>
      </c>
      <c r="Z691" s="11" t="s">
        <v>42</v>
      </c>
      <c r="AA691" s="11" t="str">
        <f>IF(A691=" ", "Missing Value", " ")</f>
        <v xml:space="preserve"> </v>
      </c>
    </row>
    <row r="692" spans="1:27">
      <c r="A692" s="11" t="s">
        <v>2449</v>
      </c>
      <c r="B692" s="11" t="s">
        <v>2450</v>
      </c>
      <c r="C692" s="11" t="s">
        <v>27</v>
      </c>
      <c r="D692" s="19">
        <v>78</v>
      </c>
      <c r="E692" s="11" t="s">
        <v>173</v>
      </c>
      <c r="F692" s="11" t="s">
        <v>29</v>
      </c>
      <c r="G692" s="11" t="s">
        <v>168</v>
      </c>
      <c r="H692" s="12">
        <v>46116</v>
      </c>
      <c r="I692" s="12" t="str">
        <f t="shared" si="11"/>
        <v>April</v>
      </c>
      <c r="J692" s="24">
        <v>0.67986111111111114</v>
      </c>
      <c r="K692" s="19">
        <v>4</v>
      </c>
      <c r="L692" s="12">
        <v>46116</v>
      </c>
      <c r="M692" s="24">
        <v>0.8881944444444444</v>
      </c>
      <c r="N692" s="11">
        <v>5</v>
      </c>
      <c r="O692" s="11" t="s">
        <v>34</v>
      </c>
      <c r="P692" s="11" t="s">
        <v>35</v>
      </c>
      <c r="Q692" s="11"/>
      <c r="R692" s="11" t="s">
        <v>36</v>
      </c>
      <c r="S692" s="19">
        <v>25</v>
      </c>
      <c r="T692" s="11" t="s">
        <v>49</v>
      </c>
      <c r="U692" s="11" t="s">
        <v>96</v>
      </c>
      <c r="V692" s="11">
        <v>5</v>
      </c>
      <c r="W692" s="11" t="s">
        <v>39</v>
      </c>
      <c r="X692" s="11" t="s">
        <v>3334</v>
      </c>
      <c r="Y692" s="11" t="s">
        <v>109</v>
      </c>
      <c r="Z692" s="11" t="s">
        <v>71</v>
      </c>
      <c r="AA692" s="11" t="s">
        <v>3234</v>
      </c>
    </row>
    <row r="693" spans="1:27">
      <c r="A693" s="11" t="s">
        <v>2451</v>
      </c>
      <c r="B693" s="11" t="s">
        <v>2452</v>
      </c>
      <c r="C693" s="11" t="s">
        <v>56</v>
      </c>
      <c r="D693" s="19">
        <v>90</v>
      </c>
      <c r="E693" s="11" t="s">
        <v>57</v>
      </c>
      <c r="F693" s="11" t="s">
        <v>29</v>
      </c>
      <c r="G693" s="11" t="s">
        <v>58</v>
      </c>
      <c r="H693" s="12">
        <v>46056</v>
      </c>
      <c r="I693" s="12" t="str">
        <f t="shared" si="11"/>
        <v>February</v>
      </c>
      <c r="J693" s="24">
        <v>0.63680555555555551</v>
      </c>
      <c r="K693" s="19">
        <v>3</v>
      </c>
      <c r="L693" s="12">
        <v>46057</v>
      </c>
      <c r="M693" s="24">
        <v>1.1805555555555555E-2</v>
      </c>
      <c r="N693" s="11">
        <v>9</v>
      </c>
      <c r="O693" s="11" t="s">
        <v>34</v>
      </c>
      <c r="P693" s="11" t="s">
        <v>35</v>
      </c>
      <c r="Q693" s="11"/>
      <c r="R693" s="11" t="s">
        <v>36</v>
      </c>
      <c r="S693" s="19">
        <v>15</v>
      </c>
      <c r="T693" s="11" t="s">
        <v>49</v>
      </c>
      <c r="U693" s="11" t="s">
        <v>38</v>
      </c>
      <c r="V693" s="11">
        <v>1</v>
      </c>
      <c r="W693" s="11" t="s">
        <v>89</v>
      </c>
      <c r="X693" s="11" t="s">
        <v>3334</v>
      </c>
      <c r="Y693" s="11" t="s">
        <v>109</v>
      </c>
      <c r="Z693" s="11" t="s">
        <v>53</v>
      </c>
      <c r="AA693" s="11"/>
    </row>
    <row r="694" spans="1:27">
      <c r="A694" s="11" t="s">
        <v>2454</v>
      </c>
      <c r="B694" s="11" t="s">
        <v>2455</v>
      </c>
      <c r="C694" s="11" t="s">
        <v>27</v>
      </c>
      <c r="D694" s="19">
        <v>11</v>
      </c>
      <c r="E694" s="11" t="s">
        <v>81</v>
      </c>
      <c r="F694" s="11" t="s">
        <v>82</v>
      </c>
      <c r="G694" s="11" t="s">
        <v>83</v>
      </c>
      <c r="H694" s="12">
        <v>46187</v>
      </c>
      <c r="I694" s="12" t="str">
        <f t="shared" si="11"/>
        <v>June</v>
      </c>
      <c r="J694" s="24">
        <v>0.40555555555555556</v>
      </c>
      <c r="K694" s="19">
        <v>8</v>
      </c>
      <c r="L694" s="12">
        <v>46187</v>
      </c>
      <c r="M694" s="24">
        <v>0.69722222222222219</v>
      </c>
      <c r="N694" s="11">
        <v>7</v>
      </c>
      <c r="O694" s="11" t="s">
        <v>68</v>
      </c>
      <c r="P694" s="11" t="s">
        <v>35</v>
      </c>
      <c r="Q694" s="11"/>
      <c r="R694" s="11" t="s">
        <v>36</v>
      </c>
      <c r="S694" s="19">
        <v>20</v>
      </c>
      <c r="T694" s="11" t="s">
        <v>37</v>
      </c>
      <c r="U694" s="11" t="s">
        <v>96</v>
      </c>
      <c r="V694" s="11">
        <v>4</v>
      </c>
      <c r="W694" s="11" t="s">
        <v>89</v>
      </c>
      <c r="X694" s="11" t="s">
        <v>3334</v>
      </c>
      <c r="Y694" s="11" t="s">
        <v>41</v>
      </c>
      <c r="Z694" s="11" t="s">
        <v>42</v>
      </c>
      <c r="AA694" s="11" t="str">
        <f>IF(A694=" ", "Missing Value", " ")</f>
        <v xml:space="preserve"> </v>
      </c>
    </row>
    <row r="695" spans="1:27">
      <c r="A695" s="11" t="s">
        <v>2456</v>
      </c>
      <c r="B695" s="11" t="s">
        <v>2457</v>
      </c>
      <c r="C695" s="11" t="s">
        <v>27</v>
      </c>
      <c r="D695" s="19">
        <v>56</v>
      </c>
      <c r="E695" s="11" t="s">
        <v>57</v>
      </c>
      <c r="F695" s="11" t="s">
        <v>29</v>
      </c>
      <c r="G695" s="11" t="s">
        <v>58</v>
      </c>
      <c r="H695" s="12">
        <v>46184</v>
      </c>
      <c r="I695" s="12" t="str">
        <f t="shared" si="11"/>
        <v>June</v>
      </c>
      <c r="J695" s="24">
        <v>0.57152777777777775</v>
      </c>
      <c r="K695" s="19">
        <v>3</v>
      </c>
      <c r="L695" s="12">
        <v>46184</v>
      </c>
      <c r="M695" s="24">
        <v>0.90486111111111112</v>
      </c>
      <c r="N695" s="11">
        <v>8</v>
      </c>
      <c r="O695" s="11" t="s">
        <v>34</v>
      </c>
      <c r="P695" s="11" t="s">
        <v>35</v>
      </c>
      <c r="Q695" s="11"/>
      <c r="R695" s="11" t="s">
        <v>36</v>
      </c>
      <c r="S695" s="19">
        <v>15</v>
      </c>
      <c r="T695" s="11" t="s">
        <v>49</v>
      </c>
      <c r="U695" s="11" t="s">
        <v>164</v>
      </c>
      <c r="V695" s="11">
        <v>1</v>
      </c>
      <c r="W695" s="11" t="s">
        <v>39</v>
      </c>
      <c r="X695" s="11" t="s">
        <v>51</v>
      </c>
      <c r="Y695" s="11" t="s">
        <v>52</v>
      </c>
      <c r="Z695" s="11" t="s">
        <v>71</v>
      </c>
      <c r="AA695" s="11"/>
    </row>
    <row r="696" spans="1:27">
      <c r="A696" s="11" t="s">
        <v>2460</v>
      </c>
      <c r="B696" s="11" t="s">
        <v>2461</v>
      </c>
      <c r="C696" s="11" t="s">
        <v>27</v>
      </c>
      <c r="D696" s="19">
        <v>33</v>
      </c>
      <c r="E696" s="11" t="s">
        <v>173</v>
      </c>
      <c r="F696" s="11" t="s">
        <v>29</v>
      </c>
      <c r="G696" s="11" t="s">
        <v>168</v>
      </c>
      <c r="H696" s="12">
        <v>46064</v>
      </c>
      <c r="I696" s="12" t="str">
        <f t="shared" si="11"/>
        <v>February</v>
      </c>
      <c r="J696" s="24">
        <v>0.59444444444444444</v>
      </c>
      <c r="K696" s="19">
        <v>4</v>
      </c>
      <c r="L696" s="12">
        <v>46064</v>
      </c>
      <c r="M696" s="24">
        <v>0.71944444444444444</v>
      </c>
      <c r="N696" s="11">
        <v>3</v>
      </c>
      <c r="O696" s="11" t="s">
        <v>68</v>
      </c>
      <c r="P696" s="11" t="s">
        <v>35</v>
      </c>
      <c r="Q696" s="11"/>
      <c r="R696" s="11" t="s">
        <v>36</v>
      </c>
      <c r="S696" s="19">
        <v>25</v>
      </c>
      <c r="T696" s="11" t="s">
        <v>49</v>
      </c>
      <c r="U696" s="11" t="s">
        <v>96</v>
      </c>
      <c r="V696" s="11">
        <v>3</v>
      </c>
      <c r="W696" s="11" t="s">
        <v>89</v>
      </c>
      <c r="X696" s="11" t="s">
        <v>3325</v>
      </c>
      <c r="Y696" s="11" t="s">
        <v>52</v>
      </c>
      <c r="Z696" s="11" t="s">
        <v>42</v>
      </c>
      <c r="AA696" s="11" t="s">
        <v>3234</v>
      </c>
    </row>
    <row r="697" spans="1:27">
      <c r="A697" s="11" t="s">
        <v>2463</v>
      </c>
      <c r="B697" s="11" t="s">
        <v>2464</v>
      </c>
      <c r="C697" s="11" t="s">
        <v>56</v>
      </c>
      <c r="D697" s="19">
        <v>32</v>
      </c>
      <c r="E697" s="11" t="s">
        <v>173</v>
      </c>
      <c r="F697" s="11" t="s">
        <v>29</v>
      </c>
      <c r="G697" s="11" t="s">
        <v>93</v>
      </c>
      <c r="H697" s="12">
        <v>46087</v>
      </c>
      <c r="I697" s="12" t="str">
        <f t="shared" si="11"/>
        <v>March</v>
      </c>
      <c r="J697" s="24">
        <v>0.29305555555555557</v>
      </c>
      <c r="K697" s="19">
        <v>4</v>
      </c>
      <c r="L697" s="12">
        <v>46087</v>
      </c>
      <c r="M697" s="24">
        <v>0.70972222222222225</v>
      </c>
      <c r="N697" s="11">
        <v>10</v>
      </c>
      <c r="O697" s="11" t="s">
        <v>34</v>
      </c>
      <c r="P697" s="11" t="s">
        <v>35</v>
      </c>
      <c r="Q697" s="11"/>
      <c r="R697" s="11" t="s">
        <v>36</v>
      </c>
      <c r="S697" s="19">
        <v>25</v>
      </c>
      <c r="T697" s="11" t="s">
        <v>37</v>
      </c>
      <c r="U697" s="11" t="s">
        <v>96</v>
      </c>
      <c r="V697" s="11">
        <v>3</v>
      </c>
      <c r="W697" s="11" t="s">
        <v>62</v>
      </c>
      <c r="X697" s="11" t="s">
        <v>51</v>
      </c>
      <c r="Y697" s="11" t="s">
        <v>41</v>
      </c>
      <c r="Z697" s="11" t="s">
        <v>42</v>
      </c>
      <c r="AA697" s="11" t="s">
        <v>3234</v>
      </c>
    </row>
    <row r="698" spans="1:27">
      <c r="A698" s="11" t="s">
        <v>2466</v>
      </c>
      <c r="B698" s="11" t="s">
        <v>2467</v>
      </c>
      <c r="C698" s="11" t="s">
        <v>56</v>
      </c>
      <c r="D698" s="19">
        <v>31</v>
      </c>
      <c r="E698" s="11" t="s">
        <v>92</v>
      </c>
      <c r="F698" s="11" t="s">
        <v>29</v>
      </c>
      <c r="G698" s="11" t="s">
        <v>93</v>
      </c>
      <c r="H698" s="12">
        <v>46169</v>
      </c>
      <c r="I698" s="12" t="str">
        <f t="shared" si="11"/>
        <v>May</v>
      </c>
      <c r="J698" s="24">
        <v>0.67708333333333337</v>
      </c>
      <c r="K698" s="19">
        <v>24</v>
      </c>
      <c r="L698" s="12">
        <v>46170</v>
      </c>
      <c r="M698" s="24">
        <v>0.67708333333333337</v>
      </c>
      <c r="N698" s="11">
        <v>24</v>
      </c>
      <c r="O698" s="11" t="s">
        <v>68</v>
      </c>
      <c r="P698" s="11" t="s">
        <v>35</v>
      </c>
      <c r="Q698" s="11"/>
      <c r="R698" s="11" t="s">
        <v>36</v>
      </c>
      <c r="S698" s="19">
        <v>50</v>
      </c>
      <c r="T698" s="11" t="s">
        <v>49</v>
      </c>
      <c r="U698" s="11" t="s">
        <v>164</v>
      </c>
      <c r="V698" s="11">
        <v>2</v>
      </c>
      <c r="W698" s="11" t="s">
        <v>70</v>
      </c>
      <c r="X698" s="11" t="s">
        <v>51</v>
      </c>
      <c r="Y698" s="11" t="s">
        <v>52</v>
      </c>
      <c r="Z698" s="11" t="s">
        <v>53</v>
      </c>
      <c r="AA698" s="11" t="s">
        <v>3229</v>
      </c>
    </row>
    <row r="699" spans="1:27">
      <c r="A699" s="11" t="s">
        <v>2468</v>
      </c>
      <c r="B699" s="11" t="s">
        <v>2469</v>
      </c>
      <c r="C699" s="11" t="s">
        <v>56</v>
      </c>
      <c r="D699" s="19">
        <v>54</v>
      </c>
      <c r="E699" s="11" t="s">
        <v>81</v>
      </c>
      <c r="F699" s="11" t="s">
        <v>82</v>
      </c>
      <c r="G699" s="11" t="s">
        <v>58</v>
      </c>
      <c r="H699" s="12">
        <v>46160</v>
      </c>
      <c r="I699" s="12" t="str">
        <f t="shared" si="11"/>
        <v>May</v>
      </c>
      <c r="J699" s="24">
        <v>0.32569444444444445</v>
      </c>
      <c r="K699" s="19">
        <v>8</v>
      </c>
      <c r="L699" s="12">
        <v>46160</v>
      </c>
      <c r="M699" s="24">
        <v>0.86736111111111114</v>
      </c>
      <c r="N699" s="11">
        <v>13</v>
      </c>
      <c r="O699" s="11" t="s">
        <v>34</v>
      </c>
      <c r="P699" s="11" t="s">
        <v>35</v>
      </c>
      <c r="Q699" s="11"/>
      <c r="R699" s="11" t="s">
        <v>36</v>
      </c>
      <c r="S699" s="19">
        <v>20</v>
      </c>
      <c r="T699" s="11" t="s">
        <v>49</v>
      </c>
      <c r="U699" s="11" t="s">
        <v>164</v>
      </c>
      <c r="V699" s="11">
        <v>1</v>
      </c>
      <c r="W699" s="11" t="s">
        <v>62</v>
      </c>
      <c r="X699" s="11" t="s">
        <v>3333</v>
      </c>
      <c r="Y699" s="11" t="s">
        <v>41</v>
      </c>
      <c r="Z699" s="11" t="s">
        <v>53</v>
      </c>
      <c r="AA699" s="11" t="s">
        <v>3234</v>
      </c>
    </row>
    <row r="700" spans="1:27">
      <c r="A700" s="11" t="s">
        <v>2471</v>
      </c>
      <c r="B700" s="11" t="s">
        <v>2472</v>
      </c>
      <c r="C700" s="11" t="s">
        <v>56</v>
      </c>
      <c r="D700" s="19">
        <v>63</v>
      </c>
      <c r="E700" s="11" t="s">
        <v>28</v>
      </c>
      <c r="F700" s="11" t="s">
        <v>29</v>
      </c>
      <c r="G700" s="11" t="s">
        <v>30</v>
      </c>
      <c r="H700" s="12">
        <v>46136</v>
      </c>
      <c r="I700" s="12" t="str">
        <f t="shared" si="11"/>
        <v>April</v>
      </c>
      <c r="J700" s="24">
        <v>0.50069444444444444</v>
      </c>
      <c r="K700" s="19">
        <v>5</v>
      </c>
      <c r="L700" s="12">
        <v>46136</v>
      </c>
      <c r="M700" s="24">
        <v>0.91736111111111107</v>
      </c>
      <c r="N700" s="11">
        <v>10</v>
      </c>
      <c r="O700" s="11" t="s">
        <v>34</v>
      </c>
      <c r="P700" s="11" t="s">
        <v>35</v>
      </c>
      <c r="Q700" s="11"/>
      <c r="R700" s="11" t="s">
        <v>36</v>
      </c>
      <c r="S700" s="19">
        <v>-20</v>
      </c>
      <c r="T700" s="11" t="s">
        <v>49</v>
      </c>
      <c r="U700" s="11" t="s">
        <v>164</v>
      </c>
      <c r="V700" s="11">
        <v>3</v>
      </c>
      <c r="W700" s="11" t="s">
        <v>39</v>
      </c>
      <c r="X700" s="11" t="s">
        <v>3325</v>
      </c>
      <c r="Y700" s="11" t="s">
        <v>109</v>
      </c>
      <c r="Z700" s="11" t="s">
        <v>53</v>
      </c>
      <c r="AA700" s="11" t="str">
        <f>IF(A700=" ", "Missing Value", " ")</f>
        <v xml:space="preserve"> </v>
      </c>
    </row>
    <row r="701" spans="1:27">
      <c r="A701" s="11" t="s">
        <v>2473</v>
      </c>
      <c r="B701" s="11" t="s">
        <v>2474</v>
      </c>
      <c r="C701" s="11" t="s">
        <v>56</v>
      </c>
      <c r="D701" s="19">
        <v>13</v>
      </c>
      <c r="E701" s="11" t="s">
        <v>57</v>
      </c>
      <c r="F701" s="11" t="s">
        <v>29</v>
      </c>
      <c r="G701" s="11" t="s">
        <v>58</v>
      </c>
      <c r="H701" s="12">
        <v>46129</v>
      </c>
      <c r="I701" s="12" t="str">
        <f t="shared" si="11"/>
        <v>April</v>
      </c>
      <c r="J701" s="24">
        <v>0.38472222222222224</v>
      </c>
      <c r="K701" s="19">
        <v>3</v>
      </c>
      <c r="L701" s="12">
        <v>46129</v>
      </c>
      <c r="M701" s="24">
        <v>0.55138888888888893</v>
      </c>
      <c r="N701" s="11">
        <v>4</v>
      </c>
      <c r="O701" s="11" t="s">
        <v>34</v>
      </c>
      <c r="P701" s="11" t="s">
        <v>35</v>
      </c>
      <c r="Q701" s="11"/>
      <c r="R701" s="11" t="s">
        <v>36</v>
      </c>
      <c r="S701" s="19">
        <v>15</v>
      </c>
      <c r="T701" s="11" t="s">
        <v>49</v>
      </c>
      <c r="U701" s="11" t="s">
        <v>164</v>
      </c>
      <c r="V701" s="11">
        <v>2</v>
      </c>
      <c r="W701" s="11" t="s">
        <v>39</v>
      </c>
      <c r="X701" s="11" t="s">
        <v>3333</v>
      </c>
      <c r="Y701" s="11" t="s">
        <v>52</v>
      </c>
      <c r="Z701" s="11" t="s">
        <v>71</v>
      </c>
      <c r="AA701" s="11"/>
    </row>
    <row r="702" spans="1:27">
      <c r="A702" s="11" t="s">
        <v>2476</v>
      </c>
      <c r="B702" s="11" t="s">
        <v>2477</v>
      </c>
      <c r="C702" s="11" t="s">
        <v>27</v>
      </c>
      <c r="D702" s="19">
        <v>60</v>
      </c>
      <c r="E702" s="11" t="s">
        <v>173</v>
      </c>
      <c r="F702" s="11" t="s">
        <v>29</v>
      </c>
      <c r="G702" s="11" t="s">
        <v>168</v>
      </c>
      <c r="H702" s="12">
        <v>46177</v>
      </c>
      <c r="I702" s="12" t="str">
        <f t="shared" si="11"/>
        <v>June</v>
      </c>
      <c r="J702" s="24">
        <v>0.61250000000000004</v>
      </c>
      <c r="K702" s="19">
        <v>4</v>
      </c>
      <c r="L702" s="12">
        <v>46177</v>
      </c>
      <c r="M702" s="24">
        <v>0.8208333333333333</v>
      </c>
      <c r="N702" s="11">
        <v>5</v>
      </c>
      <c r="O702" s="11" t="s">
        <v>34</v>
      </c>
      <c r="P702" s="11" t="s">
        <v>35</v>
      </c>
      <c r="Q702" s="11"/>
      <c r="R702" s="11" t="s">
        <v>36</v>
      </c>
      <c r="S702" s="19">
        <v>25</v>
      </c>
      <c r="T702" s="11" t="s">
        <v>49</v>
      </c>
      <c r="U702" s="11" t="s">
        <v>96</v>
      </c>
      <c r="V702" s="11">
        <v>3</v>
      </c>
      <c r="W702" s="11" t="s">
        <v>62</v>
      </c>
      <c r="X702" s="11" t="s">
        <v>51</v>
      </c>
      <c r="Y702" s="11" t="s">
        <v>41</v>
      </c>
      <c r="Z702" s="11" t="s">
        <v>42</v>
      </c>
      <c r="AA702" s="11" t="s">
        <v>3234</v>
      </c>
    </row>
    <row r="703" spans="1:27">
      <c r="A703" s="11" t="s">
        <v>2479</v>
      </c>
      <c r="B703" s="11" t="s">
        <v>2480</v>
      </c>
      <c r="C703" s="11" t="s">
        <v>56</v>
      </c>
      <c r="D703" s="19">
        <v>66</v>
      </c>
      <c r="E703" s="11" t="s">
        <v>81</v>
      </c>
      <c r="F703" s="11" t="s">
        <v>82</v>
      </c>
      <c r="G703" s="11" t="s">
        <v>93</v>
      </c>
      <c r="H703" s="12">
        <v>46180</v>
      </c>
      <c r="I703" s="12" t="str">
        <f t="shared" si="11"/>
        <v>June</v>
      </c>
      <c r="J703" s="24">
        <v>0.4201388888888889</v>
      </c>
      <c r="K703" s="19">
        <v>8</v>
      </c>
      <c r="L703" s="12">
        <v>46180</v>
      </c>
      <c r="M703" s="24">
        <v>0.96180555555555558</v>
      </c>
      <c r="N703" s="11">
        <v>13</v>
      </c>
      <c r="O703" s="11" t="s">
        <v>34</v>
      </c>
      <c r="P703" s="11" t="s">
        <v>35</v>
      </c>
      <c r="Q703" s="11"/>
      <c r="R703" s="11" t="s">
        <v>36</v>
      </c>
      <c r="S703" s="19">
        <v>20</v>
      </c>
      <c r="T703" s="11" t="s">
        <v>37</v>
      </c>
      <c r="U703" s="11" t="s">
        <v>164</v>
      </c>
      <c r="V703" s="11">
        <v>2</v>
      </c>
      <c r="W703" s="11" t="s">
        <v>70</v>
      </c>
      <c r="X703" s="11" t="s">
        <v>51</v>
      </c>
      <c r="Y703" s="11" t="s">
        <v>109</v>
      </c>
      <c r="Z703" s="11" t="s">
        <v>53</v>
      </c>
      <c r="AA703" s="11" t="s">
        <v>3234</v>
      </c>
    </row>
    <row r="704" spans="1:27">
      <c r="A704" s="11" t="s">
        <v>2482</v>
      </c>
      <c r="B704" s="11" t="s">
        <v>2483</v>
      </c>
      <c r="C704" s="11" t="s">
        <v>27</v>
      </c>
      <c r="D704" s="19">
        <v>89</v>
      </c>
      <c r="E704" s="11" t="s">
        <v>57</v>
      </c>
      <c r="F704" s="11" t="s">
        <v>29</v>
      </c>
      <c r="G704" s="11" t="s">
        <v>83</v>
      </c>
      <c r="H704" s="12">
        <v>46153</v>
      </c>
      <c r="I704" s="12" t="str">
        <f t="shared" si="11"/>
        <v>May</v>
      </c>
      <c r="J704" s="24">
        <v>0.45208333333333334</v>
      </c>
      <c r="K704" s="19">
        <v>3</v>
      </c>
      <c r="L704" s="12">
        <v>46153</v>
      </c>
      <c r="M704" s="24">
        <v>0.74375000000000002</v>
      </c>
      <c r="N704" s="11">
        <v>7</v>
      </c>
      <c r="O704" s="11" t="s">
        <v>34</v>
      </c>
      <c r="P704" s="11" t="s">
        <v>35</v>
      </c>
      <c r="Q704" s="11"/>
      <c r="R704" s="11" t="s">
        <v>36</v>
      </c>
      <c r="S704" s="19">
        <v>15</v>
      </c>
      <c r="T704" s="11" t="s">
        <v>37</v>
      </c>
      <c r="U704" s="11" t="s">
        <v>164</v>
      </c>
      <c r="V704" s="11">
        <v>5</v>
      </c>
      <c r="W704" s="11" t="s">
        <v>89</v>
      </c>
      <c r="X704" s="11" t="s">
        <v>3334</v>
      </c>
      <c r="Y704" s="11" t="s">
        <v>41</v>
      </c>
      <c r="Z704" s="11" t="s">
        <v>53</v>
      </c>
      <c r="AA704" s="11" t="s">
        <v>3234</v>
      </c>
    </row>
    <row r="705" spans="1:27">
      <c r="A705" s="11" t="s">
        <v>2484</v>
      </c>
      <c r="B705" s="11" t="s">
        <v>2485</v>
      </c>
      <c r="C705" s="11" t="s">
        <v>56</v>
      </c>
      <c r="D705" s="19">
        <v>25</v>
      </c>
      <c r="E705" s="11" t="s">
        <v>149</v>
      </c>
      <c r="F705" s="11" t="s">
        <v>29</v>
      </c>
      <c r="G705" s="11" t="s">
        <v>30</v>
      </c>
      <c r="H705" s="12">
        <v>46186</v>
      </c>
      <c r="I705" s="12" t="str">
        <f t="shared" si="11"/>
        <v>June</v>
      </c>
      <c r="J705" s="24">
        <v>0.3298611111111111</v>
      </c>
      <c r="K705" s="19">
        <v>6</v>
      </c>
      <c r="L705" s="12">
        <v>46186</v>
      </c>
      <c r="M705" s="24">
        <v>0.87152777777777779</v>
      </c>
      <c r="N705" s="11">
        <v>13</v>
      </c>
      <c r="O705" s="11" t="s">
        <v>34</v>
      </c>
      <c r="P705" s="11" t="s">
        <v>35</v>
      </c>
      <c r="Q705" s="11"/>
      <c r="R705" s="11" t="s">
        <v>36</v>
      </c>
      <c r="S705" s="19">
        <v>40</v>
      </c>
      <c r="T705" s="11" t="s">
        <v>49</v>
      </c>
      <c r="U705" s="11" t="s">
        <v>38</v>
      </c>
      <c r="V705" s="11">
        <v>5</v>
      </c>
      <c r="W705" s="11" t="s">
        <v>62</v>
      </c>
      <c r="X705" s="11" t="s">
        <v>51</v>
      </c>
      <c r="Y705" s="11" t="s">
        <v>52</v>
      </c>
      <c r="Z705" s="11" t="s">
        <v>42</v>
      </c>
      <c r="AA705" s="11" t="str">
        <f>IF(A705=" ", "Missing Value", " ")</f>
        <v xml:space="preserve"> </v>
      </c>
    </row>
    <row r="706" spans="1:27">
      <c r="A706" s="11" t="s">
        <v>2486</v>
      </c>
      <c r="B706" s="11" t="s">
        <v>2487</v>
      </c>
      <c r="C706" s="11" t="s">
        <v>56</v>
      </c>
      <c r="D706" s="19">
        <v>39</v>
      </c>
      <c r="E706" s="11" t="s">
        <v>28</v>
      </c>
      <c r="F706" s="11" t="s">
        <v>29</v>
      </c>
      <c r="G706" s="11" t="s">
        <v>30</v>
      </c>
      <c r="H706" s="12">
        <v>46058</v>
      </c>
      <c r="I706" s="12" t="str">
        <f t="shared" ref="I706:I769" si="12">TEXT(H706, "mmmm")</f>
        <v>February</v>
      </c>
      <c r="J706" s="24">
        <v>0.65972222222222221</v>
      </c>
      <c r="K706" s="19">
        <v>5</v>
      </c>
      <c r="L706" s="12">
        <v>46059</v>
      </c>
      <c r="M706" s="24">
        <v>0.11805555555555555</v>
      </c>
      <c r="N706" s="11">
        <v>11</v>
      </c>
      <c r="O706" s="11" t="s">
        <v>34</v>
      </c>
      <c r="P706" s="11" t="s">
        <v>35</v>
      </c>
      <c r="Q706" s="11"/>
      <c r="R706" s="11" t="s">
        <v>36</v>
      </c>
      <c r="S706" s="19">
        <v>35</v>
      </c>
      <c r="T706" s="11" t="s">
        <v>49</v>
      </c>
      <c r="U706" s="11" t="s">
        <v>96</v>
      </c>
      <c r="V706" s="11">
        <v>2</v>
      </c>
      <c r="W706" s="11" t="s">
        <v>89</v>
      </c>
      <c r="X706" s="11" t="s">
        <v>3334</v>
      </c>
      <c r="Y706" s="11" t="s">
        <v>41</v>
      </c>
      <c r="Z706" s="11" t="s">
        <v>42</v>
      </c>
      <c r="AA706" s="11" t="str">
        <f>IF(A706=" ", "Missing Value", " ")</f>
        <v xml:space="preserve"> </v>
      </c>
    </row>
    <row r="707" spans="1:27">
      <c r="A707" s="11" t="s">
        <v>2489</v>
      </c>
      <c r="B707" s="11" t="s">
        <v>2490</v>
      </c>
      <c r="C707" s="11" t="s">
        <v>56</v>
      </c>
      <c r="D707" s="19">
        <v>22</v>
      </c>
      <c r="E707" s="11" t="s">
        <v>149</v>
      </c>
      <c r="F707" s="11" t="s">
        <v>29</v>
      </c>
      <c r="G707" s="11" t="s">
        <v>58</v>
      </c>
      <c r="H707" s="12">
        <v>46063</v>
      </c>
      <c r="I707" s="12" t="str">
        <f t="shared" si="12"/>
        <v>February</v>
      </c>
      <c r="J707" s="24">
        <v>0.42986111111111114</v>
      </c>
      <c r="K707" s="19">
        <v>6</v>
      </c>
      <c r="L707" s="12">
        <v>46063</v>
      </c>
      <c r="M707" s="24">
        <v>0.97152777777777777</v>
      </c>
      <c r="N707" s="11">
        <v>13</v>
      </c>
      <c r="O707" s="11" t="s">
        <v>34</v>
      </c>
      <c r="P707" s="11" t="s">
        <v>270</v>
      </c>
      <c r="Q707" s="11" t="s">
        <v>391</v>
      </c>
      <c r="R707" s="11" t="s">
        <v>36</v>
      </c>
      <c r="S707" s="19">
        <v>40</v>
      </c>
      <c r="T707" s="11" t="s">
        <v>49</v>
      </c>
      <c r="U707" s="11" t="s">
        <v>96</v>
      </c>
      <c r="V707" s="11">
        <v>1</v>
      </c>
      <c r="W707" s="11" t="s">
        <v>39</v>
      </c>
      <c r="X707" s="11" t="s">
        <v>3334</v>
      </c>
      <c r="Y707" s="11" t="s">
        <v>109</v>
      </c>
      <c r="Z707" s="11" t="s">
        <v>71</v>
      </c>
      <c r="AA707" s="11" t="s">
        <v>3254</v>
      </c>
    </row>
    <row r="708" spans="1:27">
      <c r="A708" s="11" t="s">
        <v>2493</v>
      </c>
      <c r="B708" s="11" t="s">
        <v>2494</v>
      </c>
      <c r="C708" s="11" t="s">
        <v>27</v>
      </c>
      <c r="D708" s="19">
        <v>14</v>
      </c>
      <c r="E708" s="11" t="s">
        <v>92</v>
      </c>
      <c r="F708" s="11" t="s">
        <v>29</v>
      </c>
      <c r="G708" s="11" t="s">
        <v>93</v>
      </c>
      <c r="H708" s="12">
        <v>46197</v>
      </c>
      <c r="I708" s="12" t="str">
        <f t="shared" si="12"/>
        <v>June</v>
      </c>
      <c r="J708" s="24">
        <v>0.43541666666666667</v>
      </c>
      <c r="K708" s="19">
        <v>24</v>
      </c>
      <c r="L708" s="12">
        <v>46198</v>
      </c>
      <c r="M708" s="24">
        <v>0.7270833333333333</v>
      </c>
      <c r="N708" s="11">
        <v>31</v>
      </c>
      <c r="O708" s="11" t="s">
        <v>34</v>
      </c>
      <c r="P708" s="11" t="s">
        <v>35</v>
      </c>
      <c r="Q708" s="11"/>
      <c r="R708" s="11" t="s">
        <v>36</v>
      </c>
      <c r="S708" s="19">
        <v>50</v>
      </c>
      <c r="T708" s="11" t="s">
        <v>37</v>
      </c>
      <c r="U708" s="11" t="s">
        <v>96</v>
      </c>
      <c r="V708" s="11">
        <v>1</v>
      </c>
      <c r="W708" s="11" t="s">
        <v>89</v>
      </c>
      <c r="X708" s="11" t="s">
        <v>3325</v>
      </c>
      <c r="Y708" s="11" t="s">
        <v>52</v>
      </c>
      <c r="Z708" s="11" t="s">
        <v>53</v>
      </c>
      <c r="AA708" s="11" t="s">
        <v>3233</v>
      </c>
    </row>
    <row r="709" spans="1:27">
      <c r="A709" s="11" t="s">
        <v>2496</v>
      </c>
      <c r="B709" s="11" t="s">
        <v>2497</v>
      </c>
      <c r="C709" s="11" t="s">
        <v>56</v>
      </c>
      <c r="D709" s="19">
        <v>69</v>
      </c>
      <c r="E709" s="11" t="s">
        <v>57</v>
      </c>
      <c r="F709" s="11" t="s">
        <v>29</v>
      </c>
      <c r="G709" s="11" t="s">
        <v>30</v>
      </c>
      <c r="H709" s="12">
        <v>46067</v>
      </c>
      <c r="I709" s="12" t="str">
        <f t="shared" si="12"/>
        <v>February</v>
      </c>
      <c r="J709" s="24">
        <v>0.6958333333333333</v>
      </c>
      <c r="K709" s="19">
        <v>3</v>
      </c>
      <c r="L709" s="12">
        <v>46067</v>
      </c>
      <c r="M709" s="24">
        <v>0.86250000000000004</v>
      </c>
      <c r="N709" s="11">
        <v>4</v>
      </c>
      <c r="O709" s="11" t="s">
        <v>34</v>
      </c>
      <c r="P709" s="11" t="s">
        <v>35</v>
      </c>
      <c r="Q709" s="11"/>
      <c r="R709" s="11" t="s">
        <v>36</v>
      </c>
      <c r="S709" s="19">
        <v>15</v>
      </c>
      <c r="T709" s="11" t="s">
        <v>49</v>
      </c>
      <c r="U709" s="11" t="s">
        <v>96</v>
      </c>
      <c r="V709" s="11">
        <v>1</v>
      </c>
      <c r="W709" s="11" t="s">
        <v>89</v>
      </c>
      <c r="X709" s="11" t="s">
        <v>3334</v>
      </c>
      <c r="Y709" s="11" t="s">
        <v>41</v>
      </c>
      <c r="Z709" s="11" t="s">
        <v>53</v>
      </c>
      <c r="AA709" s="11" t="s">
        <v>3234</v>
      </c>
    </row>
    <row r="710" spans="1:27">
      <c r="A710" s="11" t="s">
        <v>2499</v>
      </c>
      <c r="B710" s="11" t="s">
        <v>2500</v>
      </c>
      <c r="C710" s="11" t="s">
        <v>27</v>
      </c>
      <c r="D710" s="19">
        <v>19</v>
      </c>
      <c r="E710" s="11" t="s">
        <v>149</v>
      </c>
      <c r="F710" s="11" t="s">
        <v>29</v>
      </c>
      <c r="G710" s="11" t="s">
        <v>58</v>
      </c>
      <c r="H710" s="12">
        <v>46094</v>
      </c>
      <c r="I710" s="12" t="str">
        <f t="shared" si="12"/>
        <v>March</v>
      </c>
      <c r="J710" s="24">
        <v>0.64375000000000004</v>
      </c>
      <c r="K710" s="19">
        <v>6</v>
      </c>
      <c r="L710" s="12">
        <v>46095</v>
      </c>
      <c r="M710" s="24">
        <v>1.8749999999999999E-2</v>
      </c>
      <c r="N710" s="11">
        <v>9</v>
      </c>
      <c r="O710" s="11" t="s">
        <v>34</v>
      </c>
      <c r="P710" s="11" t="s">
        <v>35</v>
      </c>
      <c r="Q710" s="11"/>
      <c r="R710" s="11" t="s">
        <v>36</v>
      </c>
      <c r="S710" s="19">
        <v>40</v>
      </c>
      <c r="T710" s="11" t="s">
        <v>37</v>
      </c>
      <c r="U710" s="11" t="s">
        <v>164</v>
      </c>
      <c r="V710" s="11">
        <v>4</v>
      </c>
      <c r="W710" s="11" t="s">
        <v>89</v>
      </c>
      <c r="X710" s="11" t="s">
        <v>51</v>
      </c>
      <c r="Y710" s="11" t="s">
        <v>52</v>
      </c>
      <c r="Z710" s="11" t="s">
        <v>42</v>
      </c>
      <c r="AA710" s="11" t="s">
        <v>3234</v>
      </c>
    </row>
    <row r="711" spans="1:27">
      <c r="A711" s="11" t="s">
        <v>2501</v>
      </c>
      <c r="B711" s="11" t="s">
        <v>2502</v>
      </c>
      <c r="C711" s="11" t="s">
        <v>56</v>
      </c>
      <c r="D711" s="19">
        <v>48</v>
      </c>
      <c r="E711" s="11" t="s">
        <v>28</v>
      </c>
      <c r="F711" s="11" t="s">
        <v>29</v>
      </c>
      <c r="G711" s="11" t="s">
        <v>168</v>
      </c>
      <c r="H711" s="12">
        <v>46103</v>
      </c>
      <c r="I711" s="12" t="str">
        <f t="shared" si="12"/>
        <v>March</v>
      </c>
      <c r="J711" s="24">
        <v>0.43333333333333335</v>
      </c>
      <c r="K711" s="19">
        <v>5</v>
      </c>
      <c r="L711" s="12">
        <v>46103</v>
      </c>
      <c r="M711" s="24">
        <v>0.64166666666666672</v>
      </c>
      <c r="N711" s="11">
        <v>5</v>
      </c>
      <c r="O711" s="11" t="s">
        <v>68</v>
      </c>
      <c r="P711" s="11" t="s">
        <v>35</v>
      </c>
      <c r="Q711" s="11"/>
      <c r="R711" s="11" t="s">
        <v>36</v>
      </c>
      <c r="S711" s="19">
        <v>35</v>
      </c>
      <c r="T711" s="11" t="s">
        <v>37</v>
      </c>
      <c r="U711" s="11" t="s">
        <v>38</v>
      </c>
      <c r="V711" s="11">
        <v>3</v>
      </c>
      <c r="W711" s="11" t="s">
        <v>39</v>
      </c>
      <c r="X711" s="11" t="s">
        <v>3325</v>
      </c>
      <c r="Y711" s="11" t="s">
        <v>52</v>
      </c>
      <c r="Z711" s="11" t="s">
        <v>71</v>
      </c>
      <c r="AA711" s="11" t="s">
        <v>3234</v>
      </c>
    </row>
    <row r="712" spans="1:27">
      <c r="A712" s="11" t="s">
        <v>2503</v>
      </c>
      <c r="B712" s="11" t="s">
        <v>2504</v>
      </c>
      <c r="C712" s="11" t="s">
        <v>27</v>
      </c>
      <c r="D712" s="19">
        <v>2</v>
      </c>
      <c r="E712" s="11" t="s">
        <v>149</v>
      </c>
      <c r="F712" s="11" t="s">
        <v>29</v>
      </c>
      <c r="G712" s="11" t="s">
        <v>30</v>
      </c>
      <c r="H712" s="12">
        <v>46184</v>
      </c>
      <c r="I712" s="12" t="str">
        <f t="shared" si="12"/>
        <v>June</v>
      </c>
      <c r="J712" s="24">
        <v>0.40694444444444444</v>
      </c>
      <c r="K712" s="19">
        <v>6</v>
      </c>
      <c r="L712" s="12">
        <v>46184</v>
      </c>
      <c r="M712" s="24">
        <v>0.78194444444444444</v>
      </c>
      <c r="N712" s="11">
        <v>9</v>
      </c>
      <c r="O712" s="11" t="s">
        <v>34</v>
      </c>
      <c r="P712" s="11" t="s">
        <v>35</v>
      </c>
      <c r="Q712" s="11"/>
      <c r="R712" s="11" t="s">
        <v>36</v>
      </c>
      <c r="S712" s="19">
        <v>40</v>
      </c>
      <c r="T712" s="11" t="s">
        <v>37</v>
      </c>
      <c r="U712" s="11" t="s">
        <v>164</v>
      </c>
      <c r="V712" s="11">
        <v>4</v>
      </c>
      <c r="W712" s="11" t="s">
        <v>62</v>
      </c>
      <c r="X712" s="11" t="s">
        <v>3325</v>
      </c>
      <c r="Y712" s="11" t="s">
        <v>52</v>
      </c>
      <c r="Z712" s="11" t="s">
        <v>53</v>
      </c>
      <c r="AA712" s="11" t="str">
        <f>IF(A712=" ", "Missing Value", " ")</f>
        <v xml:space="preserve"> </v>
      </c>
    </row>
    <row r="713" spans="1:27">
      <c r="A713" s="11" t="s">
        <v>2505</v>
      </c>
      <c r="B713" s="11" t="s">
        <v>2506</v>
      </c>
      <c r="C713" s="11" t="s">
        <v>56</v>
      </c>
      <c r="D713" s="19">
        <v>50</v>
      </c>
      <c r="E713" s="11" t="s">
        <v>149</v>
      </c>
      <c r="F713" s="11" t="s">
        <v>29</v>
      </c>
      <c r="G713" s="11" t="s">
        <v>30</v>
      </c>
      <c r="H713" s="12">
        <v>46026</v>
      </c>
      <c r="I713" s="12" t="str">
        <f t="shared" si="12"/>
        <v>January</v>
      </c>
      <c r="J713" s="24">
        <v>0.5444444444444444</v>
      </c>
      <c r="K713" s="19">
        <v>6</v>
      </c>
      <c r="L713" s="12">
        <v>46026</v>
      </c>
      <c r="M713" s="24">
        <v>0.75277777777777777</v>
      </c>
      <c r="N713" s="11">
        <v>5</v>
      </c>
      <c r="O713" s="11" t="s">
        <v>68</v>
      </c>
      <c r="P713" s="11" t="s">
        <v>35</v>
      </c>
      <c r="Q713" s="11"/>
      <c r="R713" s="11" t="s">
        <v>36</v>
      </c>
      <c r="S713" s="19">
        <v>40</v>
      </c>
      <c r="T713" s="11" t="s">
        <v>49</v>
      </c>
      <c r="U713" s="11" t="s">
        <v>96</v>
      </c>
      <c r="V713" s="11">
        <v>5</v>
      </c>
      <c r="W713" s="11" t="s">
        <v>70</v>
      </c>
      <c r="X713" s="11" t="s">
        <v>51</v>
      </c>
      <c r="Y713" s="11" t="s">
        <v>109</v>
      </c>
      <c r="Z713" s="11" t="s">
        <v>53</v>
      </c>
      <c r="AA713" s="11" t="str">
        <f>IF(A713=" ", "Missing Value", " ")</f>
        <v xml:space="preserve"> </v>
      </c>
    </row>
    <row r="714" spans="1:27">
      <c r="A714" s="11" t="s">
        <v>2508</v>
      </c>
      <c r="B714" s="11" t="s">
        <v>2509</v>
      </c>
      <c r="C714" s="11" t="s">
        <v>27</v>
      </c>
      <c r="D714" s="19">
        <v>72</v>
      </c>
      <c r="E714" s="11" t="s">
        <v>173</v>
      </c>
      <c r="F714" s="11" t="s">
        <v>29</v>
      </c>
      <c r="G714" s="11" t="s">
        <v>168</v>
      </c>
      <c r="H714" s="12">
        <v>46082</v>
      </c>
      <c r="I714" s="12" t="str">
        <f t="shared" si="12"/>
        <v>March</v>
      </c>
      <c r="J714" s="24">
        <v>0.58819444444444446</v>
      </c>
      <c r="K714" s="19">
        <v>4</v>
      </c>
      <c r="L714" s="12">
        <v>46082</v>
      </c>
      <c r="M714" s="24">
        <v>0.96319444444444446</v>
      </c>
      <c r="N714" s="11">
        <v>9</v>
      </c>
      <c r="O714" s="11" t="s">
        <v>34</v>
      </c>
      <c r="P714" s="11" t="s">
        <v>35</v>
      </c>
      <c r="Q714" s="11"/>
      <c r="R714" s="11" t="s">
        <v>36</v>
      </c>
      <c r="S714" s="19">
        <v>25</v>
      </c>
      <c r="T714" s="11" t="s">
        <v>37</v>
      </c>
      <c r="U714" s="11" t="s">
        <v>96</v>
      </c>
      <c r="V714" s="11">
        <v>2</v>
      </c>
      <c r="W714" s="11" t="s">
        <v>70</v>
      </c>
      <c r="X714" s="11" t="s">
        <v>51</v>
      </c>
      <c r="Y714" s="11" t="s">
        <v>41</v>
      </c>
      <c r="Z714" s="11" t="s">
        <v>71</v>
      </c>
      <c r="AA714" s="11" t="s">
        <v>3234</v>
      </c>
    </row>
    <row r="715" spans="1:27">
      <c r="A715" s="11" t="s">
        <v>2510</v>
      </c>
      <c r="B715" s="11" t="s">
        <v>2511</v>
      </c>
      <c r="C715" s="11" t="s">
        <v>27</v>
      </c>
      <c r="D715" s="19">
        <v>48</v>
      </c>
      <c r="E715" s="11" t="s">
        <v>92</v>
      </c>
      <c r="F715" s="11" t="s">
        <v>29</v>
      </c>
      <c r="G715" s="11" t="s">
        <v>83</v>
      </c>
      <c r="H715" s="12">
        <v>46063</v>
      </c>
      <c r="I715" s="12" t="str">
        <f t="shared" si="12"/>
        <v>February</v>
      </c>
      <c r="J715" s="24">
        <v>0.43819444444444444</v>
      </c>
      <c r="K715" s="19">
        <v>24</v>
      </c>
      <c r="L715" s="12">
        <v>46064</v>
      </c>
      <c r="M715" s="24">
        <v>0.77152777777777781</v>
      </c>
      <c r="N715" s="11">
        <v>32</v>
      </c>
      <c r="O715" s="11" t="s">
        <v>34</v>
      </c>
      <c r="P715" s="11" t="s">
        <v>35</v>
      </c>
      <c r="Q715" s="11"/>
      <c r="R715" s="11" t="s">
        <v>36</v>
      </c>
      <c r="S715" s="19">
        <v>50</v>
      </c>
      <c r="T715" s="11" t="s">
        <v>49</v>
      </c>
      <c r="U715" s="11" t="s">
        <v>38</v>
      </c>
      <c r="V715" s="11">
        <v>5</v>
      </c>
      <c r="W715" s="11" t="s">
        <v>62</v>
      </c>
      <c r="X715" s="11" t="s">
        <v>3334</v>
      </c>
      <c r="Y715" s="11" t="s">
        <v>109</v>
      </c>
      <c r="Z715" s="11" t="s">
        <v>53</v>
      </c>
      <c r="AA715" s="11" t="s">
        <v>3234</v>
      </c>
    </row>
    <row r="716" spans="1:27">
      <c r="A716" s="11" t="s">
        <v>2512</v>
      </c>
      <c r="B716" s="11" t="s">
        <v>2513</v>
      </c>
      <c r="C716" s="11" t="s">
        <v>27</v>
      </c>
      <c r="D716" s="19">
        <v>14</v>
      </c>
      <c r="E716" s="11" t="s">
        <v>81</v>
      </c>
      <c r="F716" s="11" t="s">
        <v>82</v>
      </c>
      <c r="G716" s="11" t="s">
        <v>83</v>
      </c>
      <c r="H716" s="12">
        <v>46201</v>
      </c>
      <c r="I716" s="12" t="str">
        <f t="shared" si="12"/>
        <v>June</v>
      </c>
      <c r="J716" s="24">
        <v>0.375</v>
      </c>
      <c r="K716" s="19">
        <v>8</v>
      </c>
      <c r="L716" s="12">
        <v>46201</v>
      </c>
      <c r="M716" s="24">
        <v>0.83333333333333337</v>
      </c>
      <c r="N716" s="11">
        <v>11</v>
      </c>
      <c r="O716" s="11" t="s">
        <v>34</v>
      </c>
      <c r="P716" s="11" t="s">
        <v>35</v>
      </c>
      <c r="Q716" s="11"/>
      <c r="R716" s="11" t="s">
        <v>36</v>
      </c>
      <c r="S716" s="19">
        <v>20</v>
      </c>
      <c r="T716" s="11" t="s">
        <v>37</v>
      </c>
      <c r="U716" s="11" t="s">
        <v>164</v>
      </c>
      <c r="V716" s="11">
        <v>5</v>
      </c>
      <c r="W716" s="11" t="s">
        <v>70</v>
      </c>
      <c r="X716" s="11" t="s">
        <v>3325</v>
      </c>
      <c r="Y716" s="11" t="s">
        <v>52</v>
      </c>
      <c r="Z716" s="11" t="s">
        <v>71</v>
      </c>
      <c r="AA716" s="11" t="str">
        <f>IF(A716=" ", "Missing Value", " ")</f>
        <v xml:space="preserve"> </v>
      </c>
    </row>
    <row r="717" spans="1:27">
      <c r="A717" s="11" t="s">
        <v>2514</v>
      </c>
      <c r="B717" s="11" t="s">
        <v>2515</v>
      </c>
      <c r="C717" s="11" t="s">
        <v>27</v>
      </c>
      <c r="D717" s="19">
        <v>30</v>
      </c>
      <c r="E717" s="11" t="s">
        <v>28</v>
      </c>
      <c r="F717" s="11" t="s">
        <v>29</v>
      </c>
      <c r="G717" s="11" t="s">
        <v>30</v>
      </c>
      <c r="H717" s="12">
        <v>46108</v>
      </c>
      <c r="I717" s="12" t="str">
        <f t="shared" si="12"/>
        <v>March</v>
      </c>
      <c r="J717" s="24">
        <v>0.70208333333333328</v>
      </c>
      <c r="K717" s="19">
        <v>5</v>
      </c>
      <c r="L717" s="12">
        <v>46109</v>
      </c>
      <c r="M717" s="24">
        <v>7.7083333333333337E-2</v>
      </c>
      <c r="N717" s="11">
        <v>9</v>
      </c>
      <c r="O717" s="11" t="s">
        <v>34</v>
      </c>
      <c r="P717" s="11" t="s">
        <v>35</v>
      </c>
      <c r="Q717" s="11"/>
      <c r="R717" s="11" t="s">
        <v>36</v>
      </c>
      <c r="S717" s="19">
        <v>35</v>
      </c>
      <c r="T717" s="11" t="s">
        <v>49</v>
      </c>
      <c r="U717" s="11" t="s">
        <v>164</v>
      </c>
      <c r="V717" s="11">
        <v>5</v>
      </c>
      <c r="W717" s="11" t="s">
        <v>62</v>
      </c>
      <c r="X717" s="11" t="s">
        <v>3325</v>
      </c>
      <c r="Y717" s="11" t="s">
        <v>41</v>
      </c>
      <c r="Z717" s="11" t="s">
        <v>71</v>
      </c>
      <c r="AA717" s="11" t="str">
        <f>IF(A717=" ", "Missing Value", " ")</f>
        <v xml:space="preserve"> </v>
      </c>
    </row>
    <row r="718" spans="1:27">
      <c r="A718" s="11" t="s">
        <v>2516</v>
      </c>
      <c r="B718" s="11" t="s">
        <v>2517</v>
      </c>
      <c r="C718" s="11" t="s">
        <v>27</v>
      </c>
      <c r="D718" s="19">
        <v>55</v>
      </c>
      <c r="E718" s="11" t="s">
        <v>92</v>
      </c>
      <c r="F718" s="11" t="s">
        <v>29</v>
      </c>
      <c r="G718" s="11" t="s">
        <v>93</v>
      </c>
      <c r="H718" s="12">
        <v>46184</v>
      </c>
      <c r="I718" s="12" t="str">
        <f t="shared" si="12"/>
        <v>June</v>
      </c>
      <c r="J718" s="24">
        <v>0.64027777777777772</v>
      </c>
      <c r="K718" s="19">
        <v>24</v>
      </c>
      <c r="L718" s="12">
        <v>46185</v>
      </c>
      <c r="M718" s="24">
        <v>0.97361111111111109</v>
      </c>
      <c r="N718" s="11">
        <v>32</v>
      </c>
      <c r="O718" s="11" t="s">
        <v>34</v>
      </c>
      <c r="P718" s="11" t="s">
        <v>35</v>
      </c>
      <c r="Q718" s="11"/>
      <c r="R718" s="11" t="s">
        <v>36</v>
      </c>
      <c r="S718" s="19">
        <v>50</v>
      </c>
      <c r="T718" s="11" t="s">
        <v>49</v>
      </c>
      <c r="U718" s="11" t="s">
        <v>38</v>
      </c>
      <c r="V718" s="11">
        <v>5</v>
      </c>
      <c r="W718" s="11" t="s">
        <v>89</v>
      </c>
      <c r="X718" s="11" t="s">
        <v>51</v>
      </c>
      <c r="Y718" s="11" t="s">
        <v>41</v>
      </c>
      <c r="Z718" s="11" t="s">
        <v>53</v>
      </c>
      <c r="AA718" s="11" t="str">
        <f>IF(A718=" ", "Missing Value", " ")</f>
        <v xml:space="preserve"> </v>
      </c>
    </row>
    <row r="719" spans="1:27">
      <c r="A719" s="11" t="s">
        <v>2518</v>
      </c>
      <c r="B719" s="11" t="s">
        <v>2519</v>
      </c>
      <c r="C719" s="11" t="s">
        <v>56</v>
      </c>
      <c r="D719" s="19">
        <v>66</v>
      </c>
      <c r="E719" s="11" t="s">
        <v>81</v>
      </c>
      <c r="F719" s="11" t="s">
        <v>82</v>
      </c>
      <c r="G719" s="11" t="s">
        <v>168</v>
      </c>
      <c r="H719" s="12">
        <v>46121</v>
      </c>
      <c r="I719" s="12" t="str">
        <f t="shared" si="12"/>
        <v>April</v>
      </c>
      <c r="J719" s="24">
        <v>0.39444444444444443</v>
      </c>
      <c r="K719" s="19">
        <v>8</v>
      </c>
      <c r="L719" s="12">
        <v>46121</v>
      </c>
      <c r="M719" s="24">
        <v>0.89444444444444449</v>
      </c>
      <c r="N719" s="11">
        <v>12</v>
      </c>
      <c r="O719" s="11" t="s">
        <v>34</v>
      </c>
      <c r="P719" s="11" t="s">
        <v>35</v>
      </c>
      <c r="Q719" s="11"/>
      <c r="R719" s="11" t="s">
        <v>36</v>
      </c>
      <c r="S719" s="19">
        <v>20</v>
      </c>
      <c r="T719" s="11" t="s">
        <v>49</v>
      </c>
      <c r="U719" s="11" t="s">
        <v>164</v>
      </c>
      <c r="V719" s="11">
        <v>3</v>
      </c>
      <c r="W719" s="11" t="s">
        <v>70</v>
      </c>
      <c r="X719" s="11" t="s">
        <v>3334</v>
      </c>
      <c r="Y719" s="11" t="s">
        <v>52</v>
      </c>
      <c r="Z719" s="11" t="s">
        <v>53</v>
      </c>
      <c r="AA719" s="11" t="s">
        <v>3234</v>
      </c>
    </row>
    <row r="720" spans="1:27">
      <c r="A720" s="11" t="s">
        <v>2521</v>
      </c>
      <c r="B720" s="11" t="s">
        <v>2522</v>
      </c>
      <c r="C720" s="11" t="s">
        <v>27</v>
      </c>
      <c r="D720" s="19">
        <v>11</v>
      </c>
      <c r="E720" s="11" t="s">
        <v>28</v>
      </c>
      <c r="F720" s="11" t="s">
        <v>29</v>
      </c>
      <c r="G720" s="11" t="s">
        <v>83</v>
      </c>
      <c r="H720" s="12">
        <v>46051</v>
      </c>
      <c r="I720" s="12" t="str">
        <f t="shared" si="12"/>
        <v>January</v>
      </c>
      <c r="J720" s="24">
        <v>0.70138888888888884</v>
      </c>
      <c r="K720" s="19">
        <v>5</v>
      </c>
      <c r="L720" s="12">
        <v>46052</v>
      </c>
      <c r="M720" s="24">
        <v>0.24305555555555555</v>
      </c>
      <c r="N720" s="11">
        <v>13</v>
      </c>
      <c r="O720" s="11" t="s">
        <v>34</v>
      </c>
      <c r="P720" s="11" t="s">
        <v>35</v>
      </c>
      <c r="Q720" s="11"/>
      <c r="R720" s="11" t="s">
        <v>36</v>
      </c>
      <c r="S720" s="19">
        <v>35</v>
      </c>
      <c r="T720" s="11" t="s">
        <v>49</v>
      </c>
      <c r="U720" s="11" t="s">
        <v>96</v>
      </c>
      <c r="V720" s="11">
        <v>2</v>
      </c>
      <c r="W720" s="11" t="s">
        <v>62</v>
      </c>
      <c r="X720" s="11" t="s">
        <v>3334</v>
      </c>
      <c r="Y720" s="11" t="s">
        <v>109</v>
      </c>
      <c r="Z720" s="11" t="s">
        <v>53</v>
      </c>
      <c r="AA720" s="11" t="s">
        <v>3234</v>
      </c>
    </row>
    <row r="721" spans="1:27">
      <c r="A721" s="11" t="s">
        <v>2524</v>
      </c>
      <c r="B721" s="11" t="s">
        <v>2525</v>
      </c>
      <c r="C721" s="11" t="s">
        <v>56</v>
      </c>
      <c r="D721" s="19">
        <v>26</v>
      </c>
      <c r="E721" s="11" t="s">
        <v>57</v>
      </c>
      <c r="F721" s="11" t="s">
        <v>29</v>
      </c>
      <c r="G721" s="11" t="s">
        <v>58</v>
      </c>
      <c r="H721" s="12">
        <v>46056</v>
      </c>
      <c r="I721" s="12" t="str">
        <f t="shared" si="12"/>
        <v>February</v>
      </c>
      <c r="J721" s="24">
        <v>0.44236111111111109</v>
      </c>
      <c r="K721" s="19">
        <v>3</v>
      </c>
      <c r="L721" s="12">
        <v>46056</v>
      </c>
      <c r="M721" s="24">
        <v>0.85902777777777772</v>
      </c>
      <c r="N721" s="11">
        <v>10</v>
      </c>
      <c r="O721" s="11" t="s">
        <v>34</v>
      </c>
      <c r="P721" s="11" t="s">
        <v>35</v>
      </c>
      <c r="Q721" s="11"/>
      <c r="R721" s="11" t="s">
        <v>36</v>
      </c>
      <c r="S721" s="19">
        <v>15</v>
      </c>
      <c r="T721" s="11" t="s">
        <v>37</v>
      </c>
      <c r="U721" s="11" t="s">
        <v>38</v>
      </c>
      <c r="V721" s="11">
        <v>1</v>
      </c>
      <c r="W721" s="11" t="s">
        <v>39</v>
      </c>
      <c r="X721" s="11" t="s">
        <v>3334</v>
      </c>
      <c r="Y721" s="11" t="s">
        <v>52</v>
      </c>
      <c r="Z721" s="11" t="s">
        <v>42</v>
      </c>
      <c r="AA721" s="11"/>
    </row>
    <row r="722" spans="1:27">
      <c r="A722" s="11" t="s">
        <v>2527</v>
      </c>
      <c r="B722" s="11" t="s">
        <v>2528</v>
      </c>
      <c r="C722" s="11" t="s">
        <v>27</v>
      </c>
      <c r="D722" s="19">
        <v>31</v>
      </c>
      <c r="E722" s="11" t="s">
        <v>57</v>
      </c>
      <c r="F722" s="11" t="s">
        <v>29</v>
      </c>
      <c r="G722" s="11" t="s">
        <v>83</v>
      </c>
      <c r="H722" s="12">
        <v>46084</v>
      </c>
      <c r="I722" s="12" t="str">
        <f t="shared" si="12"/>
        <v>March</v>
      </c>
      <c r="J722" s="24">
        <v>0.32291666666666669</v>
      </c>
      <c r="K722" s="19">
        <v>3</v>
      </c>
      <c r="L722" s="12">
        <v>46084</v>
      </c>
      <c r="M722" s="24">
        <v>0.57291666666666663</v>
      </c>
      <c r="N722" s="11">
        <v>6</v>
      </c>
      <c r="O722" s="11" t="s">
        <v>34</v>
      </c>
      <c r="P722" s="11" t="s">
        <v>35</v>
      </c>
      <c r="Q722" s="11"/>
      <c r="R722" s="11" t="s">
        <v>36</v>
      </c>
      <c r="S722" s="19">
        <v>15</v>
      </c>
      <c r="T722" s="11" t="s">
        <v>37</v>
      </c>
      <c r="U722" s="11" t="s">
        <v>38</v>
      </c>
      <c r="V722" s="11">
        <v>2</v>
      </c>
      <c r="W722" s="11" t="s">
        <v>70</v>
      </c>
      <c r="X722" s="11" t="s">
        <v>51</v>
      </c>
      <c r="Y722" s="11" t="s">
        <v>109</v>
      </c>
      <c r="Z722" s="11" t="s">
        <v>71</v>
      </c>
      <c r="AA722" s="11" t="s">
        <v>3234</v>
      </c>
    </row>
    <row r="723" spans="1:27">
      <c r="A723" s="11" t="s">
        <v>2531</v>
      </c>
      <c r="B723" s="11" t="s">
        <v>2532</v>
      </c>
      <c r="C723" s="11" t="s">
        <v>27</v>
      </c>
      <c r="D723" s="19">
        <v>3</v>
      </c>
      <c r="E723" s="11" t="s">
        <v>149</v>
      </c>
      <c r="F723" s="11" t="s">
        <v>29</v>
      </c>
      <c r="G723" s="11" t="s">
        <v>168</v>
      </c>
      <c r="H723" s="12">
        <v>46026</v>
      </c>
      <c r="I723" s="12" t="str">
        <f t="shared" si="12"/>
        <v>January</v>
      </c>
      <c r="J723" s="24">
        <v>0.50347222222222221</v>
      </c>
      <c r="K723" s="19">
        <v>6</v>
      </c>
      <c r="L723" s="12">
        <v>46026</v>
      </c>
      <c r="M723" s="24">
        <v>0.83680555555555558</v>
      </c>
      <c r="N723" s="11">
        <v>8</v>
      </c>
      <c r="O723" s="11" t="s">
        <v>34</v>
      </c>
      <c r="P723" s="11" t="s">
        <v>270</v>
      </c>
      <c r="Q723" s="11" t="s">
        <v>391</v>
      </c>
      <c r="R723" s="11" t="s">
        <v>36</v>
      </c>
      <c r="S723" s="19">
        <v>40</v>
      </c>
      <c r="T723" s="11" t="s">
        <v>37</v>
      </c>
      <c r="U723" s="11" t="s">
        <v>38</v>
      </c>
      <c r="V723" s="11">
        <v>1</v>
      </c>
      <c r="W723" s="11" t="s">
        <v>70</v>
      </c>
      <c r="X723" s="11" t="s">
        <v>51</v>
      </c>
      <c r="Y723" s="11" t="s">
        <v>109</v>
      </c>
      <c r="Z723" s="11" t="s">
        <v>42</v>
      </c>
      <c r="AA723" s="11" t="s">
        <v>3254</v>
      </c>
    </row>
    <row r="724" spans="1:27">
      <c r="A724" s="11" t="s">
        <v>2533</v>
      </c>
      <c r="B724" s="11" t="s">
        <v>2534</v>
      </c>
      <c r="C724" s="11" t="s">
        <v>56</v>
      </c>
      <c r="D724" s="19">
        <v>17</v>
      </c>
      <c r="E724" s="11" t="s">
        <v>57</v>
      </c>
      <c r="F724" s="11" t="s">
        <v>29</v>
      </c>
      <c r="G724" s="11" t="s">
        <v>58</v>
      </c>
      <c r="H724" s="12">
        <v>46042</v>
      </c>
      <c r="I724" s="12" t="str">
        <f t="shared" si="12"/>
        <v>January</v>
      </c>
      <c r="J724" s="24">
        <v>0.6069444444444444</v>
      </c>
      <c r="K724" s="19">
        <v>3</v>
      </c>
      <c r="L724" s="12">
        <v>46042</v>
      </c>
      <c r="M724" s="24">
        <v>0.77361111111111114</v>
      </c>
      <c r="N724" s="11">
        <v>4</v>
      </c>
      <c r="O724" s="11" t="s">
        <v>34</v>
      </c>
      <c r="P724" s="11" t="s">
        <v>35</v>
      </c>
      <c r="Q724" s="11"/>
      <c r="R724" s="11" t="s">
        <v>36</v>
      </c>
      <c r="S724" s="19">
        <v>15</v>
      </c>
      <c r="T724" s="11" t="s">
        <v>37</v>
      </c>
      <c r="U724" s="11" t="s">
        <v>164</v>
      </c>
      <c r="V724" s="11">
        <v>2</v>
      </c>
      <c r="W724" s="11" t="s">
        <v>62</v>
      </c>
      <c r="X724" s="11" t="s">
        <v>3334</v>
      </c>
      <c r="Y724" s="11" t="s">
        <v>52</v>
      </c>
      <c r="Z724" s="11" t="s">
        <v>71</v>
      </c>
      <c r="AA724" s="11"/>
    </row>
    <row r="725" spans="1:27">
      <c r="A725" s="11" t="s">
        <v>2536</v>
      </c>
      <c r="B725" s="11" t="s">
        <v>2537</v>
      </c>
      <c r="C725" s="11" t="s">
        <v>56</v>
      </c>
      <c r="D725" s="19">
        <v>11</v>
      </c>
      <c r="E725" s="11" t="s">
        <v>173</v>
      </c>
      <c r="F725" s="11" t="s">
        <v>29</v>
      </c>
      <c r="G725" s="11" t="s">
        <v>168</v>
      </c>
      <c r="H725" s="12">
        <v>46052</v>
      </c>
      <c r="I725" s="12" t="str">
        <f t="shared" si="12"/>
        <v>January</v>
      </c>
      <c r="J725" s="24">
        <v>0.50972222222222219</v>
      </c>
      <c r="K725" s="19">
        <v>4</v>
      </c>
      <c r="L725" s="12">
        <v>46052</v>
      </c>
      <c r="M725" s="24">
        <v>0.96805555555555556</v>
      </c>
      <c r="N725" s="11">
        <v>11</v>
      </c>
      <c r="O725" s="11" t="s">
        <v>34</v>
      </c>
      <c r="P725" s="11" t="s">
        <v>35</v>
      </c>
      <c r="Q725" s="11"/>
      <c r="R725" s="11" t="s">
        <v>36</v>
      </c>
      <c r="S725" s="19">
        <v>25</v>
      </c>
      <c r="T725" s="11" t="s">
        <v>49</v>
      </c>
      <c r="U725" s="11" t="s">
        <v>96</v>
      </c>
      <c r="V725" s="11">
        <v>3</v>
      </c>
      <c r="W725" s="11" t="s">
        <v>62</v>
      </c>
      <c r="X725" s="11" t="s">
        <v>51</v>
      </c>
      <c r="Y725" s="11" t="s">
        <v>52</v>
      </c>
      <c r="Z725" s="11" t="s">
        <v>53</v>
      </c>
      <c r="AA725" s="11" t="s">
        <v>3234</v>
      </c>
    </row>
    <row r="726" spans="1:27">
      <c r="A726" s="11" t="s">
        <v>2540</v>
      </c>
      <c r="B726" s="11" t="s">
        <v>2541</v>
      </c>
      <c r="C726" s="11" t="s">
        <v>27</v>
      </c>
      <c r="D726" s="19">
        <v>52</v>
      </c>
      <c r="E726" s="11" t="s">
        <v>57</v>
      </c>
      <c r="F726" s="11" t="s">
        <v>29</v>
      </c>
      <c r="G726" s="11" t="s">
        <v>58</v>
      </c>
      <c r="H726" s="12">
        <v>46164</v>
      </c>
      <c r="I726" s="12" t="str">
        <f t="shared" si="12"/>
        <v>May</v>
      </c>
      <c r="J726" s="24">
        <v>0.58333333333333337</v>
      </c>
      <c r="K726" s="19">
        <v>3</v>
      </c>
      <c r="L726" s="12">
        <v>46164</v>
      </c>
      <c r="M726" s="24">
        <v>0.75</v>
      </c>
      <c r="N726" s="11">
        <v>4</v>
      </c>
      <c r="O726" s="11" t="s">
        <v>34</v>
      </c>
      <c r="P726" s="11" t="s">
        <v>35</v>
      </c>
      <c r="Q726" s="11"/>
      <c r="R726" s="11" t="s">
        <v>36</v>
      </c>
      <c r="S726" s="19">
        <v>15</v>
      </c>
      <c r="T726" s="11" t="s">
        <v>49</v>
      </c>
      <c r="U726" s="11" t="s">
        <v>38</v>
      </c>
      <c r="V726" s="11">
        <v>2</v>
      </c>
      <c r="W726" s="11" t="s">
        <v>70</v>
      </c>
      <c r="X726" s="11" t="s">
        <v>3325</v>
      </c>
      <c r="Y726" s="11" t="s">
        <v>41</v>
      </c>
      <c r="Z726" s="11" t="s">
        <v>71</v>
      </c>
      <c r="AA726" s="11"/>
    </row>
    <row r="727" spans="1:27">
      <c r="A727" s="11" t="s">
        <v>2543</v>
      </c>
      <c r="B727" s="11" t="s">
        <v>2544</v>
      </c>
      <c r="C727" s="11" t="s">
        <v>27</v>
      </c>
      <c r="D727" s="19">
        <v>59</v>
      </c>
      <c r="E727" s="11" t="s">
        <v>149</v>
      </c>
      <c r="F727" s="11" t="s">
        <v>29</v>
      </c>
      <c r="G727" s="11" t="s">
        <v>30</v>
      </c>
      <c r="H727" s="12">
        <v>46203</v>
      </c>
      <c r="I727" s="12" t="str">
        <f t="shared" si="12"/>
        <v>June</v>
      </c>
      <c r="J727" s="24">
        <v>0.57986111111111116</v>
      </c>
      <c r="K727" s="19">
        <v>6</v>
      </c>
      <c r="L727" s="12">
        <v>46203</v>
      </c>
      <c r="M727" s="24">
        <v>0.78819444444444442</v>
      </c>
      <c r="N727" s="11">
        <v>5</v>
      </c>
      <c r="O727" s="11" t="s">
        <v>68</v>
      </c>
      <c r="P727" s="11" t="s">
        <v>35</v>
      </c>
      <c r="Q727" s="11"/>
      <c r="R727" s="11" t="s">
        <v>36</v>
      </c>
      <c r="S727" s="19">
        <v>40</v>
      </c>
      <c r="T727" s="11" t="s">
        <v>37</v>
      </c>
      <c r="U727" s="11" t="s">
        <v>96</v>
      </c>
      <c r="V727" s="11">
        <v>3</v>
      </c>
      <c r="W727" s="11" t="s">
        <v>70</v>
      </c>
      <c r="X727" s="11" t="s">
        <v>3334</v>
      </c>
      <c r="Y727" s="11" t="s">
        <v>52</v>
      </c>
      <c r="Z727" s="11" t="s">
        <v>42</v>
      </c>
      <c r="AA727" s="11" t="str">
        <f>IF(A727=" ", "Missing Value", " ")</f>
        <v xml:space="preserve"> </v>
      </c>
    </row>
    <row r="728" spans="1:27">
      <c r="A728" s="11" t="s">
        <v>2546</v>
      </c>
      <c r="B728" s="11" t="s">
        <v>2547</v>
      </c>
      <c r="C728" s="11" t="s">
        <v>27</v>
      </c>
      <c r="D728" s="19">
        <v>50</v>
      </c>
      <c r="E728" s="11" t="s">
        <v>92</v>
      </c>
      <c r="F728" s="11" t="s">
        <v>29</v>
      </c>
      <c r="G728" s="11" t="s">
        <v>83</v>
      </c>
      <c r="H728" s="12">
        <v>46113</v>
      </c>
      <c r="I728" s="12" t="str">
        <f t="shared" si="12"/>
        <v>April</v>
      </c>
      <c r="J728" s="24">
        <v>0.37361111111111112</v>
      </c>
      <c r="K728" s="19">
        <v>24</v>
      </c>
      <c r="L728" s="12">
        <v>46114</v>
      </c>
      <c r="M728" s="24">
        <v>0.4152777777777778</v>
      </c>
      <c r="N728" s="11">
        <v>25</v>
      </c>
      <c r="O728" s="11" t="s">
        <v>34</v>
      </c>
      <c r="P728" s="11" t="s">
        <v>35</v>
      </c>
      <c r="Q728" s="11"/>
      <c r="R728" s="11" t="s">
        <v>36</v>
      </c>
      <c r="S728" s="19">
        <v>50</v>
      </c>
      <c r="T728" s="11" t="s">
        <v>49</v>
      </c>
      <c r="U728" s="11" t="s">
        <v>164</v>
      </c>
      <c r="V728" s="11">
        <v>3</v>
      </c>
      <c r="W728" s="11" t="s">
        <v>39</v>
      </c>
      <c r="X728" s="11" t="s">
        <v>3334</v>
      </c>
      <c r="Y728" s="11" t="s">
        <v>52</v>
      </c>
      <c r="Z728" s="11" t="s">
        <v>71</v>
      </c>
      <c r="AA728" s="11" t="s">
        <v>3234</v>
      </c>
    </row>
    <row r="729" spans="1:27">
      <c r="A729" s="11" t="s">
        <v>2549</v>
      </c>
      <c r="B729" s="11" t="s">
        <v>2550</v>
      </c>
      <c r="C729" s="11" t="s">
        <v>56</v>
      </c>
      <c r="D729" s="19">
        <v>8</v>
      </c>
      <c r="E729" s="11" t="s">
        <v>92</v>
      </c>
      <c r="F729" s="11" t="s">
        <v>29</v>
      </c>
      <c r="G729" s="11" t="s">
        <v>58</v>
      </c>
      <c r="H729" s="12">
        <v>46075</v>
      </c>
      <c r="I729" s="12" t="str">
        <f t="shared" si="12"/>
        <v>February</v>
      </c>
      <c r="J729" s="24">
        <v>0.5625</v>
      </c>
      <c r="K729" s="19">
        <v>24</v>
      </c>
      <c r="L729" s="12">
        <v>46076</v>
      </c>
      <c r="M729" s="24">
        <v>0.6875</v>
      </c>
      <c r="N729" s="11">
        <v>27</v>
      </c>
      <c r="O729" s="11" t="s">
        <v>34</v>
      </c>
      <c r="P729" s="11" t="s">
        <v>35</v>
      </c>
      <c r="Q729" s="11"/>
      <c r="R729" s="11" t="s">
        <v>36</v>
      </c>
      <c r="S729" s="19">
        <v>50</v>
      </c>
      <c r="T729" s="11" t="s">
        <v>49</v>
      </c>
      <c r="U729" s="11" t="s">
        <v>38</v>
      </c>
      <c r="V729" s="11">
        <v>1</v>
      </c>
      <c r="W729" s="11" t="s">
        <v>62</v>
      </c>
      <c r="X729" s="11" t="s">
        <v>3333</v>
      </c>
      <c r="Y729" s="11" t="s">
        <v>41</v>
      </c>
      <c r="Z729" s="11" t="s">
        <v>71</v>
      </c>
      <c r="AA729" s="11" t="s">
        <v>3247</v>
      </c>
    </row>
    <row r="730" spans="1:27">
      <c r="A730" s="11" t="s">
        <v>2551</v>
      </c>
      <c r="B730" s="11" t="s">
        <v>2552</v>
      </c>
      <c r="C730" s="11" t="s">
        <v>56</v>
      </c>
      <c r="D730" s="19">
        <v>78</v>
      </c>
      <c r="E730" s="11" t="s">
        <v>57</v>
      </c>
      <c r="F730" s="11" t="s">
        <v>29</v>
      </c>
      <c r="G730" s="11" t="s">
        <v>30</v>
      </c>
      <c r="H730" s="12">
        <v>46179</v>
      </c>
      <c r="I730" s="12" t="str">
        <f t="shared" si="12"/>
        <v>June</v>
      </c>
      <c r="J730" s="24">
        <v>0.4597222222222222</v>
      </c>
      <c r="K730" s="19">
        <v>3</v>
      </c>
      <c r="L730" s="12">
        <v>46179</v>
      </c>
      <c r="M730" s="24">
        <v>0.62638888888888888</v>
      </c>
      <c r="N730" s="11">
        <v>4</v>
      </c>
      <c r="O730" s="11" t="s">
        <v>34</v>
      </c>
      <c r="P730" s="11" t="s">
        <v>35</v>
      </c>
      <c r="Q730" s="11"/>
      <c r="R730" s="11" t="s">
        <v>36</v>
      </c>
      <c r="S730" s="19">
        <v>15</v>
      </c>
      <c r="T730" s="11" t="s">
        <v>49</v>
      </c>
      <c r="U730" s="11" t="s">
        <v>164</v>
      </c>
      <c r="V730" s="11">
        <v>1</v>
      </c>
      <c r="W730" s="11" t="s">
        <v>89</v>
      </c>
      <c r="X730" s="11" t="s">
        <v>3325</v>
      </c>
      <c r="Y730" s="11" t="s">
        <v>52</v>
      </c>
      <c r="Z730" s="11" t="s">
        <v>71</v>
      </c>
      <c r="AA730" s="11" t="s">
        <v>3234</v>
      </c>
    </row>
    <row r="731" spans="1:27">
      <c r="A731" s="11" t="s">
        <v>2554</v>
      </c>
      <c r="B731" s="11" t="s">
        <v>2555</v>
      </c>
      <c r="C731" s="11" t="s">
        <v>27</v>
      </c>
      <c r="D731" s="19">
        <v>68</v>
      </c>
      <c r="E731" s="11" t="s">
        <v>149</v>
      </c>
      <c r="F731" s="11" t="s">
        <v>29</v>
      </c>
      <c r="G731" s="11" t="s">
        <v>83</v>
      </c>
      <c r="H731" s="12">
        <v>46033</v>
      </c>
      <c r="I731" s="12" t="str">
        <f t="shared" si="12"/>
        <v>January</v>
      </c>
      <c r="J731" s="24">
        <v>0.29722222222222222</v>
      </c>
      <c r="K731" s="19">
        <v>6</v>
      </c>
      <c r="L731" s="12">
        <v>46033</v>
      </c>
      <c r="M731" s="24">
        <v>0.75555555555555554</v>
      </c>
      <c r="N731" s="11">
        <v>11</v>
      </c>
      <c r="O731" s="11" t="s">
        <v>34</v>
      </c>
      <c r="P731" s="11" t="s">
        <v>35</v>
      </c>
      <c r="Q731" s="11"/>
      <c r="R731" s="11" t="s">
        <v>36</v>
      </c>
      <c r="S731" s="19">
        <v>40</v>
      </c>
      <c r="T731" s="11" t="s">
        <v>37</v>
      </c>
      <c r="U731" s="11" t="s">
        <v>164</v>
      </c>
      <c r="V731" s="11">
        <v>2</v>
      </c>
      <c r="W731" s="11" t="s">
        <v>62</v>
      </c>
      <c r="X731" s="11" t="s">
        <v>51</v>
      </c>
      <c r="Y731" s="11" t="s">
        <v>41</v>
      </c>
      <c r="Z731" s="11" t="s">
        <v>71</v>
      </c>
      <c r="AA731" s="11" t="s">
        <v>3234</v>
      </c>
    </row>
    <row r="732" spans="1:27">
      <c r="A732" s="11" t="s">
        <v>2557</v>
      </c>
      <c r="B732" s="11" t="s">
        <v>2558</v>
      </c>
      <c r="C732" s="11" t="s">
        <v>56</v>
      </c>
      <c r="D732" s="19">
        <v>13</v>
      </c>
      <c r="E732" s="11" t="s">
        <v>57</v>
      </c>
      <c r="F732" s="11" t="s">
        <v>29</v>
      </c>
      <c r="G732" s="11" t="s">
        <v>58</v>
      </c>
      <c r="H732" s="12">
        <v>46130</v>
      </c>
      <c r="I732" s="12" t="str">
        <f t="shared" si="12"/>
        <v>April</v>
      </c>
      <c r="J732" s="24">
        <v>0.6381944444444444</v>
      </c>
      <c r="K732" s="19">
        <v>3</v>
      </c>
      <c r="L732" s="12">
        <v>46131</v>
      </c>
      <c r="M732" s="24">
        <v>1.3194444444444444E-2</v>
      </c>
      <c r="N732" s="11">
        <v>9</v>
      </c>
      <c r="O732" s="11" t="s">
        <v>34</v>
      </c>
      <c r="P732" s="11" t="s">
        <v>35</v>
      </c>
      <c r="Q732" s="11"/>
      <c r="R732" s="11" t="s">
        <v>36</v>
      </c>
      <c r="S732" s="19">
        <v>15</v>
      </c>
      <c r="T732" s="11" t="s">
        <v>49</v>
      </c>
      <c r="U732" s="11" t="s">
        <v>164</v>
      </c>
      <c r="V732" s="11">
        <v>2</v>
      </c>
      <c r="W732" s="11" t="s">
        <v>39</v>
      </c>
      <c r="X732" s="11" t="s">
        <v>3325</v>
      </c>
      <c r="Y732" s="11" t="s">
        <v>109</v>
      </c>
      <c r="Z732" s="11" t="s">
        <v>42</v>
      </c>
      <c r="AA732" s="11"/>
    </row>
    <row r="733" spans="1:27">
      <c r="A733" s="11" t="s">
        <v>2559</v>
      </c>
      <c r="B733" s="11" t="s">
        <v>2560</v>
      </c>
      <c r="C733" s="11" t="s">
        <v>56</v>
      </c>
      <c r="D733" s="19">
        <v>25</v>
      </c>
      <c r="E733" s="11" t="s">
        <v>92</v>
      </c>
      <c r="F733" s="11" t="s">
        <v>29</v>
      </c>
      <c r="G733" s="11" t="s">
        <v>93</v>
      </c>
      <c r="H733" s="12">
        <v>46112</v>
      </c>
      <c r="I733" s="12" t="str">
        <f t="shared" si="12"/>
        <v>March</v>
      </c>
      <c r="J733" s="24">
        <v>0.54236111111111107</v>
      </c>
      <c r="K733" s="19">
        <v>24</v>
      </c>
      <c r="L733" s="12">
        <v>46113</v>
      </c>
      <c r="M733" s="24">
        <v>0.87569444444444444</v>
      </c>
      <c r="N733" s="11">
        <v>32</v>
      </c>
      <c r="O733" s="11" t="s">
        <v>34</v>
      </c>
      <c r="P733" s="11" t="s">
        <v>35</v>
      </c>
      <c r="Q733" s="11"/>
      <c r="R733" s="11" t="s">
        <v>36</v>
      </c>
      <c r="S733" s="19">
        <v>50</v>
      </c>
      <c r="T733" s="11" t="s">
        <v>37</v>
      </c>
      <c r="U733" s="11" t="s">
        <v>38</v>
      </c>
      <c r="V733" s="11">
        <v>4</v>
      </c>
      <c r="W733" s="11" t="s">
        <v>62</v>
      </c>
      <c r="X733" s="11" t="s">
        <v>3333</v>
      </c>
      <c r="Y733" s="11" t="s">
        <v>52</v>
      </c>
      <c r="Z733" s="11" t="s">
        <v>42</v>
      </c>
      <c r="AA733" s="11" t="s">
        <v>3229</v>
      </c>
    </row>
    <row r="734" spans="1:27">
      <c r="A734" s="11" t="s">
        <v>2563</v>
      </c>
      <c r="B734" s="11" t="s">
        <v>2564</v>
      </c>
      <c r="C734" s="11" t="s">
        <v>27</v>
      </c>
      <c r="D734" s="19">
        <v>53</v>
      </c>
      <c r="E734" s="11" t="s">
        <v>173</v>
      </c>
      <c r="F734" s="11" t="s">
        <v>29</v>
      </c>
      <c r="G734" s="11" t="s">
        <v>83</v>
      </c>
      <c r="H734" s="12">
        <v>46034</v>
      </c>
      <c r="I734" s="12" t="str">
        <f t="shared" si="12"/>
        <v>January</v>
      </c>
      <c r="J734" s="24">
        <v>0.30763888888888891</v>
      </c>
      <c r="K734" s="19">
        <v>4</v>
      </c>
      <c r="L734" s="12">
        <v>46034</v>
      </c>
      <c r="M734" s="24">
        <v>0.68263888888888891</v>
      </c>
      <c r="N734" s="11">
        <v>9</v>
      </c>
      <c r="O734" s="11" t="s">
        <v>34</v>
      </c>
      <c r="P734" s="11" t="s">
        <v>35</v>
      </c>
      <c r="Q734" s="11"/>
      <c r="R734" s="11" t="s">
        <v>36</v>
      </c>
      <c r="S734" s="19">
        <v>25</v>
      </c>
      <c r="T734" s="11" t="s">
        <v>49</v>
      </c>
      <c r="U734" s="11" t="s">
        <v>164</v>
      </c>
      <c r="V734" s="11">
        <v>1</v>
      </c>
      <c r="W734" s="11" t="s">
        <v>70</v>
      </c>
      <c r="X734" s="11" t="s">
        <v>3333</v>
      </c>
      <c r="Y734" s="11" t="s">
        <v>109</v>
      </c>
      <c r="Z734" s="11" t="s">
        <v>42</v>
      </c>
      <c r="AA734" s="11" t="s">
        <v>3234</v>
      </c>
    </row>
    <row r="735" spans="1:27">
      <c r="A735" s="11" t="s">
        <v>2566</v>
      </c>
      <c r="B735" s="11" t="s">
        <v>2567</v>
      </c>
      <c r="C735" s="11" t="s">
        <v>27</v>
      </c>
      <c r="D735" s="19">
        <v>47</v>
      </c>
      <c r="E735" s="11" t="s">
        <v>173</v>
      </c>
      <c r="F735" s="11" t="s">
        <v>29</v>
      </c>
      <c r="G735" s="11" t="s">
        <v>168</v>
      </c>
      <c r="H735" s="12">
        <v>46079</v>
      </c>
      <c r="I735" s="12" t="str">
        <f t="shared" si="12"/>
        <v>February</v>
      </c>
      <c r="J735" s="24">
        <v>0.44305555555555554</v>
      </c>
      <c r="K735" s="19">
        <v>4</v>
      </c>
      <c r="L735" s="12">
        <v>46079</v>
      </c>
      <c r="M735" s="24">
        <v>0.69305555555555554</v>
      </c>
      <c r="N735" s="11">
        <v>6</v>
      </c>
      <c r="O735" s="11" t="s">
        <v>34</v>
      </c>
      <c r="P735" s="11" t="s">
        <v>35</v>
      </c>
      <c r="Q735" s="11"/>
      <c r="R735" s="11" t="s">
        <v>36</v>
      </c>
      <c r="S735" s="19">
        <v>25</v>
      </c>
      <c r="T735" s="11" t="s">
        <v>37</v>
      </c>
      <c r="U735" s="11" t="s">
        <v>96</v>
      </c>
      <c r="V735" s="11">
        <v>3</v>
      </c>
      <c r="W735" s="11" t="s">
        <v>62</v>
      </c>
      <c r="X735" s="11" t="s">
        <v>51</v>
      </c>
      <c r="Y735" s="11" t="s">
        <v>109</v>
      </c>
      <c r="Z735" s="11" t="s">
        <v>53</v>
      </c>
      <c r="AA735" s="11" t="s">
        <v>3234</v>
      </c>
    </row>
    <row r="736" spans="1:27">
      <c r="A736" s="11" t="s">
        <v>2568</v>
      </c>
      <c r="B736" s="11" t="s">
        <v>2569</v>
      </c>
      <c r="C736" s="11" t="s">
        <v>27</v>
      </c>
      <c r="D736" s="19">
        <v>84</v>
      </c>
      <c r="E736" s="11" t="s">
        <v>173</v>
      </c>
      <c r="F736" s="11" t="s">
        <v>29</v>
      </c>
      <c r="G736" s="11" t="s">
        <v>83</v>
      </c>
      <c r="H736" s="12">
        <v>46123</v>
      </c>
      <c r="I736" s="12" t="str">
        <f t="shared" si="12"/>
        <v>April</v>
      </c>
      <c r="J736" s="24">
        <v>0.46388888888888891</v>
      </c>
      <c r="K736" s="19">
        <v>4</v>
      </c>
      <c r="L736" s="12">
        <v>46123</v>
      </c>
      <c r="M736" s="24">
        <v>0.88055555555555554</v>
      </c>
      <c r="N736" s="11">
        <v>10</v>
      </c>
      <c r="O736" s="11" t="s">
        <v>34</v>
      </c>
      <c r="P736" s="11" t="s">
        <v>35</v>
      </c>
      <c r="Q736" s="11"/>
      <c r="R736" s="11" t="s">
        <v>36</v>
      </c>
      <c r="S736" s="19">
        <v>25</v>
      </c>
      <c r="T736" s="11" t="s">
        <v>49</v>
      </c>
      <c r="U736" s="11" t="s">
        <v>164</v>
      </c>
      <c r="V736" s="11">
        <v>2</v>
      </c>
      <c r="W736" s="11" t="s">
        <v>89</v>
      </c>
      <c r="X736" s="11" t="s">
        <v>3334</v>
      </c>
      <c r="Y736" s="11" t="s">
        <v>109</v>
      </c>
      <c r="Z736" s="11" t="s">
        <v>71</v>
      </c>
      <c r="AA736" s="11" t="s">
        <v>3234</v>
      </c>
    </row>
    <row r="737" spans="1:27">
      <c r="A737" s="11" t="s">
        <v>2570</v>
      </c>
      <c r="B737" s="11" t="s">
        <v>2571</v>
      </c>
      <c r="C737" s="11" t="s">
        <v>27</v>
      </c>
      <c r="D737" s="19">
        <v>65</v>
      </c>
      <c r="E737" s="11" t="s">
        <v>173</v>
      </c>
      <c r="F737" s="11" t="s">
        <v>29</v>
      </c>
      <c r="G737" s="11" t="s">
        <v>168</v>
      </c>
      <c r="H737" s="12">
        <v>46196</v>
      </c>
      <c r="I737" s="12" t="str">
        <f t="shared" si="12"/>
        <v>June</v>
      </c>
      <c r="J737" s="24">
        <v>0.35972222222222222</v>
      </c>
      <c r="K737" s="19">
        <v>4</v>
      </c>
      <c r="L737" s="12">
        <v>46196</v>
      </c>
      <c r="M737" s="24">
        <v>0.69305555555555554</v>
      </c>
      <c r="N737" s="11">
        <v>8</v>
      </c>
      <c r="O737" s="11" t="s">
        <v>34</v>
      </c>
      <c r="P737" s="11" t="s">
        <v>35</v>
      </c>
      <c r="Q737" s="11"/>
      <c r="R737" s="11" t="s">
        <v>36</v>
      </c>
      <c r="S737" s="19">
        <v>25</v>
      </c>
      <c r="T737" s="11" t="s">
        <v>37</v>
      </c>
      <c r="U737" s="11" t="s">
        <v>38</v>
      </c>
      <c r="V737" s="11">
        <v>1</v>
      </c>
      <c r="W737" s="11" t="s">
        <v>62</v>
      </c>
      <c r="X737" s="11" t="s">
        <v>51</v>
      </c>
      <c r="Y737" s="11" t="s">
        <v>109</v>
      </c>
      <c r="Z737" s="11" t="s">
        <v>42</v>
      </c>
      <c r="AA737" s="11" t="s">
        <v>3234</v>
      </c>
    </row>
    <row r="738" spans="1:27">
      <c r="A738" s="11" t="s">
        <v>2572</v>
      </c>
      <c r="B738" s="11" t="s">
        <v>2573</v>
      </c>
      <c r="C738" s="11" t="s">
        <v>27</v>
      </c>
      <c r="D738" s="19">
        <v>21</v>
      </c>
      <c r="E738" s="11" t="s">
        <v>173</v>
      </c>
      <c r="F738" s="11" t="s">
        <v>29</v>
      </c>
      <c r="G738" s="11" t="s">
        <v>93</v>
      </c>
      <c r="H738" s="12">
        <v>46183</v>
      </c>
      <c r="I738" s="12" t="str">
        <f t="shared" si="12"/>
        <v>June</v>
      </c>
      <c r="J738" s="24">
        <v>0.67361111111111116</v>
      </c>
      <c r="K738" s="19">
        <v>4</v>
      </c>
      <c r="L738" s="12">
        <v>46183</v>
      </c>
      <c r="M738" s="24">
        <v>0.92361111111111116</v>
      </c>
      <c r="N738" s="11">
        <v>6</v>
      </c>
      <c r="O738" s="11" t="s">
        <v>34</v>
      </c>
      <c r="P738" s="11" t="s">
        <v>35</v>
      </c>
      <c r="Q738" s="11"/>
      <c r="R738" s="11" t="s">
        <v>36</v>
      </c>
      <c r="S738" s="19">
        <v>25</v>
      </c>
      <c r="T738" s="11" t="s">
        <v>37</v>
      </c>
      <c r="U738" s="11" t="s">
        <v>164</v>
      </c>
      <c r="V738" s="11">
        <v>5</v>
      </c>
      <c r="W738" s="11" t="s">
        <v>89</v>
      </c>
      <c r="X738" s="11" t="s">
        <v>3325</v>
      </c>
      <c r="Y738" s="11" t="s">
        <v>52</v>
      </c>
      <c r="Z738" s="11" t="s">
        <v>42</v>
      </c>
      <c r="AA738" s="11" t="s">
        <v>3234</v>
      </c>
    </row>
    <row r="739" spans="1:27">
      <c r="A739" s="11" t="s">
        <v>2574</v>
      </c>
      <c r="B739" s="11" t="s">
        <v>2575</v>
      </c>
      <c r="C739" s="11" t="s">
        <v>56</v>
      </c>
      <c r="D739" s="19">
        <v>4</v>
      </c>
      <c r="E739" s="11" t="s">
        <v>81</v>
      </c>
      <c r="F739" s="11" t="s">
        <v>82</v>
      </c>
      <c r="G739" s="11" t="s">
        <v>83</v>
      </c>
      <c r="H739" s="12">
        <v>46115</v>
      </c>
      <c r="I739" s="12" t="str">
        <f t="shared" si="12"/>
        <v>April</v>
      </c>
      <c r="J739" s="24">
        <v>0.64930555555555558</v>
      </c>
      <c r="K739" s="19">
        <v>8</v>
      </c>
      <c r="L739" s="12">
        <v>46116</v>
      </c>
      <c r="M739" s="24">
        <v>0.19097222222222221</v>
      </c>
      <c r="N739" s="11">
        <v>13</v>
      </c>
      <c r="O739" s="11" t="s">
        <v>34</v>
      </c>
      <c r="P739" s="11" t="s">
        <v>270</v>
      </c>
      <c r="Q739" s="11" t="s">
        <v>620</v>
      </c>
      <c r="R739" s="11" t="s">
        <v>36</v>
      </c>
      <c r="S739" s="19">
        <v>20</v>
      </c>
      <c r="T739" s="11" t="s">
        <v>49</v>
      </c>
      <c r="U739" s="11" t="s">
        <v>96</v>
      </c>
      <c r="V739" s="11">
        <v>2</v>
      </c>
      <c r="W739" s="11" t="s">
        <v>39</v>
      </c>
      <c r="X739" s="11" t="s">
        <v>3325</v>
      </c>
      <c r="Y739" s="11" t="s">
        <v>52</v>
      </c>
      <c r="Z739" s="11" t="s">
        <v>53</v>
      </c>
      <c r="AA739" s="11" t="s">
        <v>3251</v>
      </c>
    </row>
    <row r="740" spans="1:27">
      <c r="A740" s="11" t="s">
        <v>2577</v>
      </c>
      <c r="B740" s="11" t="s">
        <v>2578</v>
      </c>
      <c r="C740" s="11" t="s">
        <v>27</v>
      </c>
      <c r="D740" s="19">
        <v>60</v>
      </c>
      <c r="E740" s="11" t="s">
        <v>173</v>
      </c>
      <c r="F740" s="11" t="s">
        <v>29</v>
      </c>
      <c r="G740" s="11" t="s">
        <v>168</v>
      </c>
      <c r="H740" s="12">
        <v>46203</v>
      </c>
      <c r="I740" s="12" t="str">
        <f t="shared" si="12"/>
        <v>June</v>
      </c>
      <c r="J740" s="24">
        <v>0.69305555555555554</v>
      </c>
      <c r="K740" s="19">
        <v>4</v>
      </c>
      <c r="L740" s="12">
        <v>46203</v>
      </c>
      <c r="M740" s="24">
        <v>0.81805555555555554</v>
      </c>
      <c r="N740" s="11">
        <v>3</v>
      </c>
      <c r="O740" s="11" t="s">
        <v>68</v>
      </c>
      <c r="P740" s="11" t="s">
        <v>35</v>
      </c>
      <c r="Q740" s="11"/>
      <c r="R740" s="11" t="s">
        <v>36</v>
      </c>
      <c r="S740" s="19">
        <v>25</v>
      </c>
      <c r="T740" s="11" t="s">
        <v>49</v>
      </c>
      <c r="U740" s="11" t="s">
        <v>96</v>
      </c>
      <c r="V740" s="11">
        <v>3</v>
      </c>
      <c r="W740" s="11" t="s">
        <v>89</v>
      </c>
      <c r="X740" s="11" t="s">
        <v>3325</v>
      </c>
      <c r="Y740" s="11" t="s">
        <v>41</v>
      </c>
      <c r="Z740" s="11" t="s">
        <v>53</v>
      </c>
      <c r="AA740" s="11" t="s">
        <v>3234</v>
      </c>
    </row>
    <row r="741" spans="1:27">
      <c r="A741" s="11" t="s">
        <v>2580</v>
      </c>
      <c r="B741" s="11" t="s">
        <v>2581</v>
      </c>
      <c r="C741" s="11" t="s">
        <v>27</v>
      </c>
      <c r="D741" s="19">
        <v>46</v>
      </c>
      <c r="E741" s="11" t="s">
        <v>149</v>
      </c>
      <c r="F741" s="11" t="s">
        <v>29</v>
      </c>
      <c r="G741" s="11" t="s">
        <v>30</v>
      </c>
      <c r="H741" s="12">
        <v>46161</v>
      </c>
      <c r="I741" s="12" t="str">
        <f t="shared" si="12"/>
        <v>May</v>
      </c>
      <c r="J741" s="24">
        <v>0.39513888888888887</v>
      </c>
      <c r="K741" s="19">
        <v>6</v>
      </c>
      <c r="L741" s="12">
        <v>46161</v>
      </c>
      <c r="M741" s="24">
        <v>0.68680555555555556</v>
      </c>
      <c r="N741" s="11">
        <v>7</v>
      </c>
      <c r="O741" s="11" t="s">
        <v>34</v>
      </c>
      <c r="P741" s="11" t="s">
        <v>35</v>
      </c>
      <c r="Q741" s="11"/>
      <c r="R741" s="11" t="s">
        <v>36</v>
      </c>
      <c r="S741" s="19">
        <v>40</v>
      </c>
      <c r="T741" s="11" t="s">
        <v>37</v>
      </c>
      <c r="U741" s="11" t="s">
        <v>38</v>
      </c>
      <c r="V741" s="11">
        <v>3</v>
      </c>
      <c r="W741" s="11" t="s">
        <v>89</v>
      </c>
      <c r="X741" s="11" t="s">
        <v>51</v>
      </c>
      <c r="Y741" s="11" t="s">
        <v>41</v>
      </c>
      <c r="Z741" s="11" t="s">
        <v>71</v>
      </c>
      <c r="AA741" s="11" t="str">
        <f>IF(A741=" ", "Missing Value", " ")</f>
        <v xml:space="preserve"> </v>
      </c>
    </row>
    <row r="742" spans="1:27">
      <c r="A742" s="11" t="s">
        <v>2583</v>
      </c>
      <c r="B742" s="11" t="s">
        <v>2584</v>
      </c>
      <c r="C742" s="11" t="s">
        <v>56</v>
      </c>
      <c r="D742" s="19">
        <v>41</v>
      </c>
      <c r="E742" s="11" t="s">
        <v>92</v>
      </c>
      <c r="F742" s="11" t="s">
        <v>29</v>
      </c>
      <c r="G742" s="11" t="s">
        <v>93</v>
      </c>
      <c r="H742" s="12">
        <v>46166</v>
      </c>
      <c r="I742" s="12" t="str">
        <f t="shared" si="12"/>
        <v>May</v>
      </c>
      <c r="J742" s="24">
        <v>0.56041666666666667</v>
      </c>
      <c r="K742" s="19">
        <v>24</v>
      </c>
      <c r="L742" s="12">
        <v>46167</v>
      </c>
      <c r="M742" s="24">
        <v>0.68541666666666667</v>
      </c>
      <c r="N742" s="11">
        <v>27</v>
      </c>
      <c r="O742" s="11" t="s">
        <v>34</v>
      </c>
      <c r="P742" s="11" t="s">
        <v>35</v>
      </c>
      <c r="Q742" s="11"/>
      <c r="R742" s="11" t="s">
        <v>132</v>
      </c>
      <c r="S742" s="19">
        <v>50</v>
      </c>
      <c r="T742" s="11" t="s">
        <v>37</v>
      </c>
      <c r="U742" s="11" t="s">
        <v>96</v>
      </c>
      <c r="V742" s="11">
        <v>3</v>
      </c>
      <c r="W742" s="11" t="s">
        <v>89</v>
      </c>
      <c r="X742" s="11" t="s">
        <v>51</v>
      </c>
      <c r="Y742" s="11" t="s">
        <v>52</v>
      </c>
      <c r="Z742" s="11" t="s">
        <v>42</v>
      </c>
      <c r="AA742" s="11" t="s">
        <v>3261</v>
      </c>
    </row>
    <row r="743" spans="1:27">
      <c r="A743" s="11" t="s">
        <v>2585</v>
      </c>
      <c r="B743" s="11" t="s">
        <v>2586</v>
      </c>
      <c r="C743" s="11" t="s">
        <v>27</v>
      </c>
      <c r="D743" s="19">
        <v>12</v>
      </c>
      <c r="E743" s="11" t="s">
        <v>81</v>
      </c>
      <c r="F743" s="11" t="s">
        <v>82</v>
      </c>
      <c r="G743" s="11" t="s">
        <v>93</v>
      </c>
      <c r="H743" s="12">
        <v>46190</v>
      </c>
      <c r="I743" s="12" t="str">
        <f t="shared" si="12"/>
        <v>June</v>
      </c>
      <c r="J743" s="24">
        <v>0.45069444444444445</v>
      </c>
      <c r="K743" s="19">
        <v>8</v>
      </c>
      <c r="L743" s="12">
        <v>46190</v>
      </c>
      <c r="M743" s="24">
        <v>0.8256944444444444</v>
      </c>
      <c r="N743" s="11">
        <v>9</v>
      </c>
      <c r="O743" s="11" t="s">
        <v>34</v>
      </c>
      <c r="P743" s="11" t="s">
        <v>35</v>
      </c>
      <c r="Q743" s="11"/>
      <c r="R743" s="11" t="s">
        <v>36</v>
      </c>
      <c r="S743" s="19">
        <v>20</v>
      </c>
      <c r="T743" s="11" t="s">
        <v>49</v>
      </c>
      <c r="U743" s="11" t="s">
        <v>96</v>
      </c>
      <c r="V743" s="11">
        <v>5</v>
      </c>
      <c r="W743" s="11" t="s">
        <v>70</v>
      </c>
      <c r="X743" s="11" t="s">
        <v>3333</v>
      </c>
      <c r="Y743" s="11" t="s">
        <v>41</v>
      </c>
      <c r="Z743" s="11" t="s">
        <v>71</v>
      </c>
      <c r="AA743" s="11" t="s">
        <v>3234</v>
      </c>
    </row>
    <row r="744" spans="1:27">
      <c r="A744" s="11" t="s">
        <v>2588</v>
      </c>
      <c r="B744" s="11" t="s">
        <v>2589</v>
      </c>
      <c r="C744" s="11" t="s">
        <v>27</v>
      </c>
      <c r="D744" s="19">
        <v>68</v>
      </c>
      <c r="E744" s="11" t="s">
        <v>81</v>
      </c>
      <c r="F744" s="11" t="s">
        <v>82</v>
      </c>
      <c r="G744" s="11" t="s">
        <v>168</v>
      </c>
      <c r="H744" s="12">
        <v>46197</v>
      </c>
      <c r="I744" s="12" t="str">
        <f t="shared" si="12"/>
        <v>June</v>
      </c>
      <c r="J744" s="24">
        <v>0.62152777777777779</v>
      </c>
      <c r="K744" s="19">
        <v>8</v>
      </c>
      <c r="L744" s="12">
        <v>46198</v>
      </c>
      <c r="M744" s="24">
        <v>0.24652777777777779</v>
      </c>
      <c r="N744" s="11">
        <v>15</v>
      </c>
      <c r="O744" s="11" t="s">
        <v>34</v>
      </c>
      <c r="P744" s="11" t="s">
        <v>35</v>
      </c>
      <c r="Q744" s="11"/>
      <c r="R744" s="11" t="s">
        <v>36</v>
      </c>
      <c r="S744" s="19">
        <v>20</v>
      </c>
      <c r="T744" s="11" t="s">
        <v>49</v>
      </c>
      <c r="U744" s="11" t="s">
        <v>164</v>
      </c>
      <c r="V744" s="11">
        <v>2</v>
      </c>
      <c r="W744" s="11" t="s">
        <v>62</v>
      </c>
      <c r="X744" s="11" t="s">
        <v>3334</v>
      </c>
      <c r="Y744" s="11" t="s">
        <v>41</v>
      </c>
      <c r="Z744" s="11" t="s">
        <v>42</v>
      </c>
      <c r="AA744" s="11" t="s">
        <v>3234</v>
      </c>
    </row>
    <row r="745" spans="1:27">
      <c r="A745" s="11" t="s">
        <v>2591</v>
      </c>
      <c r="B745" s="11" t="s">
        <v>2592</v>
      </c>
      <c r="C745" s="11" t="s">
        <v>56</v>
      </c>
      <c r="D745" s="19">
        <v>35</v>
      </c>
      <c r="E745" s="11" t="s">
        <v>81</v>
      </c>
      <c r="F745" s="11" t="s">
        <v>82</v>
      </c>
      <c r="G745" s="11" t="s">
        <v>93</v>
      </c>
      <c r="H745" s="12">
        <v>46097</v>
      </c>
      <c r="I745" s="12" t="str">
        <f t="shared" si="12"/>
        <v>March</v>
      </c>
      <c r="J745" s="24">
        <v>0.59722222222222221</v>
      </c>
      <c r="K745" s="19">
        <v>8</v>
      </c>
      <c r="L745" s="12">
        <v>46098</v>
      </c>
      <c r="M745" s="24">
        <v>0.1388888888888889</v>
      </c>
      <c r="N745" s="11">
        <v>13</v>
      </c>
      <c r="O745" s="11" t="s">
        <v>34</v>
      </c>
      <c r="P745" s="11" t="s">
        <v>35</v>
      </c>
      <c r="Q745" s="11"/>
      <c r="R745" s="11" t="s">
        <v>36</v>
      </c>
      <c r="S745" s="19">
        <v>20</v>
      </c>
      <c r="T745" s="11" t="s">
        <v>37</v>
      </c>
      <c r="U745" s="11" t="s">
        <v>38</v>
      </c>
      <c r="V745" s="11">
        <v>2</v>
      </c>
      <c r="W745" s="11" t="s">
        <v>62</v>
      </c>
      <c r="X745" s="11" t="s">
        <v>51</v>
      </c>
      <c r="Y745" s="11" t="s">
        <v>52</v>
      </c>
      <c r="Z745" s="11" t="s">
        <v>71</v>
      </c>
      <c r="AA745" s="11" t="s">
        <v>3234</v>
      </c>
    </row>
    <row r="746" spans="1:27">
      <c r="A746" s="11" t="s">
        <v>2594</v>
      </c>
      <c r="B746" s="11" t="s">
        <v>2595</v>
      </c>
      <c r="C746" s="11" t="s">
        <v>27</v>
      </c>
      <c r="D746" s="19">
        <v>65</v>
      </c>
      <c r="E746" s="11" t="s">
        <v>28</v>
      </c>
      <c r="F746" s="11" t="s">
        <v>29</v>
      </c>
      <c r="G746" s="11" t="s">
        <v>93</v>
      </c>
      <c r="H746" s="12">
        <v>46046</v>
      </c>
      <c r="I746" s="12" t="str">
        <f t="shared" si="12"/>
        <v>January</v>
      </c>
      <c r="J746" s="24">
        <v>0.6875</v>
      </c>
      <c r="K746" s="19">
        <v>5</v>
      </c>
      <c r="L746" s="12">
        <v>46047</v>
      </c>
      <c r="M746" s="24">
        <v>6.25E-2</v>
      </c>
      <c r="N746" s="11">
        <v>9</v>
      </c>
      <c r="O746" s="11" t="s">
        <v>34</v>
      </c>
      <c r="P746" s="11" t="s">
        <v>35</v>
      </c>
      <c r="Q746" s="11"/>
      <c r="R746" s="11" t="s">
        <v>36</v>
      </c>
      <c r="S746" s="19">
        <v>35</v>
      </c>
      <c r="T746" s="11" t="s">
        <v>49</v>
      </c>
      <c r="U746" s="11" t="s">
        <v>38</v>
      </c>
      <c r="V746" s="11">
        <v>1</v>
      </c>
      <c r="W746" s="11" t="s">
        <v>39</v>
      </c>
      <c r="X746" s="11" t="s">
        <v>51</v>
      </c>
      <c r="Y746" s="11" t="s">
        <v>52</v>
      </c>
      <c r="Z746" s="11" t="s">
        <v>42</v>
      </c>
      <c r="AA746" s="11" t="s">
        <v>3234</v>
      </c>
    </row>
    <row r="747" spans="1:27">
      <c r="A747" s="11" t="s">
        <v>2597</v>
      </c>
      <c r="B747" s="11" t="s">
        <v>2598</v>
      </c>
      <c r="C747" s="11" t="s">
        <v>27</v>
      </c>
      <c r="D747" s="19">
        <v>78</v>
      </c>
      <c r="E747" s="11" t="s">
        <v>92</v>
      </c>
      <c r="F747" s="11" t="s">
        <v>29</v>
      </c>
      <c r="G747" s="11" t="s">
        <v>83</v>
      </c>
      <c r="H747" s="12">
        <v>46113</v>
      </c>
      <c r="I747" s="12" t="str">
        <f t="shared" si="12"/>
        <v>April</v>
      </c>
      <c r="J747" s="24">
        <v>0.54097222222222219</v>
      </c>
      <c r="K747" s="19">
        <v>24</v>
      </c>
      <c r="L747" s="12">
        <v>46114</v>
      </c>
      <c r="M747" s="24">
        <v>0.54097222222222219</v>
      </c>
      <c r="N747" s="11">
        <v>24</v>
      </c>
      <c r="O747" s="11" t="s">
        <v>68</v>
      </c>
      <c r="P747" s="11" t="s">
        <v>35</v>
      </c>
      <c r="Q747" s="11"/>
      <c r="R747" s="11" t="s">
        <v>36</v>
      </c>
      <c r="S747" s="19">
        <v>50</v>
      </c>
      <c r="T747" s="11" t="s">
        <v>49</v>
      </c>
      <c r="U747" s="11" t="s">
        <v>164</v>
      </c>
      <c r="V747" s="11">
        <v>5</v>
      </c>
      <c r="W747" s="11" t="s">
        <v>89</v>
      </c>
      <c r="X747" s="11" t="s">
        <v>3333</v>
      </c>
      <c r="Y747" s="11" t="s">
        <v>109</v>
      </c>
      <c r="Z747" s="11" t="s">
        <v>53</v>
      </c>
      <c r="AA747" s="11" t="s">
        <v>3234</v>
      </c>
    </row>
    <row r="748" spans="1:27">
      <c r="A748" s="11" t="s">
        <v>2599</v>
      </c>
      <c r="B748" s="11" t="s">
        <v>2600</v>
      </c>
      <c r="C748" s="11" t="s">
        <v>56</v>
      </c>
      <c r="D748" s="19">
        <v>79</v>
      </c>
      <c r="E748" s="11" t="s">
        <v>92</v>
      </c>
      <c r="F748" s="11" t="s">
        <v>29</v>
      </c>
      <c r="G748" s="11" t="s">
        <v>93</v>
      </c>
      <c r="H748" s="12">
        <v>46067</v>
      </c>
      <c r="I748" s="12" t="str">
        <f t="shared" si="12"/>
        <v>February</v>
      </c>
      <c r="J748" s="24">
        <v>0.69513888888888886</v>
      </c>
      <c r="K748" s="19">
        <v>24</v>
      </c>
      <c r="L748" s="12">
        <v>46068</v>
      </c>
      <c r="M748" s="24">
        <v>0.94513888888888886</v>
      </c>
      <c r="N748" s="11">
        <v>30</v>
      </c>
      <c r="O748" s="11" t="s">
        <v>34</v>
      </c>
      <c r="P748" s="11" t="s">
        <v>35</v>
      </c>
      <c r="Q748" s="11"/>
      <c r="R748" s="11" t="s">
        <v>36</v>
      </c>
      <c r="S748" s="19">
        <v>50</v>
      </c>
      <c r="T748" s="11" t="s">
        <v>49</v>
      </c>
      <c r="U748" s="11" t="s">
        <v>38</v>
      </c>
      <c r="V748" s="11">
        <v>1</v>
      </c>
      <c r="W748" s="11" t="s">
        <v>89</v>
      </c>
      <c r="X748" s="11" t="s">
        <v>51</v>
      </c>
      <c r="Y748" s="11" t="s">
        <v>52</v>
      </c>
      <c r="Z748" s="11" t="s">
        <v>42</v>
      </c>
      <c r="AA748" s="11" t="s">
        <v>3229</v>
      </c>
    </row>
    <row r="749" spans="1:27">
      <c r="A749" s="11" t="s">
        <v>2602</v>
      </c>
      <c r="B749" s="11" t="s">
        <v>2603</v>
      </c>
      <c r="C749" s="11" t="s">
        <v>56</v>
      </c>
      <c r="D749" s="19">
        <v>79</v>
      </c>
      <c r="E749" s="11" t="s">
        <v>149</v>
      </c>
      <c r="F749" s="11" t="s">
        <v>29</v>
      </c>
      <c r="G749" s="11" t="s">
        <v>30</v>
      </c>
      <c r="H749" s="12">
        <v>46196</v>
      </c>
      <c r="I749" s="12" t="str">
        <f t="shared" si="12"/>
        <v>June</v>
      </c>
      <c r="J749" s="24">
        <v>0.51527777777777772</v>
      </c>
      <c r="K749" s="19">
        <v>6</v>
      </c>
      <c r="L749" s="12">
        <v>46196</v>
      </c>
      <c r="M749" s="24">
        <v>0.72361111111111109</v>
      </c>
      <c r="N749" s="11">
        <v>5</v>
      </c>
      <c r="O749" s="11" t="s">
        <v>68</v>
      </c>
      <c r="P749" s="11" t="s">
        <v>35</v>
      </c>
      <c r="Q749" s="11"/>
      <c r="R749" s="11" t="s">
        <v>36</v>
      </c>
      <c r="S749" s="19">
        <v>40</v>
      </c>
      <c r="T749" s="11" t="s">
        <v>49</v>
      </c>
      <c r="U749" s="11" t="s">
        <v>164</v>
      </c>
      <c r="V749" s="11">
        <v>3</v>
      </c>
      <c r="W749" s="11" t="s">
        <v>62</v>
      </c>
      <c r="X749" s="11" t="s">
        <v>51</v>
      </c>
      <c r="Y749" s="11" t="s">
        <v>52</v>
      </c>
      <c r="Z749" s="11" t="s">
        <v>53</v>
      </c>
      <c r="AA749" s="11" t="str">
        <f>IF(A749=" ", "Missing Value", " ")</f>
        <v xml:space="preserve"> </v>
      </c>
    </row>
    <row r="750" spans="1:27">
      <c r="A750" s="11" t="s">
        <v>2604</v>
      </c>
      <c r="B750" s="11" t="s">
        <v>2605</v>
      </c>
      <c r="C750" s="11" t="s">
        <v>27</v>
      </c>
      <c r="D750" s="19">
        <v>150</v>
      </c>
      <c r="E750" s="11" t="s">
        <v>92</v>
      </c>
      <c r="F750" s="11" t="s">
        <v>29</v>
      </c>
      <c r="G750" s="11" t="s">
        <v>30</v>
      </c>
      <c r="H750" s="12">
        <v>46104</v>
      </c>
      <c r="I750" s="12" t="str">
        <f t="shared" si="12"/>
        <v>March</v>
      </c>
      <c r="J750" s="24">
        <v>0.54305555555555551</v>
      </c>
      <c r="K750" s="19">
        <v>24</v>
      </c>
      <c r="L750" s="12">
        <v>46105</v>
      </c>
      <c r="M750" s="24">
        <v>0.79305555555555551</v>
      </c>
      <c r="N750" s="11">
        <v>30</v>
      </c>
      <c r="O750" s="11" t="s">
        <v>34</v>
      </c>
      <c r="P750" s="11" t="s">
        <v>35</v>
      </c>
      <c r="Q750" s="11"/>
      <c r="R750" s="11" t="s">
        <v>36</v>
      </c>
      <c r="S750" s="19">
        <v>50</v>
      </c>
      <c r="T750" s="11" t="s">
        <v>49</v>
      </c>
      <c r="U750" s="11" t="s">
        <v>164</v>
      </c>
      <c r="V750" s="11">
        <v>3</v>
      </c>
      <c r="W750" s="11" t="s">
        <v>62</v>
      </c>
      <c r="X750" s="11" t="s">
        <v>51</v>
      </c>
      <c r="Y750" s="11" t="s">
        <v>52</v>
      </c>
      <c r="Z750" s="11" t="s">
        <v>71</v>
      </c>
      <c r="AA750" s="11" t="s">
        <v>3248</v>
      </c>
    </row>
    <row r="751" spans="1:27">
      <c r="A751" s="11" t="s">
        <v>2607</v>
      </c>
      <c r="B751" s="11" t="s">
        <v>2608</v>
      </c>
      <c r="C751" s="11" t="s">
        <v>56</v>
      </c>
      <c r="D751" s="19">
        <v>87</v>
      </c>
      <c r="E751" s="11" t="s">
        <v>149</v>
      </c>
      <c r="F751" s="11" t="s">
        <v>29</v>
      </c>
      <c r="G751" s="11" t="s">
        <v>30</v>
      </c>
      <c r="H751" s="12">
        <v>46158</v>
      </c>
      <c r="I751" s="12" t="str">
        <f t="shared" si="12"/>
        <v>May</v>
      </c>
      <c r="J751" s="24">
        <v>0.3659722222222222</v>
      </c>
      <c r="K751" s="19">
        <v>6</v>
      </c>
      <c r="L751" s="12">
        <v>46158</v>
      </c>
      <c r="M751" s="24">
        <v>0.94930555555555551</v>
      </c>
      <c r="N751" s="11">
        <v>14</v>
      </c>
      <c r="O751" s="11" t="s">
        <v>34</v>
      </c>
      <c r="P751" s="11" t="s">
        <v>35</v>
      </c>
      <c r="Q751" s="11"/>
      <c r="R751" s="11" t="s">
        <v>36</v>
      </c>
      <c r="S751" s="19">
        <v>40</v>
      </c>
      <c r="T751" s="11" t="s">
        <v>37</v>
      </c>
      <c r="U751" s="11" t="s">
        <v>96</v>
      </c>
      <c r="V751" s="11">
        <v>2</v>
      </c>
      <c r="W751" s="11" t="s">
        <v>70</v>
      </c>
      <c r="X751" s="11" t="s">
        <v>3333</v>
      </c>
      <c r="Y751" s="11" t="s">
        <v>109</v>
      </c>
      <c r="Z751" s="11" t="s">
        <v>53</v>
      </c>
      <c r="AA751" s="11" t="str">
        <f>IF(A751=" ", "Missing Value", " ")</f>
        <v xml:space="preserve"> </v>
      </c>
    </row>
    <row r="752" spans="1:27">
      <c r="A752" s="11" t="s">
        <v>2609</v>
      </c>
      <c r="B752" s="11" t="s">
        <v>2610</v>
      </c>
      <c r="C752" s="11" t="s">
        <v>27</v>
      </c>
      <c r="D752" s="19">
        <v>54</v>
      </c>
      <c r="E752" s="11" t="s">
        <v>149</v>
      </c>
      <c r="F752" s="11" t="s">
        <v>29</v>
      </c>
      <c r="G752" s="11" t="s">
        <v>30</v>
      </c>
      <c r="H752" s="12">
        <v>46025</v>
      </c>
      <c r="I752" s="12" t="str">
        <f t="shared" si="12"/>
        <v>January</v>
      </c>
      <c r="J752" s="24">
        <v>0.49722222222222223</v>
      </c>
      <c r="K752" s="19">
        <v>6</v>
      </c>
      <c r="L752" s="12">
        <v>46026</v>
      </c>
      <c r="M752" s="24">
        <v>3.888888888888889E-2</v>
      </c>
      <c r="N752" s="11">
        <v>13</v>
      </c>
      <c r="O752" s="11" t="s">
        <v>34</v>
      </c>
      <c r="P752" s="11" t="s">
        <v>35</v>
      </c>
      <c r="Q752" s="11"/>
      <c r="R752" s="11" t="s">
        <v>36</v>
      </c>
      <c r="S752" s="19">
        <v>40</v>
      </c>
      <c r="T752" s="11" t="s">
        <v>37</v>
      </c>
      <c r="U752" s="11" t="s">
        <v>164</v>
      </c>
      <c r="V752" s="11">
        <v>3</v>
      </c>
      <c r="W752" s="11" t="s">
        <v>89</v>
      </c>
      <c r="X752" s="11" t="s">
        <v>3325</v>
      </c>
      <c r="Y752" s="11" t="s">
        <v>41</v>
      </c>
      <c r="Z752" s="11" t="s">
        <v>42</v>
      </c>
      <c r="AA752" s="11" t="str">
        <f>IF(A752=" ", "Missing Value", " ")</f>
        <v xml:space="preserve"> </v>
      </c>
    </row>
    <row r="753" spans="1:27">
      <c r="A753" s="11" t="s">
        <v>2612</v>
      </c>
      <c r="B753" s="11" t="s">
        <v>2613</v>
      </c>
      <c r="C753" s="11" t="s">
        <v>56</v>
      </c>
      <c r="D753" s="19">
        <v>16</v>
      </c>
      <c r="E753" s="11" t="s">
        <v>57</v>
      </c>
      <c r="F753" s="11" t="s">
        <v>29</v>
      </c>
      <c r="G753" s="11" t="s">
        <v>58</v>
      </c>
      <c r="H753" s="12">
        <v>46148</v>
      </c>
      <c r="I753" s="12" t="str">
        <f t="shared" si="12"/>
        <v>May</v>
      </c>
      <c r="J753" s="24">
        <v>0.32708333333333334</v>
      </c>
      <c r="K753" s="19">
        <v>3</v>
      </c>
      <c r="L753" s="12">
        <v>46148</v>
      </c>
      <c r="M753" s="24">
        <v>0.41041666666666665</v>
      </c>
      <c r="N753" s="11">
        <v>2</v>
      </c>
      <c r="O753" s="11" t="s">
        <v>68</v>
      </c>
      <c r="P753" s="11" t="s">
        <v>35</v>
      </c>
      <c r="Q753" s="11"/>
      <c r="R753" s="11" t="s">
        <v>36</v>
      </c>
      <c r="S753" s="19">
        <v>15</v>
      </c>
      <c r="T753" s="11" t="s">
        <v>49</v>
      </c>
      <c r="U753" s="11" t="s">
        <v>96</v>
      </c>
      <c r="V753" s="11">
        <v>4</v>
      </c>
      <c r="W753" s="11" t="s">
        <v>70</v>
      </c>
      <c r="X753" s="11" t="s">
        <v>3333</v>
      </c>
      <c r="Y753" s="11" t="s">
        <v>109</v>
      </c>
      <c r="Z753" s="11" t="s">
        <v>53</v>
      </c>
      <c r="AA753" s="11"/>
    </row>
    <row r="754" spans="1:27">
      <c r="A754" s="11" t="s">
        <v>2614</v>
      </c>
      <c r="B754" s="11" t="s">
        <v>2615</v>
      </c>
      <c r="C754" s="11" t="s">
        <v>27</v>
      </c>
      <c r="D754" s="19">
        <v>7</v>
      </c>
      <c r="E754" s="11" t="s">
        <v>92</v>
      </c>
      <c r="F754" s="11" t="s">
        <v>29</v>
      </c>
      <c r="G754" s="11" t="s">
        <v>58</v>
      </c>
      <c r="H754" s="12">
        <v>46037</v>
      </c>
      <c r="I754" s="12" t="str">
        <f t="shared" si="12"/>
        <v>January</v>
      </c>
      <c r="J754" s="24">
        <v>0.52777777777777779</v>
      </c>
      <c r="K754" s="19">
        <v>24</v>
      </c>
      <c r="L754" s="12">
        <v>46038</v>
      </c>
      <c r="M754" s="24">
        <v>0.77777777777777779</v>
      </c>
      <c r="N754" s="11">
        <v>30</v>
      </c>
      <c r="O754" s="11" t="s">
        <v>34</v>
      </c>
      <c r="P754" s="11" t="s">
        <v>35</v>
      </c>
      <c r="Q754" s="11"/>
      <c r="R754" s="11" t="s">
        <v>36</v>
      </c>
      <c r="S754" s="19">
        <v>50</v>
      </c>
      <c r="T754" s="11" t="s">
        <v>49</v>
      </c>
      <c r="U754" s="11" t="s">
        <v>96</v>
      </c>
      <c r="V754" s="11">
        <v>1</v>
      </c>
      <c r="W754" s="11" t="s">
        <v>62</v>
      </c>
      <c r="X754" s="11" t="s">
        <v>3325</v>
      </c>
      <c r="Y754" s="11" t="s">
        <v>109</v>
      </c>
      <c r="Z754" s="11" t="s">
        <v>53</v>
      </c>
      <c r="AA754" s="11" t="s">
        <v>3244</v>
      </c>
    </row>
    <row r="755" spans="1:27">
      <c r="A755" s="11" t="s">
        <v>2616</v>
      </c>
      <c r="B755" s="11" t="s">
        <v>2617</v>
      </c>
      <c r="C755" s="11" t="s">
        <v>56</v>
      </c>
      <c r="D755" s="19">
        <v>72</v>
      </c>
      <c r="E755" s="11" t="s">
        <v>81</v>
      </c>
      <c r="F755" s="11" t="s">
        <v>82</v>
      </c>
      <c r="G755" s="11" t="s">
        <v>83</v>
      </c>
      <c r="H755" s="12">
        <v>46159</v>
      </c>
      <c r="I755" s="12" t="str">
        <f t="shared" si="12"/>
        <v>May</v>
      </c>
      <c r="J755" s="24">
        <v>0.375</v>
      </c>
      <c r="K755" s="19">
        <v>8</v>
      </c>
      <c r="L755" s="12">
        <v>46160</v>
      </c>
      <c r="M755" s="24">
        <v>0</v>
      </c>
      <c r="N755" s="11">
        <v>15</v>
      </c>
      <c r="O755" s="11" t="s">
        <v>34</v>
      </c>
      <c r="P755" s="11" t="s">
        <v>35</v>
      </c>
      <c r="Q755" s="11"/>
      <c r="R755" s="11" t="s">
        <v>36</v>
      </c>
      <c r="S755" s="19">
        <v>20</v>
      </c>
      <c r="T755" s="11" t="s">
        <v>37</v>
      </c>
      <c r="U755" s="11" t="s">
        <v>38</v>
      </c>
      <c r="V755" s="11">
        <v>3</v>
      </c>
      <c r="W755" s="11" t="s">
        <v>39</v>
      </c>
      <c r="X755" s="11" t="s">
        <v>3334</v>
      </c>
      <c r="Y755" s="11" t="s">
        <v>109</v>
      </c>
      <c r="Z755" s="11" t="s">
        <v>42</v>
      </c>
      <c r="AA755" s="11" t="str">
        <f>IF(A755=" ", "Missing Value", " ")</f>
        <v xml:space="preserve"> </v>
      </c>
    </row>
    <row r="756" spans="1:27">
      <c r="A756" s="11" t="s">
        <v>2619</v>
      </c>
      <c r="B756" s="11" t="s">
        <v>2620</v>
      </c>
      <c r="C756" s="11" t="s">
        <v>27</v>
      </c>
      <c r="D756" s="19">
        <v>63</v>
      </c>
      <c r="E756" s="11" t="s">
        <v>149</v>
      </c>
      <c r="F756" s="11" t="s">
        <v>29</v>
      </c>
      <c r="G756" s="11" t="s">
        <v>30</v>
      </c>
      <c r="H756" s="12">
        <v>46094</v>
      </c>
      <c r="I756" s="12" t="str">
        <f t="shared" si="12"/>
        <v>March</v>
      </c>
      <c r="J756" s="24">
        <v>0.3</v>
      </c>
      <c r="K756" s="19">
        <v>6</v>
      </c>
      <c r="L756" s="12">
        <v>46094</v>
      </c>
      <c r="M756" s="24">
        <v>0.55000000000000004</v>
      </c>
      <c r="N756" s="11">
        <v>6</v>
      </c>
      <c r="O756" s="11" t="s">
        <v>68</v>
      </c>
      <c r="P756" s="11" t="s">
        <v>35</v>
      </c>
      <c r="Q756" s="11"/>
      <c r="R756" s="11" t="s">
        <v>36</v>
      </c>
      <c r="S756" s="19">
        <v>40</v>
      </c>
      <c r="T756" s="11" t="s">
        <v>49</v>
      </c>
      <c r="U756" s="11" t="s">
        <v>96</v>
      </c>
      <c r="V756" s="11">
        <v>2</v>
      </c>
      <c r="W756" s="11" t="s">
        <v>62</v>
      </c>
      <c r="X756" s="11" t="s">
        <v>3334</v>
      </c>
      <c r="Y756" s="11" t="s">
        <v>41</v>
      </c>
      <c r="Z756" s="11" t="s">
        <v>71</v>
      </c>
      <c r="AA756" s="11" t="str">
        <f>IF(A756=" ", "Missing Value", " ")</f>
        <v xml:space="preserve"> </v>
      </c>
    </row>
    <row r="757" spans="1:27">
      <c r="A757" s="11" t="s">
        <v>2621</v>
      </c>
      <c r="B757" s="11" t="s">
        <v>2622</v>
      </c>
      <c r="C757" s="11" t="s">
        <v>56</v>
      </c>
      <c r="D757" s="19">
        <v>67</v>
      </c>
      <c r="E757" s="11" t="s">
        <v>57</v>
      </c>
      <c r="F757" s="11" t="s">
        <v>29</v>
      </c>
      <c r="G757" s="11" t="s">
        <v>58</v>
      </c>
      <c r="H757" s="12">
        <v>46066</v>
      </c>
      <c r="I757" s="12" t="str">
        <f t="shared" si="12"/>
        <v>February</v>
      </c>
      <c r="J757" s="24">
        <v>0.34166666666666667</v>
      </c>
      <c r="K757" s="19">
        <v>3</v>
      </c>
      <c r="L757" s="12">
        <v>46066</v>
      </c>
      <c r="M757" s="24">
        <v>0.55000000000000004</v>
      </c>
      <c r="N757" s="11">
        <v>5</v>
      </c>
      <c r="O757" s="11" t="s">
        <v>34</v>
      </c>
      <c r="P757" s="11" t="s">
        <v>270</v>
      </c>
      <c r="Q757" s="11" t="s">
        <v>391</v>
      </c>
      <c r="R757" s="11" t="s">
        <v>36</v>
      </c>
      <c r="S757" s="19">
        <v>15</v>
      </c>
      <c r="T757" s="11" t="s">
        <v>49</v>
      </c>
      <c r="U757" s="11" t="s">
        <v>38</v>
      </c>
      <c r="V757" s="11">
        <v>5</v>
      </c>
      <c r="W757" s="11" t="s">
        <v>62</v>
      </c>
      <c r="X757" s="11" t="s">
        <v>51</v>
      </c>
      <c r="Y757" s="11" t="s">
        <v>109</v>
      </c>
      <c r="Z757" s="11" t="s">
        <v>53</v>
      </c>
      <c r="AA757" s="11" t="s">
        <v>3288</v>
      </c>
    </row>
    <row r="758" spans="1:27">
      <c r="A758" s="11" t="s">
        <v>2624</v>
      </c>
      <c r="B758" s="11" t="s">
        <v>2625</v>
      </c>
      <c r="C758" s="11" t="s">
        <v>56</v>
      </c>
      <c r="D758" s="19">
        <v>33</v>
      </c>
      <c r="E758" s="11" t="s">
        <v>81</v>
      </c>
      <c r="F758" s="11" t="s">
        <v>82</v>
      </c>
      <c r="G758" s="11" t="s">
        <v>83</v>
      </c>
      <c r="H758" s="12">
        <v>46052</v>
      </c>
      <c r="I758" s="12" t="str">
        <f t="shared" si="12"/>
        <v>January</v>
      </c>
      <c r="J758" s="24">
        <v>0.5756944444444444</v>
      </c>
      <c r="K758" s="19">
        <v>8</v>
      </c>
      <c r="L758" s="12">
        <v>46052</v>
      </c>
      <c r="M758" s="24">
        <v>0.9506944444444444</v>
      </c>
      <c r="N758" s="11">
        <v>9</v>
      </c>
      <c r="O758" s="11" t="s">
        <v>34</v>
      </c>
      <c r="P758" s="11" t="s">
        <v>35</v>
      </c>
      <c r="Q758" s="11"/>
      <c r="R758" s="11" t="s">
        <v>132</v>
      </c>
      <c r="S758" s="19">
        <v>20</v>
      </c>
      <c r="T758" s="11" t="s">
        <v>37</v>
      </c>
      <c r="U758" s="11" t="s">
        <v>164</v>
      </c>
      <c r="V758" s="11">
        <v>3</v>
      </c>
      <c r="W758" s="11" t="s">
        <v>70</v>
      </c>
      <c r="X758" s="11" t="s">
        <v>3334</v>
      </c>
      <c r="Y758" s="11" t="s">
        <v>109</v>
      </c>
      <c r="Z758" s="11" t="s">
        <v>53</v>
      </c>
      <c r="AA758" s="11" t="s">
        <v>3262</v>
      </c>
    </row>
    <row r="759" spans="1:27">
      <c r="A759" s="11" t="s">
        <v>2628</v>
      </c>
      <c r="B759" s="11" t="s">
        <v>2629</v>
      </c>
      <c r="C759" s="11" t="s">
        <v>27</v>
      </c>
      <c r="D759" s="19">
        <v>84</v>
      </c>
      <c r="E759" s="11" t="s">
        <v>173</v>
      </c>
      <c r="F759" s="11" t="s">
        <v>29</v>
      </c>
      <c r="G759" s="11" t="s">
        <v>168</v>
      </c>
      <c r="H759" s="12">
        <v>46076</v>
      </c>
      <c r="I759" s="12" t="str">
        <f t="shared" si="12"/>
        <v>February</v>
      </c>
      <c r="J759" s="24">
        <v>0.4826388888888889</v>
      </c>
      <c r="K759" s="19">
        <v>4</v>
      </c>
      <c r="L759" s="12">
        <v>46076</v>
      </c>
      <c r="M759" s="24">
        <v>0.77430555555555558</v>
      </c>
      <c r="N759" s="11">
        <v>7</v>
      </c>
      <c r="O759" s="11" t="s">
        <v>34</v>
      </c>
      <c r="P759" s="11" t="s">
        <v>270</v>
      </c>
      <c r="Q759" s="11" t="s">
        <v>620</v>
      </c>
      <c r="R759" s="11" t="s">
        <v>36</v>
      </c>
      <c r="S759" s="19">
        <v>25</v>
      </c>
      <c r="T759" s="11" t="s">
        <v>49</v>
      </c>
      <c r="U759" s="11" t="s">
        <v>96</v>
      </c>
      <c r="V759" s="11">
        <v>4</v>
      </c>
      <c r="W759" s="11" t="s">
        <v>39</v>
      </c>
      <c r="X759" s="11" t="s">
        <v>51</v>
      </c>
      <c r="Y759" s="11" t="s">
        <v>52</v>
      </c>
      <c r="Z759" s="11" t="s">
        <v>42</v>
      </c>
      <c r="AA759" s="11" t="s">
        <v>3254</v>
      </c>
    </row>
    <row r="760" spans="1:27">
      <c r="A760" s="11" t="s">
        <v>2631</v>
      </c>
      <c r="B760" s="11" t="s">
        <v>2632</v>
      </c>
      <c r="C760" s="11" t="s">
        <v>27</v>
      </c>
      <c r="D760" s="19">
        <v>18</v>
      </c>
      <c r="E760" s="11" t="s">
        <v>57</v>
      </c>
      <c r="F760" s="11" t="s">
        <v>29</v>
      </c>
      <c r="G760" s="11" t="s">
        <v>58</v>
      </c>
      <c r="H760" s="12">
        <v>46178</v>
      </c>
      <c r="I760" s="12" t="str">
        <f t="shared" si="12"/>
        <v>June</v>
      </c>
      <c r="J760" s="24">
        <v>0.56527777777777777</v>
      </c>
      <c r="K760" s="19">
        <v>3</v>
      </c>
      <c r="L760" s="12">
        <v>46178</v>
      </c>
      <c r="M760" s="24">
        <v>0.9819444444444444</v>
      </c>
      <c r="N760" s="11">
        <v>10</v>
      </c>
      <c r="O760" s="11" t="s">
        <v>34</v>
      </c>
      <c r="P760" s="11" t="s">
        <v>270</v>
      </c>
      <c r="Q760" s="11" t="s">
        <v>620</v>
      </c>
      <c r="R760" s="11" t="s">
        <v>36</v>
      </c>
      <c r="S760" s="19">
        <v>15</v>
      </c>
      <c r="T760" s="11" t="s">
        <v>37</v>
      </c>
      <c r="U760" s="11" t="s">
        <v>38</v>
      </c>
      <c r="V760" s="11">
        <v>4</v>
      </c>
      <c r="W760" s="11" t="s">
        <v>89</v>
      </c>
      <c r="X760" s="11" t="s">
        <v>51</v>
      </c>
      <c r="Y760" s="11" t="s">
        <v>109</v>
      </c>
      <c r="Z760" s="11" t="s">
        <v>53</v>
      </c>
      <c r="AA760" s="11" t="s">
        <v>3288</v>
      </c>
    </row>
    <row r="761" spans="1:27">
      <c r="A761" s="11" t="s">
        <v>2633</v>
      </c>
      <c r="B761" s="11" t="s">
        <v>2634</v>
      </c>
      <c r="C761" s="11" t="s">
        <v>56</v>
      </c>
      <c r="D761" s="19">
        <v>17</v>
      </c>
      <c r="E761" s="11" t="s">
        <v>28</v>
      </c>
      <c r="F761" s="11" t="s">
        <v>29</v>
      </c>
      <c r="G761" s="11" t="s">
        <v>30</v>
      </c>
      <c r="H761" s="12">
        <v>46173</v>
      </c>
      <c r="I761" s="12" t="str">
        <f t="shared" si="12"/>
        <v>May</v>
      </c>
      <c r="J761" s="24">
        <v>0.67777777777777781</v>
      </c>
      <c r="K761" s="19">
        <v>5</v>
      </c>
      <c r="L761" s="12">
        <v>46174</v>
      </c>
      <c r="M761" s="24">
        <v>1.1111111111111112E-2</v>
      </c>
      <c r="N761" s="11">
        <v>8</v>
      </c>
      <c r="O761" s="11" t="s">
        <v>34</v>
      </c>
      <c r="P761" s="11" t="s">
        <v>35</v>
      </c>
      <c r="Q761" s="11"/>
      <c r="R761" s="11" t="s">
        <v>36</v>
      </c>
      <c r="S761" s="19">
        <v>35</v>
      </c>
      <c r="T761" s="11" t="s">
        <v>49</v>
      </c>
      <c r="U761" s="11" t="s">
        <v>164</v>
      </c>
      <c r="V761" s="11">
        <v>3</v>
      </c>
      <c r="W761" s="11" t="s">
        <v>89</v>
      </c>
      <c r="X761" s="11" t="s">
        <v>3333</v>
      </c>
      <c r="Y761" s="11" t="s">
        <v>41</v>
      </c>
      <c r="Z761" s="11" t="s">
        <v>53</v>
      </c>
      <c r="AA761" s="11" t="str">
        <f>IF(A761=" ", "Missing Value", " ")</f>
        <v xml:space="preserve"> </v>
      </c>
    </row>
    <row r="762" spans="1:27">
      <c r="A762" s="11" t="s">
        <v>2636</v>
      </c>
      <c r="B762" s="11" t="s">
        <v>2637</v>
      </c>
      <c r="C762" s="11" t="s">
        <v>27</v>
      </c>
      <c r="D762" s="19">
        <v>38</v>
      </c>
      <c r="E762" s="11" t="s">
        <v>81</v>
      </c>
      <c r="F762" s="11" t="s">
        <v>82</v>
      </c>
      <c r="G762" s="11" t="s">
        <v>168</v>
      </c>
      <c r="H762" s="12">
        <v>46039</v>
      </c>
      <c r="I762" s="12" t="str">
        <f t="shared" si="12"/>
        <v>January</v>
      </c>
      <c r="J762" s="24">
        <v>0.39374999999999999</v>
      </c>
      <c r="K762" s="19">
        <v>8</v>
      </c>
      <c r="L762" s="12">
        <v>46039</v>
      </c>
      <c r="M762" s="24">
        <v>0.89375000000000004</v>
      </c>
      <c r="N762" s="11">
        <v>12</v>
      </c>
      <c r="O762" s="11" t="s">
        <v>34</v>
      </c>
      <c r="P762" s="11" t="s">
        <v>35</v>
      </c>
      <c r="Q762" s="11"/>
      <c r="R762" s="11" t="s">
        <v>36</v>
      </c>
      <c r="S762" s="19">
        <v>20</v>
      </c>
      <c r="T762" s="11" t="s">
        <v>49</v>
      </c>
      <c r="U762" s="11" t="s">
        <v>96</v>
      </c>
      <c r="V762" s="11">
        <v>2</v>
      </c>
      <c r="W762" s="11" t="s">
        <v>62</v>
      </c>
      <c r="X762" s="11" t="s">
        <v>3333</v>
      </c>
      <c r="Y762" s="11" t="s">
        <v>41</v>
      </c>
      <c r="Z762" s="11" t="s">
        <v>53</v>
      </c>
      <c r="AA762" s="11" t="s">
        <v>3234</v>
      </c>
    </row>
    <row r="763" spans="1:27">
      <c r="A763" s="11" t="s">
        <v>2639</v>
      </c>
      <c r="B763" s="11" t="s">
        <v>2640</v>
      </c>
      <c r="C763" s="11" t="s">
        <v>56</v>
      </c>
      <c r="D763" s="19">
        <v>8</v>
      </c>
      <c r="E763" s="11" t="s">
        <v>57</v>
      </c>
      <c r="F763" s="11" t="s">
        <v>29</v>
      </c>
      <c r="G763" s="11" t="s">
        <v>83</v>
      </c>
      <c r="H763" s="12">
        <v>46190</v>
      </c>
      <c r="I763" s="12" t="str">
        <f t="shared" si="12"/>
        <v>June</v>
      </c>
      <c r="J763" s="24">
        <v>0.31666666666666665</v>
      </c>
      <c r="K763" s="19">
        <v>3</v>
      </c>
      <c r="L763" s="12">
        <v>46190</v>
      </c>
      <c r="M763" s="24">
        <v>0.48333333333333334</v>
      </c>
      <c r="N763" s="11">
        <v>4</v>
      </c>
      <c r="O763" s="11" t="s">
        <v>34</v>
      </c>
      <c r="P763" s="11" t="s">
        <v>35</v>
      </c>
      <c r="Q763" s="11"/>
      <c r="R763" s="11" t="s">
        <v>36</v>
      </c>
      <c r="S763" s="19">
        <v>15</v>
      </c>
      <c r="T763" s="11" t="s">
        <v>37</v>
      </c>
      <c r="U763" s="11" t="s">
        <v>164</v>
      </c>
      <c r="V763" s="11">
        <v>3</v>
      </c>
      <c r="W763" s="11" t="s">
        <v>39</v>
      </c>
      <c r="X763" s="11" t="s">
        <v>3325</v>
      </c>
      <c r="Y763" s="11" t="s">
        <v>109</v>
      </c>
      <c r="Z763" s="11" t="s">
        <v>71</v>
      </c>
      <c r="AA763" s="11" t="s">
        <v>3234</v>
      </c>
    </row>
    <row r="764" spans="1:27">
      <c r="A764" s="11" t="s">
        <v>2642</v>
      </c>
      <c r="B764" s="11" t="s">
        <v>2643</v>
      </c>
      <c r="C764" s="11" t="s">
        <v>27</v>
      </c>
      <c r="D764" s="19">
        <v>83</v>
      </c>
      <c r="E764" s="11" t="s">
        <v>92</v>
      </c>
      <c r="F764" s="11" t="s">
        <v>29</v>
      </c>
      <c r="G764" s="11" t="s">
        <v>83</v>
      </c>
      <c r="H764" s="12">
        <v>46133</v>
      </c>
      <c r="I764" s="12" t="str">
        <f t="shared" si="12"/>
        <v>April</v>
      </c>
      <c r="J764" s="24">
        <v>0.47916666666666669</v>
      </c>
      <c r="K764" s="19">
        <v>24</v>
      </c>
      <c r="L764" s="12">
        <v>46134</v>
      </c>
      <c r="M764" s="24">
        <v>0.6875</v>
      </c>
      <c r="N764" s="11">
        <v>29</v>
      </c>
      <c r="O764" s="11" t="s">
        <v>34</v>
      </c>
      <c r="P764" s="11" t="s">
        <v>35</v>
      </c>
      <c r="Q764" s="11"/>
      <c r="R764" s="11" t="s">
        <v>36</v>
      </c>
      <c r="S764" s="19">
        <v>50</v>
      </c>
      <c r="T764" s="11" t="s">
        <v>49</v>
      </c>
      <c r="U764" s="11" t="s">
        <v>164</v>
      </c>
      <c r="V764" s="11">
        <v>1</v>
      </c>
      <c r="W764" s="11" t="s">
        <v>70</v>
      </c>
      <c r="X764" s="11" t="s">
        <v>3334</v>
      </c>
      <c r="Y764" s="11" t="s">
        <v>109</v>
      </c>
      <c r="Z764" s="11" t="s">
        <v>71</v>
      </c>
      <c r="AA764" s="11" t="s">
        <v>3234</v>
      </c>
    </row>
    <row r="765" spans="1:27">
      <c r="A765" s="11" t="s">
        <v>2645</v>
      </c>
      <c r="B765" s="11" t="s">
        <v>2646</v>
      </c>
      <c r="C765" s="11" t="s">
        <v>56</v>
      </c>
      <c r="D765" s="19">
        <v>12</v>
      </c>
      <c r="E765" s="11" t="s">
        <v>92</v>
      </c>
      <c r="F765" s="11" t="s">
        <v>29</v>
      </c>
      <c r="G765" s="11" t="s">
        <v>168</v>
      </c>
      <c r="H765" s="12">
        <v>46189</v>
      </c>
      <c r="I765" s="12" t="str">
        <f t="shared" si="12"/>
        <v>June</v>
      </c>
      <c r="J765" s="24">
        <v>0.32569444444444445</v>
      </c>
      <c r="K765" s="19">
        <v>24</v>
      </c>
      <c r="L765" s="12">
        <v>46190</v>
      </c>
      <c r="M765" s="24">
        <v>0.32569444444444445</v>
      </c>
      <c r="N765" s="11">
        <v>24</v>
      </c>
      <c r="O765" s="11" t="s">
        <v>68</v>
      </c>
      <c r="P765" s="11" t="s">
        <v>35</v>
      </c>
      <c r="Q765" s="11"/>
      <c r="R765" s="11" t="s">
        <v>36</v>
      </c>
      <c r="S765" s="19">
        <v>50</v>
      </c>
      <c r="T765" s="11" t="s">
        <v>37</v>
      </c>
      <c r="U765" s="11" t="s">
        <v>38</v>
      </c>
      <c r="V765" s="11">
        <v>4</v>
      </c>
      <c r="W765" s="11" t="s">
        <v>62</v>
      </c>
      <c r="X765" s="11" t="s">
        <v>3334</v>
      </c>
      <c r="Y765" s="11" t="s">
        <v>109</v>
      </c>
      <c r="Z765" s="11" t="s">
        <v>42</v>
      </c>
      <c r="AA765" s="11" t="s">
        <v>3247</v>
      </c>
    </row>
    <row r="766" spans="1:27">
      <c r="A766" s="11" t="s">
        <v>2647</v>
      </c>
      <c r="B766" s="11" t="s">
        <v>2648</v>
      </c>
      <c r="C766" s="11" t="s">
        <v>56</v>
      </c>
      <c r="D766" s="19">
        <v>82</v>
      </c>
      <c r="E766" s="11" t="s">
        <v>92</v>
      </c>
      <c r="F766" s="11" t="s">
        <v>29</v>
      </c>
      <c r="G766" s="11" t="s">
        <v>83</v>
      </c>
      <c r="H766" s="12">
        <v>46123</v>
      </c>
      <c r="I766" s="12" t="str">
        <f t="shared" si="12"/>
        <v>April</v>
      </c>
      <c r="J766" s="24">
        <v>0.7006944444444444</v>
      </c>
      <c r="K766" s="19">
        <v>24</v>
      </c>
      <c r="L766" s="12">
        <v>46124</v>
      </c>
      <c r="M766" s="24">
        <v>0.99236111111111114</v>
      </c>
      <c r="N766" s="11">
        <v>31</v>
      </c>
      <c r="O766" s="11" t="s">
        <v>34</v>
      </c>
      <c r="P766" s="11" t="s">
        <v>35</v>
      </c>
      <c r="Q766" s="11"/>
      <c r="R766" s="11" t="s">
        <v>36</v>
      </c>
      <c r="S766" s="19">
        <v>50</v>
      </c>
      <c r="T766" s="11" t="s">
        <v>49</v>
      </c>
      <c r="U766" s="11" t="s">
        <v>38</v>
      </c>
      <c r="V766" s="11">
        <v>5</v>
      </c>
      <c r="W766" s="11" t="s">
        <v>62</v>
      </c>
      <c r="X766" s="11" t="s">
        <v>3334</v>
      </c>
      <c r="Y766" s="11" t="s">
        <v>109</v>
      </c>
      <c r="Z766" s="11" t="s">
        <v>42</v>
      </c>
      <c r="AA766" s="11" t="s">
        <v>3246</v>
      </c>
    </row>
    <row r="767" spans="1:27">
      <c r="A767" s="11" t="s">
        <v>2650</v>
      </c>
      <c r="B767" s="11" t="s">
        <v>2651</v>
      </c>
      <c r="C767" s="11" t="s">
        <v>56</v>
      </c>
      <c r="D767" s="19">
        <v>88</v>
      </c>
      <c r="E767" s="11" t="s">
        <v>81</v>
      </c>
      <c r="F767" s="11" t="s">
        <v>82</v>
      </c>
      <c r="G767" s="11" t="s">
        <v>30</v>
      </c>
      <c r="H767" s="12">
        <v>46132</v>
      </c>
      <c r="I767" s="12" t="str">
        <f t="shared" si="12"/>
        <v>April</v>
      </c>
      <c r="J767" s="24">
        <v>0.38472222222222224</v>
      </c>
      <c r="K767" s="19">
        <v>8</v>
      </c>
      <c r="L767" s="12">
        <v>46132</v>
      </c>
      <c r="M767" s="24">
        <v>0.67638888888888893</v>
      </c>
      <c r="N767" s="11">
        <v>7</v>
      </c>
      <c r="O767" s="11" t="s">
        <v>68</v>
      </c>
      <c r="P767" s="11" t="s">
        <v>35</v>
      </c>
      <c r="Q767" s="11"/>
      <c r="R767" s="11" t="s">
        <v>36</v>
      </c>
      <c r="S767" s="19">
        <v>20</v>
      </c>
      <c r="T767" s="11" t="s">
        <v>49</v>
      </c>
      <c r="U767" s="11" t="s">
        <v>164</v>
      </c>
      <c r="V767" s="11">
        <v>2</v>
      </c>
      <c r="W767" s="11" t="s">
        <v>39</v>
      </c>
      <c r="X767" s="11" t="s">
        <v>3334</v>
      </c>
      <c r="Y767" s="11" t="s">
        <v>52</v>
      </c>
      <c r="Z767" s="11" t="s">
        <v>53</v>
      </c>
      <c r="AA767" s="11" t="s">
        <v>3234</v>
      </c>
    </row>
    <row r="768" spans="1:27">
      <c r="A768" s="11" t="s">
        <v>2652</v>
      </c>
      <c r="B768" s="11" t="s">
        <v>2653</v>
      </c>
      <c r="C768" s="11" t="s">
        <v>27</v>
      </c>
      <c r="D768" s="19">
        <v>58</v>
      </c>
      <c r="E768" s="11" t="s">
        <v>173</v>
      </c>
      <c r="F768" s="11" t="s">
        <v>29</v>
      </c>
      <c r="G768" s="11" t="s">
        <v>58</v>
      </c>
      <c r="H768" s="12">
        <v>46150</v>
      </c>
      <c r="I768" s="12" t="str">
        <f t="shared" si="12"/>
        <v>May</v>
      </c>
      <c r="J768" s="24">
        <v>0.42916666666666664</v>
      </c>
      <c r="K768" s="19">
        <v>4</v>
      </c>
      <c r="L768" s="12">
        <v>46150</v>
      </c>
      <c r="M768" s="24">
        <v>0.8041666666666667</v>
      </c>
      <c r="N768" s="11">
        <v>9</v>
      </c>
      <c r="O768" s="11" t="s">
        <v>34</v>
      </c>
      <c r="P768" s="11" t="s">
        <v>35</v>
      </c>
      <c r="Q768" s="11"/>
      <c r="R768" s="11" t="s">
        <v>36</v>
      </c>
      <c r="S768" s="19">
        <v>25</v>
      </c>
      <c r="T768" s="11" t="s">
        <v>49</v>
      </c>
      <c r="U768" s="11" t="s">
        <v>38</v>
      </c>
      <c r="V768" s="11">
        <v>4</v>
      </c>
      <c r="W768" s="11" t="s">
        <v>39</v>
      </c>
      <c r="X768" s="11" t="s">
        <v>3325</v>
      </c>
      <c r="Y768" s="11" t="s">
        <v>41</v>
      </c>
      <c r="Z768" s="11" t="s">
        <v>53</v>
      </c>
      <c r="AA768" s="11" t="s">
        <v>3234</v>
      </c>
    </row>
    <row r="769" spans="1:27">
      <c r="A769" s="11" t="s">
        <v>2655</v>
      </c>
      <c r="B769" s="11" t="s">
        <v>2656</v>
      </c>
      <c r="C769" s="11" t="s">
        <v>56</v>
      </c>
      <c r="D769" s="19">
        <v>88</v>
      </c>
      <c r="E769" s="11" t="s">
        <v>28</v>
      </c>
      <c r="F769" s="11" t="s">
        <v>29</v>
      </c>
      <c r="G769" s="11" t="s">
        <v>30</v>
      </c>
      <c r="H769" s="12">
        <v>46185</v>
      </c>
      <c r="I769" s="12" t="str">
        <f t="shared" si="12"/>
        <v>June</v>
      </c>
      <c r="J769" s="24">
        <v>0.59375</v>
      </c>
      <c r="K769" s="19">
        <v>5</v>
      </c>
      <c r="L769" s="12">
        <v>46185</v>
      </c>
      <c r="M769" s="24">
        <v>0.80208333333333337</v>
      </c>
      <c r="N769" s="11">
        <v>5</v>
      </c>
      <c r="O769" s="11" t="s">
        <v>68</v>
      </c>
      <c r="P769" s="11" t="s">
        <v>35</v>
      </c>
      <c r="Q769" s="11"/>
      <c r="R769" s="11" t="s">
        <v>36</v>
      </c>
      <c r="S769" s="19">
        <v>35</v>
      </c>
      <c r="T769" s="11" t="s">
        <v>49</v>
      </c>
      <c r="U769" s="11" t="s">
        <v>38</v>
      </c>
      <c r="V769" s="11">
        <v>3</v>
      </c>
      <c r="W769" s="11" t="s">
        <v>62</v>
      </c>
      <c r="X769" s="11" t="s">
        <v>3325</v>
      </c>
      <c r="Y769" s="11" t="s">
        <v>109</v>
      </c>
      <c r="Z769" s="11" t="s">
        <v>42</v>
      </c>
      <c r="AA769" s="11" t="str">
        <f>IF(A769=" ", "Missing Value", " ")</f>
        <v xml:space="preserve"> </v>
      </c>
    </row>
    <row r="770" spans="1:27">
      <c r="A770" s="11" t="s">
        <v>2658</v>
      </c>
      <c r="B770" s="11" t="s">
        <v>2659</v>
      </c>
      <c r="C770" s="11" t="s">
        <v>56</v>
      </c>
      <c r="D770" s="19">
        <v>85</v>
      </c>
      <c r="E770" s="11" t="s">
        <v>92</v>
      </c>
      <c r="F770" s="11" t="s">
        <v>29</v>
      </c>
      <c r="G770" s="11" t="s">
        <v>83</v>
      </c>
      <c r="H770" s="12">
        <v>46148</v>
      </c>
      <c r="I770" s="12" t="str">
        <f t="shared" ref="I770:I833" si="13">TEXT(H770, "mmmm")</f>
        <v>May</v>
      </c>
      <c r="J770" s="24">
        <v>0.6333333333333333</v>
      </c>
      <c r="K770" s="19">
        <v>24</v>
      </c>
      <c r="L770" s="12">
        <v>46149</v>
      </c>
      <c r="M770" s="24">
        <v>0.6333333333333333</v>
      </c>
      <c r="N770" s="11">
        <v>24</v>
      </c>
      <c r="O770" s="11" t="s">
        <v>68</v>
      </c>
      <c r="P770" s="11" t="s">
        <v>35</v>
      </c>
      <c r="Q770" s="11"/>
      <c r="R770" s="11" t="s">
        <v>36</v>
      </c>
      <c r="S770" s="19">
        <v>50</v>
      </c>
      <c r="T770" s="11" t="s">
        <v>49</v>
      </c>
      <c r="U770" s="11" t="s">
        <v>164</v>
      </c>
      <c r="V770" s="11">
        <v>3</v>
      </c>
      <c r="W770" s="11" t="s">
        <v>62</v>
      </c>
      <c r="X770" s="11" t="s">
        <v>3333</v>
      </c>
      <c r="Y770" s="11" t="s">
        <v>52</v>
      </c>
      <c r="Z770" s="11" t="s">
        <v>42</v>
      </c>
      <c r="AA770" s="11" t="s">
        <v>3229</v>
      </c>
    </row>
    <row r="771" spans="1:27">
      <c r="A771" s="11" t="s">
        <v>2660</v>
      </c>
      <c r="B771" s="11" t="s">
        <v>2661</v>
      </c>
      <c r="C771" s="11" t="s">
        <v>56</v>
      </c>
      <c r="D771" s="19">
        <v>41</v>
      </c>
      <c r="E771" s="11" t="s">
        <v>57</v>
      </c>
      <c r="F771" s="11" t="s">
        <v>29</v>
      </c>
      <c r="G771" s="11" t="s">
        <v>83</v>
      </c>
      <c r="H771" s="12">
        <v>46142</v>
      </c>
      <c r="I771" s="12" t="str">
        <f t="shared" si="13"/>
        <v>April</v>
      </c>
      <c r="J771" s="24">
        <v>0.6875</v>
      </c>
      <c r="K771" s="19">
        <v>3</v>
      </c>
      <c r="L771" s="12">
        <v>46142</v>
      </c>
      <c r="M771" s="24">
        <v>0.85416666666666663</v>
      </c>
      <c r="N771" s="11">
        <v>4</v>
      </c>
      <c r="O771" s="11" t="s">
        <v>34</v>
      </c>
      <c r="P771" s="11" t="s">
        <v>35</v>
      </c>
      <c r="Q771" s="11"/>
      <c r="R771" s="11" t="s">
        <v>36</v>
      </c>
      <c r="S771" s="19">
        <v>15</v>
      </c>
      <c r="T771" s="11" t="s">
        <v>49</v>
      </c>
      <c r="U771" s="11" t="s">
        <v>164</v>
      </c>
      <c r="V771" s="11">
        <v>2</v>
      </c>
      <c r="W771" s="11" t="s">
        <v>70</v>
      </c>
      <c r="X771" s="11" t="s">
        <v>51</v>
      </c>
      <c r="Y771" s="11" t="s">
        <v>52</v>
      </c>
      <c r="Z771" s="11" t="s">
        <v>42</v>
      </c>
      <c r="AA771" s="11" t="s">
        <v>3234</v>
      </c>
    </row>
    <row r="772" spans="1:27">
      <c r="A772" s="11" t="s">
        <v>2662</v>
      </c>
      <c r="B772" s="11" t="s">
        <v>2663</v>
      </c>
      <c r="C772" s="11" t="s">
        <v>27</v>
      </c>
      <c r="D772" s="19">
        <v>9</v>
      </c>
      <c r="E772" s="11" t="s">
        <v>92</v>
      </c>
      <c r="F772" s="11" t="s">
        <v>29</v>
      </c>
      <c r="G772" s="11" t="s">
        <v>93</v>
      </c>
      <c r="H772" s="12">
        <v>46186</v>
      </c>
      <c r="I772" s="12" t="str">
        <f t="shared" si="13"/>
        <v>June</v>
      </c>
      <c r="J772" s="24">
        <v>0.5625</v>
      </c>
      <c r="K772" s="19">
        <v>24</v>
      </c>
      <c r="L772" s="12">
        <v>46187</v>
      </c>
      <c r="M772" s="24">
        <v>0.52083333333333337</v>
      </c>
      <c r="N772" s="11">
        <v>23</v>
      </c>
      <c r="O772" s="11" t="s">
        <v>68</v>
      </c>
      <c r="P772" s="11" t="s">
        <v>35</v>
      </c>
      <c r="Q772" s="11"/>
      <c r="R772" s="11" t="s">
        <v>36</v>
      </c>
      <c r="S772" s="19">
        <v>50</v>
      </c>
      <c r="T772" s="11" t="s">
        <v>49</v>
      </c>
      <c r="U772" s="11" t="s">
        <v>164</v>
      </c>
      <c r="V772" s="11">
        <v>4</v>
      </c>
      <c r="W772" s="11" t="s">
        <v>70</v>
      </c>
      <c r="X772" s="11" t="s">
        <v>51</v>
      </c>
      <c r="Y772" s="11" t="s">
        <v>109</v>
      </c>
      <c r="Z772" s="11" t="s">
        <v>42</v>
      </c>
      <c r="AA772" s="11" t="s">
        <v>3233</v>
      </c>
    </row>
    <row r="773" spans="1:27">
      <c r="A773" s="11" t="s">
        <v>2664</v>
      </c>
      <c r="B773" s="11" t="s">
        <v>2665</v>
      </c>
      <c r="C773" s="11" t="s">
        <v>56</v>
      </c>
      <c r="D773" s="19">
        <v>31</v>
      </c>
      <c r="E773" s="11" t="s">
        <v>81</v>
      </c>
      <c r="F773" s="11" t="s">
        <v>82</v>
      </c>
      <c r="G773" s="11" t="s">
        <v>83</v>
      </c>
      <c r="H773" s="12">
        <v>46106</v>
      </c>
      <c r="I773" s="12" t="str">
        <f t="shared" si="13"/>
        <v>March</v>
      </c>
      <c r="J773" s="24">
        <v>0.4777777777777778</v>
      </c>
      <c r="K773" s="19">
        <v>8</v>
      </c>
      <c r="L773" s="12">
        <v>46106</v>
      </c>
      <c r="M773" s="24">
        <v>0.85277777777777775</v>
      </c>
      <c r="N773" s="11">
        <v>9</v>
      </c>
      <c r="O773" s="11" t="s">
        <v>34</v>
      </c>
      <c r="P773" s="11" t="s">
        <v>35</v>
      </c>
      <c r="Q773" s="11"/>
      <c r="R773" s="11" t="s">
        <v>36</v>
      </c>
      <c r="S773" s="19">
        <v>20</v>
      </c>
      <c r="T773" s="11" t="s">
        <v>49</v>
      </c>
      <c r="U773" s="11" t="s">
        <v>38</v>
      </c>
      <c r="V773" s="11">
        <v>3</v>
      </c>
      <c r="W773" s="11" t="s">
        <v>70</v>
      </c>
      <c r="X773" s="11" t="s">
        <v>3334</v>
      </c>
      <c r="Y773" s="11" t="s">
        <v>41</v>
      </c>
      <c r="Z773" s="11" t="s">
        <v>42</v>
      </c>
      <c r="AA773" s="11" t="str">
        <f t="shared" ref="AA773:AA778" si="14">IF(A773=" ", "Missing Value", " ")</f>
        <v xml:space="preserve"> </v>
      </c>
    </row>
    <row r="774" spans="1:27">
      <c r="A774" s="11" t="s">
        <v>2666</v>
      </c>
      <c r="B774" s="11" t="s">
        <v>2667</v>
      </c>
      <c r="C774" s="11" t="s">
        <v>56</v>
      </c>
      <c r="D774" s="19">
        <v>19</v>
      </c>
      <c r="E774" s="11" t="s">
        <v>28</v>
      </c>
      <c r="F774" s="11" t="s">
        <v>29</v>
      </c>
      <c r="G774" s="11" t="s">
        <v>30</v>
      </c>
      <c r="H774" s="12">
        <v>46095</v>
      </c>
      <c r="I774" s="12" t="str">
        <f t="shared" si="13"/>
        <v>March</v>
      </c>
      <c r="J774" s="24">
        <v>0.47847222222222224</v>
      </c>
      <c r="K774" s="19">
        <v>5</v>
      </c>
      <c r="L774" s="12">
        <v>46095</v>
      </c>
      <c r="M774" s="24">
        <v>0.97847222222222219</v>
      </c>
      <c r="N774" s="11">
        <v>12</v>
      </c>
      <c r="O774" s="11" t="s">
        <v>34</v>
      </c>
      <c r="P774" s="11" t="s">
        <v>35</v>
      </c>
      <c r="Q774" s="11"/>
      <c r="R774" s="11" t="s">
        <v>36</v>
      </c>
      <c r="S774" s="19">
        <v>35</v>
      </c>
      <c r="T774" s="11" t="s">
        <v>37</v>
      </c>
      <c r="U774" s="11" t="s">
        <v>96</v>
      </c>
      <c r="V774" s="11">
        <v>5</v>
      </c>
      <c r="W774" s="11" t="s">
        <v>70</v>
      </c>
      <c r="X774" s="11" t="s">
        <v>3325</v>
      </c>
      <c r="Y774" s="11" t="s">
        <v>41</v>
      </c>
      <c r="Z774" s="11" t="s">
        <v>42</v>
      </c>
      <c r="AA774" s="11" t="str">
        <f t="shared" si="14"/>
        <v xml:space="preserve"> </v>
      </c>
    </row>
    <row r="775" spans="1:27">
      <c r="A775" s="11" t="s">
        <v>2669</v>
      </c>
      <c r="B775" s="11" t="s">
        <v>2670</v>
      </c>
      <c r="C775" s="11" t="s">
        <v>27</v>
      </c>
      <c r="D775" s="19">
        <v>15</v>
      </c>
      <c r="E775" s="11" t="s">
        <v>81</v>
      </c>
      <c r="F775" s="11" t="s">
        <v>82</v>
      </c>
      <c r="G775" s="11" t="s">
        <v>83</v>
      </c>
      <c r="H775" s="12">
        <v>46082</v>
      </c>
      <c r="I775" s="12" t="str">
        <f t="shared" si="13"/>
        <v>March</v>
      </c>
      <c r="J775" s="24">
        <v>0.57638888888888884</v>
      </c>
      <c r="K775" s="19">
        <v>8</v>
      </c>
      <c r="L775" s="12">
        <v>46083</v>
      </c>
      <c r="M775" s="24">
        <v>0.11805555555555555</v>
      </c>
      <c r="N775" s="11">
        <v>13</v>
      </c>
      <c r="O775" s="11" t="s">
        <v>34</v>
      </c>
      <c r="P775" s="11" t="s">
        <v>35</v>
      </c>
      <c r="Q775" s="11"/>
      <c r="R775" s="11" t="s">
        <v>36</v>
      </c>
      <c r="S775" s="19">
        <v>20</v>
      </c>
      <c r="T775" s="11" t="s">
        <v>49</v>
      </c>
      <c r="U775" s="11" t="s">
        <v>38</v>
      </c>
      <c r="V775" s="11">
        <v>2</v>
      </c>
      <c r="W775" s="11" t="s">
        <v>62</v>
      </c>
      <c r="X775" s="11" t="s">
        <v>3333</v>
      </c>
      <c r="Y775" s="11" t="s">
        <v>109</v>
      </c>
      <c r="Z775" s="11" t="s">
        <v>53</v>
      </c>
      <c r="AA775" s="11" t="str">
        <f t="shared" si="14"/>
        <v xml:space="preserve"> </v>
      </c>
    </row>
    <row r="776" spans="1:27">
      <c r="A776" s="11" t="s">
        <v>2672</v>
      </c>
      <c r="B776" s="11" t="s">
        <v>2673</v>
      </c>
      <c r="C776" s="11" t="s">
        <v>56</v>
      </c>
      <c r="D776" s="19">
        <v>53</v>
      </c>
      <c r="E776" s="11" t="s">
        <v>149</v>
      </c>
      <c r="F776" s="11" t="s">
        <v>29</v>
      </c>
      <c r="G776" s="11" t="s">
        <v>30</v>
      </c>
      <c r="H776" s="12">
        <v>46090</v>
      </c>
      <c r="I776" s="12" t="str">
        <f t="shared" si="13"/>
        <v>March</v>
      </c>
      <c r="J776" s="24">
        <v>0.49444444444444446</v>
      </c>
      <c r="K776" s="19">
        <v>6</v>
      </c>
      <c r="L776" s="12">
        <v>46090</v>
      </c>
      <c r="M776" s="24">
        <v>0.74444444444444446</v>
      </c>
      <c r="N776" s="11">
        <v>6</v>
      </c>
      <c r="O776" s="11" t="s">
        <v>68</v>
      </c>
      <c r="P776" s="11" t="s">
        <v>35</v>
      </c>
      <c r="Q776" s="11"/>
      <c r="R776" s="11" t="s">
        <v>36</v>
      </c>
      <c r="S776" s="19">
        <v>40</v>
      </c>
      <c r="T776" s="11" t="s">
        <v>37</v>
      </c>
      <c r="U776" s="11" t="s">
        <v>38</v>
      </c>
      <c r="V776" s="11">
        <v>5</v>
      </c>
      <c r="W776" s="11" t="s">
        <v>39</v>
      </c>
      <c r="X776" s="11" t="s">
        <v>3333</v>
      </c>
      <c r="Y776" s="11" t="s">
        <v>52</v>
      </c>
      <c r="Z776" s="11" t="s">
        <v>42</v>
      </c>
      <c r="AA776" s="11" t="str">
        <f t="shared" si="14"/>
        <v xml:space="preserve"> </v>
      </c>
    </row>
    <row r="777" spans="1:27">
      <c r="A777" s="11" t="s">
        <v>2675</v>
      </c>
      <c r="B777" s="11" t="s">
        <v>2676</v>
      </c>
      <c r="C777" s="11" t="s">
        <v>27</v>
      </c>
      <c r="D777" s="19">
        <v>65</v>
      </c>
      <c r="E777" s="11" t="s">
        <v>81</v>
      </c>
      <c r="F777" s="11" t="s">
        <v>82</v>
      </c>
      <c r="G777" s="11" t="s">
        <v>83</v>
      </c>
      <c r="H777" s="12">
        <v>46083</v>
      </c>
      <c r="I777" s="12" t="str">
        <f t="shared" si="13"/>
        <v>March</v>
      </c>
      <c r="J777" s="24">
        <v>0.6333333333333333</v>
      </c>
      <c r="K777" s="19">
        <v>8</v>
      </c>
      <c r="L777" s="12">
        <v>46084</v>
      </c>
      <c r="M777" s="24">
        <v>0.05</v>
      </c>
      <c r="N777" s="11">
        <v>10</v>
      </c>
      <c r="O777" s="11" t="s">
        <v>34</v>
      </c>
      <c r="P777" s="11" t="s">
        <v>35</v>
      </c>
      <c r="Q777" s="11"/>
      <c r="R777" s="11" t="s">
        <v>36</v>
      </c>
      <c r="S777" s="19">
        <v>20</v>
      </c>
      <c r="T777" s="11" t="s">
        <v>49</v>
      </c>
      <c r="U777" s="11" t="s">
        <v>96</v>
      </c>
      <c r="V777" s="11">
        <v>4</v>
      </c>
      <c r="W777" s="11" t="s">
        <v>62</v>
      </c>
      <c r="X777" s="11" t="s">
        <v>51</v>
      </c>
      <c r="Y777" s="11" t="s">
        <v>109</v>
      </c>
      <c r="Z777" s="11" t="s">
        <v>71</v>
      </c>
      <c r="AA777" s="11" t="str">
        <f t="shared" si="14"/>
        <v xml:space="preserve"> </v>
      </c>
    </row>
    <row r="778" spans="1:27">
      <c r="A778" s="11" t="s">
        <v>2678</v>
      </c>
      <c r="B778" s="11" t="s">
        <v>2679</v>
      </c>
      <c r="C778" s="11" t="s">
        <v>27</v>
      </c>
      <c r="D778" s="19">
        <v>52</v>
      </c>
      <c r="E778" s="11" t="s">
        <v>28</v>
      </c>
      <c r="F778" s="11" t="s">
        <v>29</v>
      </c>
      <c r="G778" s="11" t="s">
        <v>30</v>
      </c>
      <c r="H778" s="12">
        <v>46195</v>
      </c>
      <c r="I778" s="12" t="str">
        <f t="shared" si="13"/>
        <v>June</v>
      </c>
      <c r="J778" s="24">
        <v>0.32361111111111113</v>
      </c>
      <c r="K778" s="19">
        <v>5</v>
      </c>
      <c r="L778" s="12">
        <v>46195</v>
      </c>
      <c r="M778" s="24">
        <v>0.53194444444444444</v>
      </c>
      <c r="N778" s="11">
        <v>5</v>
      </c>
      <c r="O778" s="11" t="s">
        <v>68</v>
      </c>
      <c r="P778" s="11" t="s">
        <v>35</v>
      </c>
      <c r="Q778" s="11"/>
      <c r="R778" s="11" t="s">
        <v>36</v>
      </c>
      <c r="S778" s="19">
        <v>35</v>
      </c>
      <c r="T778" s="11" t="s">
        <v>49</v>
      </c>
      <c r="U778" s="11" t="s">
        <v>96</v>
      </c>
      <c r="V778" s="11">
        <v>2</v>
      </c>
      <c r="W778" s="11" t="s">
        <v>70</v>
      </c>
      <c r="X778" s="11" t="s">
        <v>51</v>
      </c>
      <c r="Y778" s="11" t="s">
        <v>52</v>
      </c>
      <c r="Z778" s="11" t="s">
        <v>71</v>
      </c>
      <c r="AA778" s="11" t="str">
        <f t="shared" si="14"/>
        <v xml:space="preserve"> </v>
      </c>
    </row>
    <row r="779" spans="1:27">
      <c r="A779" s="11" t="s">
        <v>2680</v>
      </c>
      <c r="B779" s="11" t="s">
        <v>2681</v>
      </c>
      <c r="C779" s="11" t="s">
        <v>27</v>
      </c>
      <c r="D779" s="19">
        <v>51</v>
      </c>
      <c r="E779" s="11" t="s">
        <v>92</v>
      </c>
      <c r="F779" s="11" t="s">
        <v>29</v>
      </c>
      <c r="G779" s="11" t="s">
        <v>93</v>
      </c>
      <c r="H779" s="12">
        <v>46155</v>
      </c>
      <c r="I779" s="12" t="str">
        <f t="shared" si="13"/>
        <v>May</v>
      </c>
      <c r="J779" s="24">
        <v>0.53611111111111109</v>
      </c>
      <c r="K779" s="19">
        <v>24</v>
      </c>
      <c r="L779" s="12">
        <v>46156</v>
      </c>
      <c r="M779" s="24">
        <v>0.86944444444444446</v>
      </c>
      <c r="N779" s="11">
        <v>32</v>
      </c>
      <c r="O779" s="11" t="s">
        <v>34</v>
      </c>
      <c r="P779" s="11" t="s">
        <v>270</v>
      </c>
      <c r="Q779" s="11" t="s">
        <v>620</v>
      </c>
      <c r="R779" s="11" t="s">
        <v>36</v>
      </c>
      <c r="S779" s="19">
        <v>50</v>
      </c>
      <c r="T779" s="11" t="s">
        <v>49</v>
      </c>
      <c r="U779" s="11" t="s">
        <v>38</v>
      </c>
      <c r="V779" s="11">
        <v>5</v>
      </c>
      <c r="W779" s="11" t="s">
        <v>39</v>
      </c>
      <c r="X779" s="11" t="s">
        <v>3325</v>
      </c>
      <c r="Y779" s="11" t="s">
        <v>109</v>
      </c>
      <c r="Z779" s="11" t="s">
        <v>53</v>
      </c>
      <c r="AA779" s="11" t="s">
        <v>3251</v>
      </c>
    </row>
    <row r="780" spans="1:27">
      <c r="A780" s="11" t="s">
        <v>2682</v>
      </c>
      <c r="B780" s="11" t="s">
        <v>2683</v>
      </c>
      <c r="C780" s="11" t="s">
        <v>27</v>
      </c>
      <c r="D780" s="19">
        <v>29</v>
      </c>
      <c r="E780" s="11" t="s">
        <v>149</v>
      </c>
      <c r="F780" s="11" t="s">
        <v>29</v>
      </c>
      <c r="G780" s="11" t="s">
        <v>30</v>
      </c>
      <c r="H780" s="12">
        <v>46035</v>
      </c>
      <c r="I780" s="12" t="str">
        <f t="shared" si="13"/>
        <v>January</v>
      </c>
      <c r="J780" s="24">
        <v>0.48472222222222222</v>
      </c>
      <c r="K780" s="19">
        <v>6</v>
      </c>
      <c r="L780" s="12">
        <v>46035</v>
      </c>
      <c r="M780" s="24">
        <v>0.77638888888888891</v>
      </c>
      <c r="N780" s="11">
        <v>7</v>
      </c>
      <c r="O780" s="11" t="s">
        <v>34</v>
      </c>
      <c r="P780" s="11" t="s">
        <v>35</v>
      </c>
      <c r="Q780" s="11"/>
      <c r="R780" s="11" t="s">
        <v>36</v>
      </c>
      <c r="S780" s="19">
        <v>40</v>
      </c>
      <c r="T780" s="11" t="s">
        <v>49</v>
      </c>
      <c r="U780" s="11" t="s">
        <v>164</v>
      </c>
      <c r="V780" s="11">
        <v>3</v>
      </c>
      <c r="W780" s="11" t="s">
        <v>62</v>
      </c>
      <c r="X780" s="11" t="s">
        <v>3325</v>
      </c>
      <c r="Y780" s="11" t="s">
        <v>109</v>
      </c>
      <c r="Z780" s="11" t="s">
        <v>42</v>
      </c>
      <c r="AA780" s="11" t="str">
        <f>IF(A780=" ", "Missing Value", " ")</f>
        <v xml:space="preserve"> </v>
      </c>
    </row>
    <row r="781" spans="1:27">
      <c r="A781" s="11" t="s">
        <v>2686</v>
      </c>
      <c r="B781" s="11" t="s">
        <v>2687</v>
      </c>
      <c r="C781" s="11" t="s">
        <v>27</v>
      </c>
      <c r="D781" s="19">
        <v>20</v>
      </c>
      <c r="E781" s="11" t="s">
        <v>28</v>
      </c>
      <c r="F781" s="11" t="s">
        <v>29</v>
      </c>
      <c r="G781" s="11" t="s">
        <v>168</v>
      </c>
      <c r="H781" s="12">
        <v>46134</v>
      </c>
      <c r="I781" s="12" t="str">
        <f t="shared" si="13"/>
        <v>April</v>
      </c>
      <c r="J781" s="24">
        <v>0.33263888888888887</v>
      </c>
      <c r="K781" s="19">
        <v>5</v>
      </c>
      <c r="L781" s="12">
        <v>46134</v>
      </c>
      <c r="M781" s="24">
        <v>0.79097222222222219</v>
      </c>
      <c r="N781" s="11">
        <v>11</v>
      </c>
      <c r="O781" s="11" t="s">
        <v>34</v>
      </c>
      <c r="P781" s="11" t="s">
        <v>270</v>
      </c>
      <c r="Q781" s="11" t="s">
        <v>391</v>
      </c>
      <c r="R781" s="11" t="s">
        <v>36</v>
      </c>
      <c r="S781" s="19">
        <v>35</v>
      </c>
      <c r="T781" s="11" t="s">
        <v>49</v>
      </c>
      <c r="U781" s="11" t="s">
        <v>164</v>
      </c>
      <c r="V781" s="11">
        <v>1</v>
      </c>
      <c r="W781" s="11" t="s">
        <v>39</v>
      </c>
      <c r="X781" s="11" t="s">
        <v>3325</v>
      </c>
      <c r="Y781" s="11" t="s">
        <v>109</v>
      </c>
      <c r="Z781" s="11" t="s">
        <v>42</v>
      </c>
      <c r="AA781" s="11" t="s">
        <v>3254</v>
      </c>
    </row>
    <row r="782" spans="1:27">
      <c r="A782" s="11" t="s">
        <v>2688</v>
      </c>
      <c r="B782" s="11" t="s">
        <v>2689</v>
      </c>
      <c r="C782" s="11" t="s">
        <v>27</v>
      </c>
      <c r="D782" s="19">
        <v>7</v>
      </c>
      <c r="E782" s="11" t="s">
        <v>81</v>
      </c>
      <c r="F782" s="11" t="s">
        <v>82</v>
      </c>
      <c r="G782" s="11" t="s">
        <v>83</v>
      </c>
      <c r="H782" s="12">
        <v>46029</v>
      </c>
      <c r="I782" s="12" t="str">
        <f t="shared" si="13"/>
        <v>January</v>
      </c>
      <c r="J782" s="24">
        <v>0.64930555555555558</v>
      </c>
      <c r="K782" s="19">
        <v>8</v>
      </c>
      <c r="L782" s="12">
        <v>46030</v>
      </c>
      <c r="M782" s="24">
        <v>0.2326388888888889</v>
      </c>
      <c r="N782" s="11">
        <v>14</v>
      </c>
      <c r="O782" s="11" t="s">
        <v>34</v>
      </c>
      <c r="P782" s="11" t="s">
        <v>35</v>
      </c>
      <c r="Q782" s="11"/>
      <c r="R782" s="11" t="s">
        <v>36</v>
      </c>
      <c r="S782" s="19">
        <v>20</v>
      </c>
      <c r="T782" s="11" t="s">
        <v>49</v>
      </c>
      <c r="U782" s="11" t="s">
        <v>164</v>
      </c>
      <c r="V782" s="11">
        <v>3</v>
      </c>
      <c r="W782" s="11" t="s">
        <v>89</v>
      </c>
      <c r="X782" s="11" t="s">
        <v>3334</v>
      </c>
      <c r="Y782" s="11" t="s">
        <v>52</v>
      </c>
      <c r="Z782" s="11" t="s">
        <v>71</v>
      </c>
      <c r="AA782" s="11" t="str">
        <f>IF(A782=" ", "Missing Value", " ")</f>
        <v xml:space="preserve"> </v>
      </c>
    </row>
    <row r="783" spans="1:27">
      <c r="A783" s="11" t="s">
        <v>2690</v>
      </c>
      <c r="B783" s="11" t="s">
        <v>2691</v>
      </c>
      <c r="C783" s="11" t="s">
        <v>56</v>
      </c>
      <c r="D783" s="19">
        <v>10</v>
      </c>
      <c r="E783" s="11" t="s">
        <v>149</v>
      </c>
      <c r="F783" s="11" t="s">
        <v>29</v>
      </c>
      <c r="G783" s="11" t="s">
        <v>168</v>
      </c>
      <c r="H783" s="12">
        <v>46102</v>
      </c>
      <c r="I783" s="12" t="str">
        <f t="shared" si="13"/>
        <v>March</v>
      </c>
      <c r="J783" s="24">
        <v>0.44374999999999998</v>
      </c>
      <c r="K783" s="19">
        <v>6</v>
      </c>
      <c r="L783" s="12">
        <v>46102</v>
      </c>
      <c r="M783" s="24">
        <v>0.65208333333333335</v>
      </c>
      <c r="N783" s="11">
        <v>5</v>
      </c>
      <c r="O783" s="11" t="s">
        <v>68</v>
      </c>
      <c r="P783" s="11" t="s">
        <v>35</v>
      </c>
      <c r="Q783" s="11"/>
      <c r="R783" s="11" t="s">
        <v>36</v>
      </c>
      <c r="S783" s="19">
        <v>40</v>
      </c>
      <c r="T783" s="11" t="s">
        <v>49</v>
      </c>
      <c r="U783" s="11" t="s">
        <v>164</v>
      </c>
      <c r="V783" s="11">
        <v>3</v>
      </c>
      <c r="W783" s="11" t="s">
        <v>89</v>
      </c>
      <c r="X783" s="11" t="s">
        <v>51</v>
      </c>
      <c r="Y783" s="11" t="s">
        <v>109</v>
      </c>
      <c r="Z783" s="11" t="s">
        <v>53</v>
      </c>
      <c r="AA783" s="11" t="s">
        <v>3234</v>
      </c>
    </row>
    <row r="784" spans="1:27">
      <c r="A784" s="11" t="s">
        <v>2692</v>
      </c>
      <c r="B784" s="11" t="s">
        <v>2693</v>
      </c>
      <c r="C784" s="11" t="s">
        <v>27</v>
      </c>
      <c r="D784" s="19">
        <v>43</v>
      </c>
      <c r="E784" s="11" t="s">
        <v>81</v>
      </c>
      <c r="F784" s="11" t="s">
        <v>82</v>
      </c>
      <c r="G784" s="11" t="s">
        <v>30</v>
      </c>
      <c r="H784" s="12">
        <v>46139</v>
      </c>
      <c r="I784" s="12" t="str">
        <f t="shared" si="13"/>
        <v>April</v>
      </c>
      <c r="J784" s="24">
        <v>0.33194444444444443</v>
      </c>
      <c r="K784" s="19">
        <v>8</v>
      </c>
      <c r="L784" s="12">
        <v>46139</v>
      </c>
      <c r="M784" s="24">
        <v>0.74861111111111112</v>
      </c>
      <c r="N784" s="11">
        <v>10</v>
      </c>
      <c r="O784" s="11" t="s">
        <v>34</v>
      </c>
      <c r="P784" s="11" t="s">
        <v>270</v>
      </c>
      <c r="Q784" s="11" t="s">
        <v>391</v>
      </c>
      <c r="R784" s="11" t="s">
        <v>36</v>
      </c>
      <c r="S784" s="19">
        <v>20</v>
      </c>
      <c r="T784" s="11" t="s">
        <v>49</v>
      </c>
      <c r="U784" s="11" t="s">
        <v>38</v>
      </c>
      <c r="V784" s="11">
        <v>5</v>
      </c>
      <c r="W784" s="11" t="s">
        <v>62</v>
      </c>
      <c r="X784" s="11" t="s">
        <v>3334</v>
      </c>
      <c r="Y784" s="11" t="s">
        <v>52</v>
      </c>
      <c r="Z784" s="11" t="s">
        <v>53</v>
      </c>
      <c r="AA784" s="11" t="s">
        <v>3254</v>
      </c>
    </row>
    <row r="785" spans="1:27">
      <c r="A785" s="11" t="s">
        <v>2695</v>
      </c>
      <c r="B785" s="11" t="s">
        <v>2696</v>
      </c>
      <c r="C785" s="11" t="s">
        <v>27</v>
      </c>
      <c r="D785" s="19">
        <v>43</v>
      </c>
      <c r="E785" s="11" t="s">
        <v>92</v>
      </c>
      <c r="F785" s="11" t="s">
        <v>29</v>
      </c>
      <c r="G785" s="11" t="s">
        <v>30</v>
      </c>
      <c r="H785" s="12">
        <v>46163</v>
      </c>
      <c r="I785" s="12" t="str">
        <f t="shared" si="13"/>
        <v>May</v>
      </c>
      <c r="J785" s="24">
        <v>0.34444444444444444</v>
      </c>
      <c r="K785" s="19">
        <v>24</v>
      </c>
      <c r="L785" s="12">
        <v>46164</v>
      </c>
      <c r="M785" s="24">
        <v>0.38611111111111113</v>
      </c>
      <c r="N785" s="11">
        <v>25</v>
      </c>
      <c r="O785" s="11" t="s">
        <v>34</v>
      </c>
      <c r="P785" s="11" t="s">
        <v>35</v>
      </c>
      <c r="Q785" s="11"/>
      <c r="R785" s="11" t="s">
        <v>36</v>
      </c>
      <c r="S785" s="19">
        <v>50</v>
      </c>
      <c r="T785" s="11" t="s">
        <v>49</v>
      </c>
      <c r="U785" s="11" t="s">
        <v>38</v>
      </c>
      <c r="V785" s="11">
        <v>2</v>
      </c>
      <c r="W785" s="11" t="s">
        <v>62</v>
      </c>
      <c r="X785" s="11" t="s">
        <v>51</v>
      </c>
      <c r="Y785" s="11" t="s">
        <v>109</v>
      </c>
      <c r="Z785" s="11" t="s">
        <v>42</v>
      </c>
      <c r="AA785" s="11" t="s">
        <v>3234</v>
      </c>
    </row>
    <row r="786" spans="1:27">
      <c r="A786" s="11" t="s">
        <v>2698</v>
      </c>
      <c r="B786" s="11" t="s">
        <v>2699</v>
      </c>
      <c r="C786" s="11" t="s">
        <v>27</v>
      </c>
      <c r="D786" s="19">
        <v>86</v>
      </c>
      <c r="E786" s="11" t="s">
        <v>173</v>
      </c>
      <c r="F786" s="11" t="s">
        <v>29</v>
      </c>
      <c r="G786" s="11" t="s">
        <v>168</v>
      </c>
      <c r="H786" s="12">
        <v>46058</v>
      </c>
      <c r="I786" s="12" t="str">
        <f t="shared" si="13"/>
        <v>February</v>
      </c>
      <c r="J786" s="24">
        <v>0.37916666666666665</v>
      </c>
      <c r="K786" s="19">
        <v>4</v>
      </c>
      <c r="L786" s="12">
        <v>46058</v>
      </c>
      <c r="M786" s="24">
        <v>0.50416666666666665</v>
      </c>
      <c r="N786" s="11">
        <v>3</v>
      </c>
      <c r="O786" s="11" t="s">
        <v>68</v>
      </c>
      <c r="P786" s="11" t="s">
        <v>35</v>
      </c>
      <c r="Q786" s="11"/>
      <c r="R786" s="11" t="s">
        <v>36</v>
      </c>
      <c r="S786" s="19">
        <v>25</v>
      </c>
      <c r="T786" s="11" t="s">
        <v>37</v>
      </c>
      <c r="U786" s="11" t="s">
        <v>164</v>
      </c>
      <c r="V786" s="11">
        <v>2</v>
      </c>
      <c r="W786" s="11" t="s">
        <v>39</v>
      </c>
      <c r="X786" s="11" t="s">
        <v>3325</v>
      </c>
      <c r="Y786" s="11" t="s">
        <v>52</v>
      </c>
      <c r="Z786" s="11" t="s">
        <v>42</v>
      </c>
      <c r="AA786" s="11" t="s">
        <v>3234</v>
      </c>
    </row>
    <row r="787" spans="1:27">
      <c r="A787" s="11" t="s">
        <v>2700</v>
      </c>
      <c r="B787" s="11" t="s">
        <v>2701</v>
      </c>
      <c r="C787" s="11" t="s">
        <v>56</v>
      </c>
      <c r="D787" s="19">
        <v>80</v>
      </c>
      <c r="E787" s="11" t="s">
        <v>28</v>
      </c>
      <c r="F787" s="11" t="s">
        <v>29</v>
      </c>
      <c r="G787" s="11" t="s">
        <v>30</v>
      </c>
      <c r="H787" s="12">
        <v>46199</v>
      </c>
      <c r="I787" s="12" t="str">
        <f t="shared" si="13"/>
        <v>June</v>
      </c>
      <c r="J787" s="24">
        <v>0.34166666666666667</v>
      </c>
      <c r="K787" s="19">
        <v>5</v>
      </c>
      <c r="L787" s="12">
        <v>46199</v>
      </c>
      <c r="M787" s="24">
        <v>0.59166666666666667</v>
      </c>
      <c r="N787" s="11">
        <v>6</v>
      </c>
      <c r="O787" s="11" t="s">
        <v>34</v>
      </c>
      <c r="P787" s="11" t="s">
        <v>35</v>
      </c>
      <c r="Q787" s="11"/>
      <c r="R787" s="11" t="s">
        <v>36</v>
      </c>
      <c r="S787" s="19">
        <v>35</v>
      </c>
      <c r="T787" s="11" t="s">
        <v>37</v>
      </c>
      <c r="U787" s="11" t="s">
        <v>38</v>
      </c>
      <c r="V787" s="11">
        <v>3</v>
      </c>
      <c r="W787" s="11" t="s">
        <v>39</v>
      </c>
      <c r="X787" s="11" t="s">
        <v>3325</v>
      </c>
      <c r="Y787" s="11" t="s">
        <v>109</v>
      </c>
      <c r="Z787" s="11" t="s">
        <v>53</v>
      </c>
      <c r="AA787" s="11" t="str">
        <f>IF(A787=" ", "Missing Value", " ")</f>
        <v xml:space="preserve"> </v>
      </c>
    </row>
    <row r="788" spans="1:27">
      <c r="A788" s="11" t="s">
        <v>2702</v>
      </c>
      <c r="B788" s="11" t="s">
        <v>2703</v>
      </c>
      <c r="C788" s="11" t="s">
        <v>27</v>
      </c>
      <c r="D788" s="19">
        <v>80</v>
      </c>
      <c r="E788" s="11" t="s">
        <v>57</v>
      </c>
      <c r="F788" s="11" t="s">
        <v>29</v>
      </c>
      <c r="G788" s="11" t="s">
        <v>58</v>
      </c>
      <c r="H788" s="12">
        <v>46097</v>
      </c>
      <c r="I788" s="12" t="str">
        <f t="shared" si="13"/>
        <v>March</v>
      </c>
      <c r="J788" s="24">
        <v>0.38124999999999998</v>
      </c>
      <c r="K788" s="19">
        <v>3</v>
      </c>
      <c r="L788" s="12">
        <v>46097</v>
      </c>
      <c r="M788" s="24">
        <v>0.79791666666666672</v>
      </c>
      <c r="N788" s="11">
        <v>10</v>
      </c>
      <c r="O788" s="11" t="s">
        <v>34</v>
      </c>
      <c r="P788" s="11" t="s">
        <v>35</v>
      </c>
      <c r="Q788" s="11"/>
      <c r="R788" s="11" t="s">
        <v>36</v>
      </c>
      <c r="S788" s="19">
        <v>15</v>
      </c>
      <c r="T788" s="11" t="s">
        <v>49</v>
      </c>
      <c r="U788" s="11" t="s">
        <v>96</v>
      </c>
      <c r="V788" s="11">
        <v>2</v>
      </c>
      <c r="W788" s="11" t="s">
        <v>89</v>
      </c>
      <c r="X788" s="11" t="s">
        <v>3334</v>
      </c>
      <c r="Y788" s="11" t="s">
        <v>41</v>
      </c>
      <c r="Z788" s="11" t="s">
        <v>53</v>
      </c>
      <c r="AA788" s="11"/>
    </row>
    <row r="789" spans="1:27">
      <c r="A789" s="11" t="s">
        <v>2705</v>
      </c>
      <c r="B789" s="11" t="s">
        <v>2706</v>
      </c>
      <c r="C789" s="11" t="s">
        <v>27</v>
      </c>
      <c r="D789" s="19">
        <v>71</v>
      </c>
      <c r="E789" s="11" t="s">
        <v>173</v>
      </c>
      <c r="F789" s="11" t="s">
        <v>29</v>
      </c>
      <c r="G789" s="11" t="s">
        <v>93</v>
      </c>
      <c r="H789" s="12">
        <v>46136</v>
      </c>
      <c r="I789" s="12" t="str">
        <f t="shared" si="13"/>
        <v>April</v>
      </c>
      <c r="J789" s="24">
        <v>0.48958333333333331</v>
      </c>
      <c r="K789" s="19">
        <v>4</v>
      </c>
      <c r="L789" s="12">
        <v>46136</v>
      </c>
      <c r="M789" s="24">
        <v>0.98958333333333337</v>
      </c>
      <c r="N789" s="11">
        <v>12</v>
      </c>
      <c r="O789" s="11" t="s">
        <v>34</v>
      </c>
      <c r="P789" s="11" t="s">
        <v>35</v>
      </c>
      <c r="Q789" s="11"/>
      <c r="R789" s="11" t="s">
        <v>36</v>
      </c>
      <c r="S789" s="19">
        <v>25</v>
      </c>
      <c r="T789" s="11" t="s">
        <v>49</v>
      </c>
      <c r="U789" s="11" t="s">
        <v>96</v>
      </c>
      <c r="V789" s="11">
        <v>4</v>
      </c>
      <c r="W789" s="11" t="s">
        <v>89</v>
      </c>
      <c r="X789" s="11" t="s">
        <v>51</v>
      </c>
      <c r="Y789" s="11" t="s">
        <v>109</v>
      </c>
      <c r="Z789" s="11" t="s">
        <v>71</v>
      </c>
      <c r="AA789" s="11" t="s">
        <v>3234</v>
      </c>
    </row>
    <row r="790" spans="1:27">
      <c r="A790" s="11" t="s">
        <v>2707</v>
      </c>
      <c r="B790" s="11" t="s">
        <v>2708</v>
      </c>
      <c r="C790" s="11" t="s">
        <v>56</v>
      </c>
      <c r="D790" s="19">
        <v>43</v>
      </c>
      <c r="E790" s="11" t="s">
        <v>57</v>
      </c>
      <c r="F790" s="11" t="s">
        <v>29</v>
      </c>
      <c r="G790" s="11" t="s">
        <v>58</v>
      </c>
      <c r="H790" s="12">
        <v>46041</v>
      </c>
      <c r="I790" s="12" t="str">
        <f t="shared" si="13"/>
        <v>January</v>
      </c>
      <c r="J790" s="24">
        <v>0.56666666666666665</v>
      </c>
      <c r="K790" s="19">
        <v>3</v>
      </c>
      <c r="L790" s="12">
        <v>46041</v>
      </c>
      <c r="M790" s="24">
        <v>0.85833333333333328</v>
      </c>
      <c r="N790" s="11">
        <v>7</v>
      </c>
      <c r="O790" s="11" t="s">
        <v>34</v>
      </c>
      <c r="P790" s="11" t="s">
        <v>35</v>
      </c>
      <c r="Q790" s="11"/>
      <c r="R790" s="11" t="s">
        <v>36</v>
      </c>
      <c r="S790" s="19">
        <v>15</v>
      </c>
      <c r="T790" s="11" t="s">
        <v>49</v>
      </c>
      <c r="U790" s="11" t="s">
        <v>38</v>
      </c>
      <c r="V790" s="11">
        <v>4</v>
      </c>
      <c r="W790" s="11" t="s">
        <v>39</v>
      </c>
      <c r="X790" s="11" t="s">
        <v>3334</v>
      </c>
      <c r="Y790" s="11" t="s">
        <v>41</v>
      </c>
      <c r="Z790" s="11" t="s">
        <v>53</v>
      </c>
      <c r="AA790" s="11"/>
    </row>
    <row r="791" spans="1:27">
      <c r="A791" s="11" t="s">
        <v>2710</v>
      </c>
      <c r="B791" s="11" t="s">
        <v>2711</v>
      </c>
      <c r="C791" s="11" t="s">
        <v>56</v>
      </c>
      <c r="D791" s="19">
        <v>11</v>
      </c>
      <c r="E791" s="11" t="s">
        <v>81</v>
      </c>
      <c r="F791" s="11" t="s">
        <v>82</v>
      </c>
      <c r="G791" s="11" t="s">
        <v>83</v>
      </c>
      <c r="H791" s="12">
        <v>46026</v>
      </c>
      <c r="I791" s="12" t="str">
        <f t="shared" si="13"/>
        <v>January</v>
      </c>
      <c r="J791" s="24">
        <v>0.46944444444444444</v>
      </c>
      <c r="K791" s="19">
        <v>8</v>
      </c>
      <c r="L791" s="12">
        <v>46026</v>
      </c>
      <c r="M791" s="24">
        <v>0.88611111111111107</v>
      </c>
      <c r="N791" s="11">
        <v>10</v>
      </c>
      <c r="O791" s="11" t="s">
        <v>34</v>
      </c>
      <c r="P791" s="11" t="s">
        <v>35</v>
      </c>
      <c r="Q791" s="11"/>
      <c r="R791" s="11" t="s">
        <v>36</v>
      </c>
      <c r="S791" s="19">
        <v>20</v>
      </c>
      <c r="T791" s="11" t="s">
        <v>49</v>
      </c>
      <c r="U791" s="11" t="s">
        <v>164</v>
      </c>
      <c r="V791" s="11">
        <v>4</v>
      </c>
      <c r="W791" s="11" t="s">
        <v>70</v>
      </c>
      <c r="X791" s="11" t="s">
        <v>3325</v>
      </c>
      <c r="Y791" s="11" t="s">
        <v>41</v>
      </c>
      <c r="Z791" s="11" t="s">
        <v>71</v>
      </c>
      <c r="AA791" s="11" t="str">
        <f>IF(A791=" ", "Missing Value", " ")</f>
        <v xml:space="preserve"> </v>
      </c>
    </row>
    <row r="792" spans="1:27">
      <c r="A792" s="11" t="s">
        <v>2712</v>
      </c>
      <c r="B792" s="11" t="s">
        <v>2713</v>
      </c>
      <c r="C792" s="11" t="s">
        <v>27</v>
      </c>
      <c r="D792" s="19">
        <v>62</v>
      </c>
      <c r="E792" s="11" t="s">
        <v>149</v>
      </c>
      <c r="F792" s="11" t="s">
        <v>29</v>
      </c>
      <c r="G792" s="11" t="s">
        <v>30</v>
      </c>
      <c r="H792" s="12">
        <v>46177</v>
      </c>
      <c r="I792" s="12" t="str">
        <f t="shared" si="13"/>
        <v>June</v>
      </c>
      <c r="J792" s="24">
        <v>0.39513888888888887</v>
      </c>
      <c r="K792" s="19">
        <v>6</v>
      </c>
      <c r="L792" s="12">
        <v>46177</v>
      </c>
      <c r="M792" s="24">
        <v>0.60347222222222219</v>
      </c>
      <c r="N792" s="11">
        <v>5</v>
      </c>
      <c r="O792" s="11" t="s">
        <v>68</v>
      </c>
      <c r="P792" s="11" t="s">
        <v>35</v>
      </c>
      <c r="Q792" s="11"/>
      <c r="R792" s="11" t="s">
        <v>36</v>
      </c>
      <c r="S792" s="19">
        <v>40</v>
      </c>
      <c r="T792" s="11" t="s">
        <v>37</v>
      </c>
      <c r="U792" s="11" t="s">
        <v>96</v>
      </c>
      <c r="V792" s="11">
        <v>3</v>
      </c>
      <c r="W792" s="11" t="s">
        <v>70</v>
      </c>
      <c r="X792" s="11" t="s">
        <v>3334</v>
      </c>
      <c r="Y792" s="11" t="s">
        <v>109</v>
      </c>
      <c r="Z792" s="11" t="s">
        <v>71</v>
      </c>
      <c r="AA792" s="11" t="str">
        <f>IF(A792=" ", "Missing Value", " ")</f>
        <v xml:space="preserve"> </v>
      </c>
    </row>
    <row r="793" spans="1:27">
      <c r="A793" s="11" t="s">
        <v>2714</v>
      </c>
      <c r="B793" s="11" t="s">
        <v>2715</v>
      </c>
      <c r="C793" s="11" t="s">
        <v>27</v>
      </c>
      <c r="D793" s="19">
        <v>21</v>
      </c>
      <c r="E793" s="11" t="s">
        <v>57</v>
      </c>
      <c r="F793" s="11" t="s">
        <v>29</v>
      </c>
      <c r="G793" s="11" t="s">
        <v>93</v>
      </c>
      <c r="H793" s="12">
        <v>46192</v>
      </c>
      <c r="I793" s="12" t="str">
        <f t="shared" si="13"/>
        <v>June</v>
      </c>
      <c r="J793" s="24">
        <v>0.29652777777777778</v>
      </c>
      <c r="K793" s="19">
        <v>3</v>
      </c>
      <c r="L793" s="12">
        <v>46192</v>
      </c>
      <c r="M793" s="24">
        <v>0.37986111111111109</v>
      </c>
      <c r="N793" s="11">
        <v>2</v>
      </c>
      <c r="O793" s="11" t="s">
        <v>68</v>
      </c>
      <c r="P793" s="11" t="s">
        <v>270</v>
      </c>
      <c r="Q793" s="11" t="s">
        <v>677</v>
      </c>
      <c r="R793" s="11" t="s">
        <v>36</v>
      </c>
      <c r="S793" s="19">
        <v>15</v>
      </c>
      <c r="T793" s="11" t="s">
        <v>49</v>
      </c>
      <c r="U793" s="11" t="s">
        <v>38</v>
      </c>
      <c r="V793" s="11">
        <v>4</v>
      </c>
      <c r="W793" s="11" t="s">
        <v>89</v>
      </c>
      <c r="X793" s="11" t="s">
        <v>51</v>
      </c>
      <c r="Y793" s="11" t="s">
        <v>41</v>
      </c>
      <c r="Z793" s="11" t="s">
        <v>53</v>
      </c>
      <c r="AA793" s="11" t="s">
        <v>3254</v>
      </c>
    </row>
    <row r="794" spans="1:27">
      <c r="A794" s="11" t="s">
        <v>2717</v>
      </c>
      <c r="B794" s="11" t="s">
        <v>2718</v>
      </c>
      <c r="C794" s="11" t="s">
        <v>27</v>
      </c>
      <c r="D794" s="19">
        <v>60</v>
      </c>
      <c r="E794" s="11" t="s">
        <v>57</v>
      </c>
      <c r="F794" s="11" t="s">
        <v>29</v>
      </c>
      <c r="G794" s="11" t="s">
        <v>58</v>
      </c>
      <c r="H794" s="12">
        <v>46039</v>
      </c>
      <c r="I794" s="12" t="str">
        <f t="shared" si="13"/>
        <v>January</v>
      </c>
      <c r="J794" s="24">
        <v>0.5805555555555556</v>
      </c>
      <c r="K794" s="19">
        <v>3</v>
      </c>
      <c r="L794" s="12">
        <v>46039</v>
      </c>
      <c r="M794" s="24">
        <v>0.7055555555555556</v>
      </c>
      <c r="N794" s="11">
        <v>3</v>
      </c>
      <c r="O794" s="11" t="s">
        <v>68</v>
      </c>
      <c r="P794" s="11" t="s">
        <v>35</v>
      </c>
      <c r="Q794" s="11"/>
      <c r="R794" s="11" t="s">
        <v>36</v>
      </c>
      <c r="S794" s="19">
        <v>15</v>
      </c>
      <c r="T794" s="11" t="s">
        <v>37</v>
      </c>
      <c r="U794" s="11" t="s">
        <v>96</v>
      </c>
      <c r="V794" s="11">
        <v>2</v>
      </c>
      <c r="W794" s="11" t="s">
        <v>39</v>
      </c>
      <c r="X794" s="11" t="s">
        <v>3334</v>
      </c>
      <c r="Y794" s="11" t="s">
        <v>109</v>
      </c>
      <c r="Z794" s="11" t="s">
        <v>53</v>
      </c>
      <c r="AA794" s="11"/>
    </row>
    <row r="795" spans="1:27">
      <c r="A795" s="11" t="s">
        <v>2720</v>
      </c>
      <c r="B795" s="11" t="s">
        <v>2721</v>
      </c>
      <c r="C795" s="11" t="s">
        <v>56</v>
      </c>
      <c r="D795" s="19">
        <v>34</v>
      </c>
      <c r="E795" s="11" t="s">
        <v>57</v>
      </c>
      <c r="F795" s="11" t="s">
        <v>29</v>
      </c>
      <c r="G795" s="11" t="s">
        <v>30</v>
      </c>
      <c r="H795" s="12">
        <v>46197</v>
      </c>
      <c r="I795" s="12" t="str">
        <f t="shared" si="13"/>
        <v>June</v>
      </c>
      <c r="J795" s="24">
        <v>0.46319444444444446</v>
      </c>
      <c r="K795" s="19">
        <v>3</v>
      </c>
      <c r="L795" s="12">
        <v>46197</v>
      </c>
      <c r="M795" s="24">
        <v>0.92152777777777772</v>
      </c>
      <c r="N795" s="11">
        <v>11</v>
      </c>
      <c r="O795" s="11" t="s">
        <v>34</v>
      </c>
      <c r="P795" s="11" t="s">
        <v>270</v>
      </c>
      <c r="Q795" s="11" t="s">
        <v>620</v>
      </c>
      <c r="R795" s="11" t="s">
        <v>36</v>
      </c>
      <c r="S795" s="19">
        <v>15</v>
      </c>
      <c r="T795" s="11" t="s">
        <v>49</v>
      </c>
      <c r="U795" s="11" t="s">
        <v>164</v>
      </c>
      <c r="V795" s="11">
        <v>4</v>
      </c>
      <c r="W795" s="11" t="s">
        <v>89</v>
      </c>
      <c r="X795" s="11" t="s">
        <v>3325</v>
      </c>
      <c r="Y795" s="11" t="s">
        <v>41</v>
      </c>
      <c r="Z795" s="11" t="s">
        <v>53</v>
      </c>
      <c r="AA795" s="11" t="s">
        <v>3254</v>
      </c>
    </row>
    <row r="796" spans="1:27">
      <c r="A796" s="11" t="s">
        <v>2723</v>
      </c>
      <c r="B796" s="11" t="s">
        <v>2724</v>
      </c>
      <c r="C796" s="11" t="s">
        <v>56</v>
      </c>
      <c r="D796" s="19">
        <v>87</v>
      </c>
      <c r="E796" s="11" t="s">
        <v>149</v>
      </c>
      <c r="F796" s="11" t="s">
        <v>29</v>
      </c>
      <c r="G796" s="11" t="s">
        <v>168</v>
      </c>
      <c r="H796" s="12">
        <v>46134</v>
      </c>
      <c r="I796" s="12" t="str">
        <f t="shared" si="13"/>
        <v>April</v>
      </c>
      <c r="J796" s="24">
        <v>0.63402777777777775</v>
      </c>
      <c r="K796" s="19">
        <v>6</v>
      </c>
      <c r="L796" s="12">
        <v>46134</v>
      </c>
      <c r="M796" s="24">
        <v>0.84236111111111112</v>
      </c>
      <c r="N796" s="11">
        <v>5</v>
      </c>
      <c r="O796" s="11" t="s">
        <v>68</v>
      </c>
      <c r="P796" s="11" t="s">
        <v>35</v>
      </c>
      <c r="Q796" s="11"/>
      <c r="R796" s="11" t="s">
        <v>36</v>
      </c>
      <c r="S796" s="19">
        <v>40</v>
      </c>
      <c r="T796" s="11" t="s">
        <v>49</v>
      </c>
      <c r="U796" s="11" t="s">
        <v>164</v>
      </c>
      <c r="V796" s="11">
        <v>5</v>
      </c>
      <c r="W796" s="11" t="s">
        <v>39</v>
      </c>
      <c r="X796" s="11" t="s">
        <v>51</v>
      </c>
      <c r="Y796" s="11" t="s">
        <v>41</v>
      </c>
      <c r="Z796" s="11" t="s">
        <v>53</v>
      </c>
      <c r="AA796" s="11" t="s">
        <v>3234</v>
      </c>
    </row>
    <row r="797" spans="1:27">
      <c r="A797" s="11" t="s">
        <v>2725</v>
      </c>
      <c r="B797" s="11" t="s">
        <v>2726</v>
      </c>
      <c r="C797" s="11" t="s">
        <v>56</v>
      </c>
      <c r="D797" s="19">
        <v>25</v>
      </c>
      <c r="E797" s="11" t="s">
        <v>81</v>
      </c>
      <c r="F797" s="11" t="s">
        <v>82</v>
      </c>
      <c r="G797" s="11" t="s">
        <v>83</v>
      </c>
      <c r="H797" s="12">
        <v>46196</v>
      </c>
      <c r="I797" s="12" t="str">
        <f t="shared" si="13"/>
        <v>June</v>
      </c>
      <c r="J797" s="24">
        <v>0.43819444444444444</v>
      </c>
      <c r="K797" s="19">
        <v>8</v>
      </c>
      <c r="L797" s="12">
        <v>46196</v>
      </c>
      <c r="M797" s="24">
        <v>0.77152777777777781</v>
      </c>
      <c r="N797" s="11">
        <v>8</v>
      </c>
      <c r="O797" s="11" t="s">
        <v>68</v>
      </c>
      <c r="P797" s="11" t="s">
        <v>270</v>
      </c>
      <c r="Q797" s="11" t="s">
        <v>271</v>
      </c>
      <c r="R797" s="11" t="s">
        <v>36</v>
      </c>
      <c r="S797" s="19">
        <v>20</v>
      </c>
      <c r="T797" s="11" t="s">
        <v>49</v>
      </c>
      <c r="U797" s="11" t="s">
        <v>38</v>
      </c>
      <c r="V797" s="11">
        <v>3</v>
      </c>
      <c r="W797" s="11" t="s">
        <v>70</v>
      </c>
      <c r="X797" s="11" t="s">
        <v>3325</v>
      </c>
      <c r="Y797" s="11" t="s">
        <v>109</v>
      </c>
      <c r="Z797" s="11" t="s">
        <v>71</v>
      </c>
      <c r="AA797" s="11" t="s">
        <v>3251</v>
      </c>
    </row>
    <row r="798" spans="1:27">
      <c r="A798" s="11" t="s">
        <v>2727</v>
      </c>
      <c r="B798" s="11" t="s">
        <v>2728</v>
      </c>
      <c r="C798" s="11" t="s">
        <v>27</v>
      </c>
      <c r="D798" s="19">
        <v>78</v>
      </c>
      <c r="E798" s="11" t="s">
        <v>92</v>
      </c>
      <c r="F798" s="11" t="s">
        <v>29</v>
      </c>
      <c r="G798" s="11" t="s">
        <v>93</v>
      </c>
      <c r="H798" s="12">
        <v>46079</v>
      </c>
      <c r="I798" s="12" t="str">
        <f t="shared" si="13"/>
        <v>February</v>
      </c>
      <c r="J798" s="24">
        <v>0.48194444444444445</v>
      </c>
      <c r="K798" s="19">
        <v>24</v>
      </c>
      <c r="L798" s="12">
        <v>46080</v>
      </c>
      <c r="M798" s="24">
        <v>0.77361111111111114</v>
      </c>
      <c r="N798" s="11">
        <v>31</v>
      </c>
      <c r="O798" s="11" t="s">
        <v>34</v>
      </c>
      <c r="P798" s="11" t="s">
        <v>35</v>
      </c>
      <c r="Q798" s="11"/>
      <c r="R798" s="11" t="s">
        <v>36</v>
      </c>
      <c r="S798" s="19"/>
      <c r="T798" s="11" t="s">
        <v>49</v>
      </c>
      <c r="U798" s="11" t="s">
        <v>164</v>
      </c>
      <c r="V798" s="11">
        <v>2</v>
      </c>
      <c r="W798" s="11" t="s">
        <v>70</v>
      </c>
      <c r="X798" s="11" t="s">
        <v>51</v>
      </c>
      <c r="Y798" s="11" t="s">
        <v>52</v>
      </c>
      <c r="Z798" s="11" t="s">
        <v>42</v>
      </c>
      <c r="AA798" s="11" t="str">
        <f>IF(A798=" ", "Missing Value", " ")</f>
        <v xml:space="preserve"> </v>
      </c>
    </row>
    <row r="799" spans="1:27">
      <c r="A799" s="11" t="s">
        <v>2729</v>
      </c>
      <c r="B799" s="11" t="s">
        <v>2730</v>
      </c>
      <c r="C799" s="11" t="s">
        <v>56</v>
      </c>
      <c r="D799" s="19">
        <v>80</v>
      </c>
      <c r="E799" s="11" t="s">
        <v>173</v>
      </c>
      <c r="F799" s="11" t="s">
        <v>29</v>
      </c>
      <c r="G799" s="11" t="s">
        <v>168</v>
      </c>
      <c r="H799" s="12">
        <v>46123</v>
      </c>
      <c r="I799" s="12" t="str">
        <f t="shared" si="13"/>
        <v>April</v>
      </c>
      <c r="J799" s="24">
        <v>0.44583333333333336</v>
      </c>
      <c r="K799" s="19">
        <v>4</v>
      </c>
      <c r="L799" s="12">
        <v>46123</v>
      </c>
      <c r="M799" s="24">
        <v>0.61250000000000004</v>
      </c>
      <c r="N799" s="11">
        <v>4</v>
      </c>
      <c r="O799" s="11" t="s">
        <v>68</v>
      </c>
      <c r="P799" s="11" t="s">
        <v>35</v>
      </c>
      <c r="Q799" s="11"/>
      <c r="R799" s="11" t="s">
        <v>36</v>
      </c>
      <c r="S799" s="19">
        <v>25</v>
      </c>
      <c r="T799" s="11" t="s">
        <v>49</v>
      </c>
      <c r="U799" s="11" t="s">
        <v>164</v>
      </c>
      <c r="V799" s="11">
        <v>1</v>
      </c>
      <c r="W799" s="11" t="s">
        <v>70</v>
      </c>
      <c r="X799" s="11" t="s">
        <v>51</v>
      </c>
      <c r="Y799" s="11" t="s">
        <v>52</v>
      </c>
      <c r="Z799" s="11" t="s">
        <v>71</v>
      </c>
      <c r="AA799" s="11" t="s">
        <v>3234</v>
      </c>
    </row>
    <row r="800" spans="1:27">
      <c r="A800" s="11" t="s">
        <v>63</v>
      </c>
      <c r="B800" s="11" t="s">
        <v>2731</v>
      </c>
      <c r="C800" s="11" t="s">
        <v>56</v>
      </c>
      <c r="D800" s="19">
        <v>7</v>
      </c>
      <c r="E800" s="11" t="s">
        <v>57</v>
      </c>
      <c r="F800" s="11" t="s">
        <v>29</v>
      </c>
      <c r="G800" s="11" t="s">
        <v>58</v>
      </c>
      <c r="H800" s="12">
        <v>46065</v>
      </c>
      <c r="I800" s="12" t="str">
        <f t="shared" si="13"/>
        <v>February</v>
      </c>
      <c r="J800" s="24">
        <v>0.34444444444444444</v>
      </c>
      <c r="K800" s="19">
        <v>3</v>
      </c>
      <c r="L800" s="12">
        <v>46065</v>
      </c>
      <c r="M800" s="24">
        <v>0.71944444444444444</v>
      </c>
      <c r="N800" s="11">
        <v>9</v>
      </c>
      <c r="O800" s="11" t="s">
        <v>34</v>
      </c>
      <c r="P800" s="11" t="s">
        <v>35</v>
      </c>
      <c r="Q800" s="11"/>
      <c r="R800" s="11" t="s">
        <v>36</v>
      </c>
      <c r="S800" s="19">
        <v>15</v>
      </c>
      <c r="T800" s="11" t="s">
        <v>49</v>
      </c>
      <c r="U800" s="11" t="s">
        <v>38</v>
      </c>
      <c r="V800" s="11">
        <v>2</v>
      </c>
      <c r="W800" s="11" t="s">
        <v>70</v>
      </c>
      <c r="X800" s="11" t="s">
        <v>3334</v>
      </c>
      <c r="Y800" s="11" t="s">
        <v>109</v>
      </c>
      <c r="Z800" s="11" t="s">
        <v>71</v>
      </c>
      <c r="AA800" s="11" t="s">
        <v>3226</v>
      </c>
    </row>
    <row r="801" spans="1:27">
      <c r="A801" s="11" t="s">
        <v>2732</v>
      </c>
      <c r="B801" s="11" t="s">
        <v>2733</v>
      </c>
      <c r="C801" s="11" t="s">
        <v>27</v>
      </c>
      <c r="D801" s="19">
        <v>68</v>
      </c>
      <c r="E801" s="11" t="s">
        <v>81</v>
      </c>
      <c r="F801" s="11" t="s">
        <v>82</v>
      </c>
      <c r="G801" s="11" t="s">
        <v>58</v>
      </c>
      <c r="H801" s="12">
        <v>46118</v>
      </c>
      <c r="I801" s="12" t="str">
        <f t="shared" si="13"/>
        <v>April</v>
      </c>
      <c r="J801" s="24">
        <v>0.37777777777777777</v>
      </c>
      <c r="K801" s="19">
        <v>8</v>
      </c>
      <c r="L801" s="12">
        <v>46118</v>
      </c>
      <c r="M801" s="24">
        <v>0.71111111111111114</v>
      </c>
      <c r="N801" s="11">
        <v>8</v>
      </c>
      <c r="O801" s="11" t="s">
        <v>68</v>
      </c>
      <c r="P801" s="11" t="s">
        <v>35</v>
      </c>
      <c r="Q801" s="11"/>
      <c r="R801" s="11" t="s">
        <v>36</v>
      </c>
      <c r="S801" s="19">
        <v>20</v>
      </c>
      <c r="T801" s="11" t="s">
        <v>49</v>
      </c>
      <c r="U801" s="11" t="s">
        <v>38</v>
      </c>
      <c r="V801" s="11">
        <v>4</v>
      </c>
      <c r="W801" s="11" t="s">
        <v>62</v>
      </c>
      <c r="X801" s="11" t="s">
        <v>3333</v>
      </c>
      <c r="Y801" s="11" t="s">
        <v>41</v>
      </c>
      <c r="Z801" s="11" t="s">
        <v>71</v>
      </c>
      <c r="AA801" s="11" t="s">
        <v>3234</v>
      </c>
    </row>
    <row r="802" spans="1:27">
      <c r="A802" s="11" t="s">
        <v>2735</v>
      </c>
      <c r="B802" s="11" t="s">
        <v>2736</v>
      </c>
      <c r="C802" s="11" t="s">
        <v>27</v>
      </c>
      <c r="D802" s="19">
        <v>40</v>
      </c>
      <c r="E802" s="11" t="s">
        <v>28</v>
      </c>
      <c r="F802" s="11" t="s">
        <v>29</v>
      </c>
      <c r="G802" s="11" t="s">
        <v>93</v>
      </c>
      <c r="H802" s="12">
        <v>46116</v>
      </c>
      <c r="I802" s="12" t="str">
        <f t="shared" si="13"/>
        <v>April</v>
      </c>
      <c r="J802" s="24">
        <v>0.67291666666666672</v>
      </c>
      <c r="K802" s="19">
        <v>5</v>
      </c>
      <c r="L802" s="12">
        <v>46117</v>
      </c>
      <c r="M802" s="24">
        <v>0.13125000000000001</v>
      </c>
      <c r="N802" s="11">
        <v>11</v>
      </c>
      <c r="O802" s="11" t="s">
        <v>34</v>
      </c>
      <c r="P802" s="11" t="s">
        <v>35</v>
      </c>
      <c r="Q802" s="11"/>
      <c r="R802" s="11" t="s">
        <v>36</v>
      </c>
      <c r="S802" s="19">
        <v>35</v>
      </c>
      <c r="T802" s="11" t="s">
        <v>37</v>
      </c>
      <c r="U802" s="11" t="s">
        <v>38</v>
      </c>
      <c r="V802" s="11">
        <v>5</v>
      </c>
      <c r="W802" s="11" t="s">
        <v>70</v>
      </c>
      <c r="X802" s="11" t="s">
        <v>51</v>
      </c>
      <c r="Y802" s="11" t="s">
        <v>52</v>
      </c>
      <c r="Z802" s="11" t="s">
        <v>71</v>
      </c>
      <c r="AA802" s="11" t="s">
        <v>3234</v>
      </c>
    </row>
    <row r="803" spans="1:27">
      <c r="A803" s="11" t="s">
        <v>2737</v>
      </c>
      <c r="B803" s="11" t="s">
        <v>2738</v>
      </c>
      <c r="C803" s="11" t="s">
        <v>27</v>
      </c>
      <c r="D803" s="19">
        <v>72</v>
      </c>
      <c r="E803" s="11" t="s">
        <v>92</v>
      </c>
      <c r="F803" s="11" t="s">
        <v>29</v>
      </c>
      <c r="G803" s="11" t="s">
        <v>168</v>
      </c>
      <c r="H803" s="12">
        <v>46057</v>
      </c>
      <c r="I803" s="12" t="str">
        <f t="shared" si="13"/>
        <v>February</v>
      </c>
      <c r="J803" s="24">
        <v>0.45</v>
      </c>
      <c r="K803" s="19">
        <v>24</v>
      </c>
      <c r="L803" s="12">
        <v>46058</v>
      </c>
      <c r="M803" s="24">
        <v>0.49166666666666664</v>
      </c>
      <c r="N803" s="11">
        <v>25</v>
      </c>
      <c r="O803" s="11" t="s">
        <v>34</v>
      </c>
      <c r="P803" s="11" t="s">
        <v>35</v>
      </c>
      <c r="Q803" s="11"/>
      <c r="R803" s="11" t="s">
        <v>36</v>
      </c>
      <c r="S803" s="19">
        <v>50</v>
      </c>
      <c r="T803" s="11" t="s">
        <v>37</v>
      </c>
      <c r="U803" s="11" t="s">
        <v>96</v>
      </c>
      <c r="V803" s="11">
        <v>3</v>
      </c>
      <c r="W803" s="11" t="s">
        <v>89</v>
      </c>
      <c r="X803" s="11" t="s">
        <v>3325</v>
      </c>
      <c r="Y803" s="11" t="s">
        <v>109</v>
      </c>
      <c r="Z803" s="11" t="s">
        <v>42</v>
      </c>
      <c r="AA803" s="11" t="s">
        <v>3234</v>
      </c>
    </row>
    <row r="804" spans="1:27">
      <c r="A804" s="11" t="s">
        <v>2739</v>
      </c>
      <c r="B804" s="11" t="s">
        <v>2740</v>
      </c>
      <c r="C804" s="11" t="s">
        <v>56</v>
      </c>
      <c r="D804" s="19">
        <v>52</v>
      </c>
      <c r="E804" s="11" t="s">
        <v>173</v>
      </c>
      <c r="F804" s="11" t="s">
        <v>29</v>
      </c>
      <c r="G804" s="11" t="s">
        <v>168</v>
      </c>
      <c r="H804" s="12">
        <v>46047</v>
      </c>
      <c r="I804" s="12" t="str">
        <f t="shared" si="13"/>
        <v>January</v>
      </c>
      <c r="J804" s="24">
        <v>0.63611111111111107</v>
      </c>
      <c r="K804" s="19">
        <v>4</v>
      </c>
      <c r="L804" s="12">
        <v>46048</v>
      </c>
      <c r="M804" s="24">
        <v>9.4444444444444442E-2</v>
      </c>
      <c r="N804" s="11">
        <v>11</v>
      </c>
      <c r="O804" s="11" t="s">
        <v>34</v>
      </c>
      <c r="P804" s="11" t="s">
        <v>35</v>
      </c>
      <c r="Q804" s="11"/>
      <c r="R804" s="11" t="s">
        <v>36</v>
      </c>
      <c r="S804" s="19">
        <v>25</v>
      </c>
      <c r="T804" s="11" t="s">
        <v>49</v>
      </c>
      <c r="U804" s="11" t="s">
        <v>164</v>
      </c>
      <c r="V804" s="11">
        <v>4</v>
      </c>
      <c r="W804" s="11" t="s">
        <v>39</v>
      </c>
      <c r="X804" s="11" t="s">
        <v>3333</v>
      </c>
      <c r="Y804" s="11" t="s">
        <v>52</v>
      </c>
      <c r="Z804" s="11" t="s">
        <v>42</v>
      </c>
      <c r="AA804" s="11" t="s">
        <v>3234</v>
      </c>
    </row>
    <row r="805" spans="1:27">
      <c r="A805" s="11" t="s">
        <v>2743</v>
      </c>
      <c r="B805" s="11" t="s">
        <v>2744</v>
      </c>
      <c r="C805" s="11" t="s">
        <v>27</v>
      </c>
      <c r="D805" s="19">
        <v>83</v>
      </c>
      <c r="E805" s="11" t="s">
        <v>92</v>
      </c>
      <c r="F805" s="11" t="s">
        <v>29</v>
      </c>
      <c r="G805" s="11" t="s">
        <v>83</v>
      </c>
      <c r="H805" s="12">
        <v>46095</v>
      </c>
      <c r="I805" s="12" t="str">
        <f t="shared" si="13"/>
        <v>March</v>
      </c>
      <c r="J805" s="24">
        <v>0.55833333333333335</v>
      </c>
      <c r="K805" s="19">
        <v>24</v>
      </c>
      <c r="L805" s="12">
        <v>46096</v>
      </c>
      <c r="M805" s="24">
        <v>0.76666666666666672</v>
      </c>
      <c r="N805" s="11">
        <v>29</v>
      </c>
      <c r="O805" s="11" t="s">
        <v>34</v>
      </c>
      <c r="P805" s="11" t="s">
        <v>35</v>
      </c>
      <c r="Q805" s="11"/>
      <c r="R805" s="11" t="s">
        <v>36</v>
      </c>
      <c r="S805" s="19">
        <v>50</v>
      </c>
      <c r="T805" s="11" t="s">
        <v>49</v>
      </c>
      <c r="U805" s="11" t="s">
        <v>164</v>
      </c>
      <c r="V805" s="11">
        <v>1</v>
      </c>
      <c r="W805" s="11" t="s">
        <v>70</v>
      </c>
      <c r="X805" s="11" t="s">
        <v>3333</v>
      </c>
      <c r="Y805" s="11" t="s">
        <v>52</v>
      </c>
      <c r="Z805" s="11" t="s">
        <v>71</v>
      </c>
      <c r="AA805" s="11" t="s">
        <v>3234</v>
      </c>
    </row>
    <row r="806" spans="1:27">
      <c r="A806" s="11" t="s">
        <v>2747</v>
      </c>
      <c r="B806" s="11" t="s">
        <v>2748</v>
      </c>
      <c r="C806" s="11" t="s">
        <v>56</v>
      </c>
      <c r="D806" s="19">
        <v>25</v>
      </c>
      <c r="E806" s="11" t="s">
        <v>92</v>
      </c>
      <c r="F806" s="11" t="s">
        <v>29</v>
      </c>
      <c r="G806" s="11" t="s">
        <v>168</v>
      </c>
      <c r="H806" s="12">
        <v>46192</v>
      </c>
      <c r="I806" s="12" t="str">
        <f t="shared" si="13"/>
        <v>June</v>
      </c>
      <c r="J806" s="24">
        <v>0.52152777777777781</v>
      </c>
      <c r="K806" s="19">
        <v>24</v>
      </c>
      <c r="L806" s="12">
        <v>46193</v>
      </c>
      <c r="M806" s="24">
        <v>0.56319444444444444</v>
      </c>
      <c r="N806" s="11">
        <v>25</v>
      </c>
      <c r="O806" s="11" t="s">
        <v>34</v>
      </c>
      <c r="P806" s="11" t="s">
        <v>35</v>
      </c>
      <c r="Q806" s="11"/>
      <c r="R806" s="11" t="s">
        <v>36</v>
      </c>
      <c r="S806" s="19">
        <v>50</v>
      </c>
      <c r="T806" s="11" t="s">
        <v>37</v>
      </c>
      <c r="U806" s="11" t="s">
        <v>96</v>
      </c>
      <c r="V806" s="11">
        <v>1</v>
      </c>
      <c r="W806" s="11" t="s">
        <v>39</v>
      </c>
      <c r="X806" s="11" t="s">
        <v>51</v>
      </c>
      <c r="Y806" s="11" t="s">
        <v>52</v>
      </c>
      <c r="Z806" s="11" t="s">
        <v>53</v>
      </c>
      <c r="AA806" s="11" t="s">
        <v>3235</v>
      </c>
    </row>
    <row r="807" spans="1:27">
      <c r="A807" s="11" t="s">
        <v>2750</v>
      </c>
      <c r="B807" s="11" t="s">
        <v>2751</v>
      </c>
      <c r="C807" s="11" t="s">
        <v>56</v>
      </c>
      <c r="D807" s="19">
        <v>87</v>
      </c>
      <c r="E807" s="11" t="s">
        <v>92</v>
      </c>
      <c r="F807" s="11" t="s">
        <v>29</v>
      </c>
      <c r="G807" s="11" t="s">
        <v>83</v>
      </c>
      <c r="H807" s="12">
        <v>46178</v>
      </c>
      <c r="I807" s="12" t="str">
        <f t="shared" si="13"/>
        <v>June</v>
      </c>
      <c r="J807" s="24">
        <v>0.64930555555555558</v>
      </c>
      <c r="K807" s="19">
        <v>24</v>
      </c>
      <c r="L807" s="12">
        <v>46179</v>
      </c>
      <c r="M807" s="24">
        <v>0.73263888888888884</v>
      </c>
      <c r="N807" s="11">
        <v>26</v>
      </c>
      <c r="O807" s="11" t="s">
        <v>34</v>
      </c>
      <c r="P807" s="11" t="s">
        <v>35</v>
      </c>
      <c r="Q807" s="11"/>
      <c r="R807" s="11" t="s">
        <v>36</v>
      </c>
      <c r="S807" s="19">
        <v>50</v>
      </c>
      <c r="T807" s="11" t="s">
        <v>49</v>
      </c>
      <c r="U807" s="11" t="s">
        <v>38</v>
      </c>
      <c r="V807" s="11">
        <v>2</v>
      </c>
      <c r="W807" s="11" t="s">
        <v>70</v>
      </c>
      <c r="X807" s="11" t="s">
        <v>3333</v>
      </c>
      <c r="Y807" s="11" t="s">
        <v>41</v>
      </c>
      <c r="Z807" s="11" t="s">
        <v>42</v>
      </c>
      <c r="AA807" s="11" t="s">
        <v>3235</v>
      </c>
    </row>
    <row r="808" spans="1:27">
      <c r="A808" s="11" t="s">
        <v>2753</v>
      </c>
      <c r="B808" s="11" t="s">
        <v>2754</v>
      </c>
      <c r="C808" s="11" t="s">
        <v>56</v>
      </c>
      <c r="D808" s="19">
        <v>36</v>
      </c>
      <c r="E808" s="11" t="s">
        <v>57</v>
      </c>
      <c r="F808" s="11" t="s">
        <v>29</v>
      </c>
      <c r="G808" s="11" t="s">
        <v>58</v>
      </c>
      <c r="H808" s="12">
        <v>46043</v>
      </c>
      <c r="I808" s="12" t="str">
        <f t="shared" si="13"/>
        <v>January</v>
      </c>
      <c r="J808" s="24">
        <v>0.59930555555555554</v>
      </c>
      <c r="K808" s="19">
        <v>3</v>
      </c>
      <c r="L808" s="12">
        <v>46043</v>
      </c>
      <c r="M808" s="24">
        <v>0.80763888888888891</v>
      </c>
      <c r="N808" s="11">
        <v>5</v>
      </c>
      <c r="O808" s="11" t="s">
        <v>34</v>
      </c>
      <c r="P808" s="11" t="s">
        <v>35</v>
      </c>
      <c r="Q808" s="11"/>
      <c r="R808" s="11" t="s">
        <v>36</v>
      </c>
      <c r="S808" s="19">
        <v>15</v>
      </c>
      <c r="T808" s="11" t="s">
        <v>49</v>
      </c>
      <c r="U808" s="11" t="s">
        <v>164</v>
      </c>
      <c r="V808" s="11">
        <v>1</v>
      </c>
      <c r="W808" s="11" t="s">
        <v>70</v>
      </c>
      <c r="X808" s="11" t="s">
        <v>51</v>
      </c>
      <c r="Y808" s="11" t="s">
        <v>52</v>
      </c>
      <c r="Z808" s="11" t="s">
        <v>53</v>
      </c>
      <c r="AA808" s="11"/>
    </row>
    <row r="809" spans="1:27">
      <c r="A809" s="11" t="s">
        <v>2755</v>
      </c>
      <c r="B809" s="11" t="s">
        <v>2756</v>
      </c>
      <c r="C809" s="11" t="s">
        <v>56</v>
      </c>
      <c r="D809" s="19">
        <v>33</v>
      </c>
      <c r="E809" s="11" t="s">
        <v>81</v>
      </c>
      <c r="F809" s="11" t="s">
        <v>82</v>
      </c>
      <c r="G809" s="11" t="s">
        <v>83</v>
      </c>
      <c r="H809" s="12">
        <v>46127</v>
      </c>
      <c r="I809" s="12" t="str">
        <f t="shared" si="13"/>
        <v>April</v>
      </c>
      <c r="J809" s="24">
        <v>0.5229166666666667</v>
      </c>
      <c r="K809" s="19">
        <v>8</v>
      </c>
      <c r="L809" s="12">
        <v>46127</v>
      </c>
      <c r="M809" s="24">
        <v>0.81458333333333333</v>
      </c>
      <c r="N809" s="11">
        <v>7</v>
      </c>
      <c r="O809" s="11" t="s">
        <v>68</v>
      </c>
      <c r="P809" s="11" t="s">
        <v>35</v>
      </c>
      <c r="Q809" s="11"/>
      <c r="R809" s="11" t="s">
        <v>36</v>
      </c>
      <c r="S809" s="19">
        <v>20</v>
      </c>
      <c r="T809" s="11" t="s">
        <v>37</v>
      </c>
      <c r="U809" s="11" t="s">
        <v>38</v>
      </c>
      <c r="V809" s="11">
        <v>5</v>
      </c>
      <c r="W809" s="11" t="s">
        <v>62</v>
      </c>
      <c r="X809" s="11" t="s">
        <v>51</v>
      </c>
      <c r="Y809" s="11" t="s">
        <v>109</v>
      </c>
      <c r="Z809" s="11" t="s">
        <v>71</v>
      </c>
      <c r="AA809" s="11" t="str">
        <f>IF(A809=" ", "Missing Value", " ")</f>
        <v xml:space="preserve"> </v>
      </c>
    </row>
    <row r="810" spans="1:27">
      <c r="A810" s="11" t="s">
        <v>2758</v>
      </c>
      <c r="B810" s="11" t="s">
        <v>2759</v>
      </c>
      <c r="C810" s="11" t="s">
        <v>56</v>
      </c>
      <c r="D810" s="19">
        <v>12</v>
      </c>
      <c r="E810" s="11" t="s">
        <v>173</v>
      </c>
      <c r="F810" s="11" t="s">
        <v>29</v>
      </c>
      <c r="G810" s="11" t="s">
        <v>168</v>
      </c>
      <c r="H810" s="12">
        <v>46037</v>
      </c>
      <c r="I810" s="12" t="str">
        <f t="shared" si="13"/>
        <v>January</v>
      </c>
      <c r="J810" s="24">
        <v>0.31944444444444442</v>
      </c>
      <c r="K810" s="19">
        <v>4</v>
      </c>
      <c r="L810" s="12">
        <v>46037</v>
      </c>
      <c r="M810" s="24">
        <v>0.81944444444444442</v>
      </c>
      <c r="N810" s="11">
        <v>12</v>
      </c>
      <c r="O810" s="11" t="s">
        <v>34</v>
      </c>
      <c r="P810" s="11" t="s">
        <v>35</v>
      </c>
      <c r="Q810" s="11"/>
      <c r="R810" s="11" t="s">
        <v>36</v>
      </c>
      <c r="S810" s="19">
        <v>25</v>
      </c>
      <c r="T810" s="11" t="s">
        <v>37</v>
      </c>
      <c r="U810" s="11" t="s">
        <v>164</v>
      </c>
      <c r="V810" s="11">
        <v>1</v>
      </c>
      <c r="W810" s="11" t="s">
        <v>62</v>
      </c>
      <c r="X810" s="11" t="s">
        <v>3333</v>
      </c>
      <c r="Y810" s="11" t="s">
        <v>41</v>
      </c>
      <c r="Z810" s="11" t="s">
        <v>71</v>
      </c>
      <c r="AA810" s="11" t="s">
        <v>3234</v>
      </c>
    </row>
    <row r="811" spans="1:27">
      <c r="A811" s="11" t="s">
        <v>2760</v>
      </c>
      <c r="B811" s="11" t="s">
        <v>2761</v>
      </c>
      <c r="C811" s="11" t="s">
        <v>56</v>
      </c>
      <c r="D811" s="19">
        <v>85</v>
      </c>
      <c r="E811" s="11" t="s">
        <v>28</v>
      </c>
      <c r="F811" s="11" t="s">
        <v>29</v>
      </c>
      <c r="G811" s="11" t="s">
        <v>30</v>
      </c>
      <c r="H811" s="12">
        <v>46063</v>
      </c>
      <c r="I811" s="12" t="str">
        <f t="shared" si="13"/>
        <v>February</v>
      </c>
      <c r="J811" s="24">
        <v>0.61805555555555558</v>
      </c>
      <c r="K811" s="19">
        <v>5</v>
      </c>
      <c r="L811" s="12">
        <v>46064</v>
      </c>
      <c r="M811" s="24">
        <v>0.15972222222222221</v>
      </c>
      <c r="N811" s="11">
        <v>13</v>
      </c>
      <c r="O811" s="11" t="s">
        <v>34</v>
      </c>
      <c r="P811" s="11" t="s">
        <v>35</v>
      </c>
      <c r="Q811" s="11"/>
      <c r="R811" s="11" t="s">
        <v>36</v>
      </c>
      <c r="S811" s="19">
        <v>35</v>
      </c>
      <c r="T811" s="11" t="s">
        <v>49</v>
      </c>
      <c r="U811" s="11" t="s">
        <v>96</v>
      </c>
      <c r="V811" s="11">
        <v>1</v>
      </c>
      <c r="W811" s="11" t="s">
        <v>89</v>
      </c>
      <c r="X811" s="11" t="s">
        <v>3333</v>
      </c>
      <c r="Y811" s="11" t="s">
        <v>52</v>
      </c>
      <c r="Z811" s="11" t="s">
        <v>53</v>
      </c>
      <c r="AA811" s="11" t="str">
        <f>IF(A811=" ", "Missing Value", " ")</f>
        <v xml:space="preserve"> </v>
      </c>
    </row>
    <row r="812" spans="1:27">
      <c r="A812" s="11" t="s">
        <v>2763</v>
      </c>
      <c r="B812" s="11" t="s">
        <v>2764</v>
      </c>
      <c r="C812" s="11" t="s">
        <v>56</v>
      </c>
      <c r="D812" s="19">
        <v>35</v>
      </c>
      <c r="E812" s="11" t="s">
        <v>57</v>
      </c>
      <c r="F812" s="11" t="s">
        <v>29</v>
      </c>
      <c r="G812" s="11" t="s">
        <v>58</v>
      </c>
      <c r="H812" s="12">
        <v>46102</v>
      </c>
      <c r="I812" s="12" t="str">
        <f t="shared" si="13"/>
        <v>March</v>
      </c>
      <c r="J812" s="24">
        <v>0.33263888888888887</v>
      </c>
      <c r="K812" s="19">
        <v>3</v>
      </c>
      <c r="L812" s="12">
        <v>46102</v>
      </c>
      <c r="M812" s="24">
        <v>0.62430555555555556</v>
      </c>
      <c r="N812" s="11">
        <v>7</v>
      </c>
      <c r="O812" s="11" t="s">
        <v>34</v>
      </c>
      <c r="P812" s="11" t="s">
        <v>35</v>
      </c>
      <c r="Q812" s="11"/>
      <c r="R812" s="11" t="s">
        <v>36</v>
      </c>
      <c r="S812" s="19">
        <v>15</v>
      </c>
      <c r="T812" s="11" t="s">
        <v>37</v>
      </c>
      <c r="U812" s="11" t="s">
        <v>96</v>
      </c>
      <c r="V812" s="11">
        <v>2</v>
      </c>
      <c r="W812" s="11" t="s">
        <v>70</v>
      </c>
      <c r="X812" s="11" t="s">
        <v>51</v>
      </c>
      <c r="Y812" s="11" t="s">
        <v>52</v>
      </c>
      <c r="Z812" s="11" t="s">
        <v>71</v>
      </c>
      <c r="AA812" s="11"/>
    </row>
    <row r="813" spans="1:27">
      <c r="A813" s="11" t="s">
        <v>2765</v>
      </c>
      <c r="B813" s="11" t="s">
        <v>2766</v>
      </c>
      <c r="C813" s="11" t="s">
        <v>27</v>
      </c>
      <c r="D813" s="19">
        <v>54</v>
      </c>
      <c r="E813" s="11" t="s">
        <v>149</v>
      </c>
      <c r="F813" s="11" t="s">
        <v>29</v>
      </c>
      <c r="G813" s="11" t="s">
        <v>30</v>
      </c>
      <c r="H813" s="12">
        <v>46165</v>
      </c>
      <c r="I813" s="12" t="str">
        <f t="shared" si="13"/>
        <v>May</v>
      </c>
      <c r="J813" s="24">
        <v>0.67708333333333337</v>
      </c>
      <c r="K813" s="19">
        <v>6</v>
      </c>
      <c r="L813" s="12">
        <v>46165</v>
      </c>
      <c r="M813" s="24">
        <v>0.96875</v>
      </c>
      <c r="N813" s="11">
        <v>7</v>
      </c>
      <c r="O813" s="11" t="s">
        <v>34</v>
      </c>
      <c r="P813" s="11" t="s">
        <v>35</v>
      </c>
      <c r="Q813" s="11"/>
      <c r="R813" s="11" t="s">
        <v>36</v>
      </c>
      <c r="S813" s="19">
        <v>40</v>
      </c>
      <c r="T813" s="11" t="s">
        <v>37</v>
      </c>
      <c r="U813" s="11" t="s">
        <v>38</v>
      </c>
      <c r="V813" s="11">
        <v>2</v>
      </c>
      <c r="W813" s="11" t="s">
        <v>89</v>
      </c>
      <c r="X813" s="11" t="s">
        <v>3333</v>
      </c>
      <c r="Y813" s="11" t="s">
        <v>109</v>
      </c>
      <c r="Z813" s="11" t="s">
        <v>71</v>
      </c>
      <c r="AA813" s="11" t="str">
        <f>IF(A813=" ", "Missing Value", " ")</f>
        <v xml:space="preserve"> </v>
      </c>
    </row>
    <row r="814" spans="1:27">
      <c r="A814" s="11" t="s">
        <v>2767</v>
      </c>
      <c r="B814" s="11" t="s">
        <v>2768</v>
      </c>
      <c r="C814" s="11" t="s">
        <v>27</v>
      </c>
      <c r="D814" s="19">
        <v>17</v>
      </c>
      <c r="E814" s="11" t="s">
        <v>28</v>
      </c>
      <c r="F814" s="11" t="s">
        <v>29</v>
      </c>
      <c r="G814" s="11" t="s">
        <v>168</v>
      </c>
      <c r="H814" s="12">
        <v>46133</v>
      </c>
      <c r="I814" s="12" t="str">
        <f t="shared" si="13"/>
        <v>April</v>
      </c>
      <c r="J814" s="24">
        <v>0.49027777777777776</v>
      </c>
      <c r="K814" s="19">
        <v>5</v>
      </c>
      <c r="L814" s="12">
        <v>46133</v>
      </c>
      <c r="M814" s="24">
        <v>0.94861111111111107</v>
      </c>
      <c r="N814" s="11">
        <v>11</v>
      </c>
      <c r="O814" s="11" t="s">
        <v>34</v>
      </c>
      <c r="P814" s="11" t="s">
        <v>270</v>
      </c>
      <c r="Q814" s="11" t="s">
        <v>677</v>
      </c>
      <c r="R814" s="11" t="s">
        <v>36</v>
      </c>
      <c r="S814" s="19">
        <v>35</v>
      </c>
      <c r="T814" s="11" t="s">
        <v>49</v>
      </c>
      <c r="U814" s="11" t="s">
        <v>164</v>
      </c>
      <c r="V814" s="11">
        <v>3</v>
      </c>
      <c r="W814" s="11" t="s">
        <v>89</v>
      </c>
      <c r="X814" s="11" t="s">
        <v>3325</v>
      </c>
      <c r="Y814" s="11" t="s">
        <v>109</v>
      </c>
      <c r="Z814" s="11" t="s">
        <v>42</v>
      </c>
      <c r="AA814" s="11" t="s">
        <v>3254</v>
      </c>
    </row>
    <row r="815" spans="1:27">
      <c r="A815" s="11" t="s">
        <v>2770</v>
      </c>
      <c r="B815" s="11" t="s">
        <v>2771</v>
      </c>
      <c r="C815" s="11" t="s">
        <v>56</v>
      </c>
      <c r="D815" s="19">
        <v>63</v>
      </c>
      <c r="E815" s="11" t="s">
        <v>173</v>
      </c>
      <c r="F815" s="11" t="s">
        <v>29</v>
      </c>
      <c r="G815" s="11" t="s">
        <v>93</v>
      </c>
      <c r="H815" s="12">
        <v>46160</v>
      </c>
      <c r="I815" s="12" t="str">
        <f t="shared" si="13"/>
        <v>May</v>
      </c>
      <c r="J815" s="24">
        <v>0.65625</v>
      </c>
      <c r="K815" s="19">
        <v>4</v>
      </c>
      <c r="L815" s="12">
        <v>46160</v>
      </c>
      <c r="M815" s="24">
        <v>0.98958333333333337</v>
      </c>
      <c r="N815" s="11">
        <v>8</v>
      </c>
      <c r="O815" s="11" t="s">
        <v>34</v>
      </c>
      <c r="P815" s="11" t="s">
        <v>35</v>
      </c>
      <c r="Q815" s="11"/>
      <c r="R815" s="11" t="s">
        <v>36</v>
      </c>
      <c r="S815" s="19">
        <v>25</v>
      </c>
      <c r="T815" s="11" t="s">
        <v>37</v>
      </c>
      <c r="U815" s="11" t="s">
        <v>164</v>
      </c>
      <c r="V815" s="11">
        <v>2</v>
      </c>
      <c r="W815" s="11" t="s">
        <v>62</v>
      </c>
      <c r="X815" s="11" t="s">
        <v>3325</v>
      </c>
      <c r="Y815" s="11" t="s">
        <v>109</v>
      </c>
      <c r="Z815" s="11" t="s">
        <v>42</v>
      </c>
      <c r="AA815" s="11" t="s">
        <v>3234</v>
      </c>
    </row>
    <row r="816" spans="1:27">
      <c r="A816" s="11" t="s">
        <v>2772</v>
      </c>
      <c r="B816" s="11" t="s">
        <v>2773</v>
      </c>
      <c r="C816" s="11" t="s">
        <v>56</v>
      </c>
      <c r="D816" s="19">
        <v>39</v>
      </c>
      <c r="E816" s="11" t="s">
        <v>57</v>
      </c>
      <c r="F816" s="11" t="s">
        <v>29</v>
      </c>
      <c r="G816" s="11" t="s">
        <v>58</v>
      </c>
      <c r="H816" s="12">
        <v>46031</v>
      </c>
      <c r="I816" s="12" t="str">
        <f t="shared" si="13"/>
        <v>January</v>
      </c>
      <c r="J816" s="24">
        <v>0.58263888888888893</v>
      </c>
      <c r="K816" s="19">
        <v>3</v>
      </c>
      <c r="L816" s="12">
        <v>46031</v>
      </c>
      <c r="M816" s="24">
        <v>0.91597222222222219</v>
      </c>
      <c r="N816" s="11">
        <v>8</v>
      </c>
      <c r="O816" s="11" t="s">
        <v>34</v>
      </c>
      <c r="P816" s="11" t="s">
        <v>35</v>
      </c>
      <c r="Q816" s="11"/>
      <c r="R816" s="11" t="s">
        <v>36</v>
      </c>
      <c r="S816" s="19">
        <v>15</v>
      </c>
      <c r="T816" s="11" t="s">
        <v>37</v>
      </c>
      <c r="U816" s="11" t="s">
        <v>164</v>
      </c>
      <c r="V816" s="11">
        <v>5</v>
      </c>
      <c r="W816" s="11" t="s">
        <v>89</v>
      </c>
      <c r="X816" s="11" t="s">
        <v>3325</v>
      </c>
      <c r="Y816" s="11" t="s">
        <v>109</v>
      </c>
      <c r="Z816" s="11" t="s">
        <v>53</v>
      </c>
      <c r="AA816" s="11"/>
    </row>
    <row r="817" spans="1:27">
      <c r="A817" s="11" t="s">
        <v>2775</v>
      </c>
      <c r="B817" s="11" t="s">
        <v>2776</v>
      </c>
      <c r="C817" s="11" t="s">
        <v>56</v>
      </c>
      <c r="D817" s="19">
        <v>27</v>
      </c>
      <c r="E817" s="11" t="s">
        <v>149</v>
      </c>
      <c r="F817" s="11" t="s">
        <v>29</v>
      </c>
      <c r="G817" s="11" t="s">
        <v>30</v>
      </c>
      <c r="H817" s="12">
        <v>46032</v>
      </c>
      <c r="I817" s="12" t="str">
        <f t="shared" si="13"/>
        <v>January</v>
      </c>
      <c r="J817" s="24">
        <v>0.3263888888888889</v>
      </c>
      <c r="K817" s="19">
        <v>6</v>
      </c>
      <c r="L817" s="12">
        <v>46032</v>
      </c>
      <c r="M817" s="24">
        <v>0.53472222222222221</v>
      </c>
      <c r="N817" s="11">
        <v>5</v>
      </c>
      <c r="O817" s="11" t="s">
        <v>68</v>
      </c>
      <c r="P817" s="11" t="s">
        <v>35</v>
      </c>
      <c r="Q817" s="11"/>
      <c r="R817" s="11" t="s">
        <v>36</v>
      </c>
      <c r="S817" s="19">
        <v>40</v>
      </c>
      <c r="T817" s="11" t="s">
        <v>49</v>
      </c>
      <c r="U817" s="11" t="s">
        <v>38</v>
      </c>
      <c r="V817" s="11">
        <v>2</v>
      </c>
      <c r="W817" s="11" t="s">
        <v>39</v>
      </c>
      <c r="X817" s="11" t="s">
        <v>3325</v>
      </c>
      <c r="Y817" s="11" t="s">
        <v>52</v>
      </c>
      <c r="Z817" s="11" t="s">
        <v>71</v>
      </c>
      <c r="AA817" s="11" t="str">
        <f>IF(A817=" ", "Missing Value", " ")</f>
        <v xml:space="preserve"> </v>
      </c>
    </row>
    <row r="818" spans="1:27">
      <c r="A818" s="11" t="s">
        <v>2777</v>
      </c>
      <c r="B818" s="11" t="s">
        <v>2778</v>
      </c>
      <c r="C818" s="11" t="s">
        <v>56</v>
      </c>
      <c r="D818" s="19">
        <v>68</v>
      </c>
      <c r="E818" s="11" t="s">
        <v>92</v>
      </c>
      <c r="F818" s="11" t="s">
        <v>29</v>
      </c>
      <c r="G818" s="11" t="s">
        <v>93</v>
      </c>
      <c r="H818" s="12">
        <v>46112</v>
      </c>
      <c r="I818" s="12" t="str">
        <f t="shared" si="13"/>
        <v>March</v>
      </c>
      <c r="J818" s="24">
        <v>0.66111111111111109</v>
      </c>
      <c r="K818" s="19">
        <v>24</v>
      </c>
      <c r="L818" s="12">
        <v>46113</v>
      </c>
      <c r="M818" s="24">
        <v>0.91111111111111109</v>
      </c>
      <c r="N818" s="11">
        <v>30</v>
      </c>
      <c r="O818" s="11" t="s">
        <v>34</v>
      </c>
      <c r="P818" s="11" t="s">
        <v>35</v>
      </c>
      <c r="Q818" s="11"/>
      <c r="R818" s="11" t="s">
        <v>36</v>
      </c>
      <c r="S818" s="19">
        <v>50</v>
      </c>
      <c r="T818" s="11" t="s">
        <v>49</v>
      </c>
      <c r="U818" s="11" t="s">
        <v>38</v>
      </c>
      <c r="V818" s="11">
        <v>2</v>
      </c>
      <c r="W818" s="11" t="s">
        <v>62</v>
      </c>
      <c r="X818" s="11" t="s">
        <v>3333</v>
      </c>
      <c r="Y818" s="11" t="s">
        <v>52</v>
      </c>
      <c r="Z818" s="11" t="s">
        <v>53</v>
      </c>
      <c r="AA818" s="11" t="s">
        <v>3229</v>
      </c>
    </row>
    <row r="819" spans="1:27">
      <c r="A819" s="11" t="s">
        <v>2779</v>
      </c>
      <c r="B819" s="11" t="s">
        <v>2780</v>
      </c>
      <c r="C819" s="11" t="s">
        <v>27</v>
      </c>
      <c r="D819" s="19">
        <v>72</v>
      </c>
      <c r="E819" s="11" t="s">
        <v>28</v>
      </c>
      <c r="F819" s="11" t="s">
        <v>29</v>
      </c>
      <c r="G819" s="11" t="s">
        <v>168</v>
      </c>
      <c r="H819" s="12">
        <v>46170</v>
      </c>
      <c r="I819" s="12" t="str">
        <f t="shared" si="13"/>
        <v>May</v>
      </c>
      <c r="J819" s="24">
        <v>0.45208333333333334</v>
      </c>
      <c r="K819" s="19">
        <v>5</v>
      </c>
      <c r="L819" s="12">
        <v>46170</v>
      </c>
      <c r="M819" s="24">
        <v>0.82708333333333328</v>
      </c>
      <c r="N819" s="11">
        <v>9</v>
      </c>
      <c r="O819" s="11" t="s">
        <v>34</v>
      </c>
      <c r="P819" s="11" t="s">
        <v>35</v>
      </c>
      <c r="Q819" s="11"/>
      <c r="R819" s="11" t="s">
        <v>36</v>
      </c>
      <c r="S819" s="19">
        <v>35</v>
      </c>
      <c r="T819" s="11" t="s">
        <v>37</v>
      </c>
      <c r="U819" s="11" t="s">
        <v>164</v>
      </c>
      <c r="V819" s="11">
        <v>1</v>
      </c>
      <c r="W819" s="11" t="s">
        <v>62</v>
      </c>
      <c r="X819" s="11" t="s">
        <v>3334</v>
      </c>
      <c r="Y819" s="11" t="s">
        <v>109</v>
      </c>
      <c r="Z819" s="11" t="s">
        <v>42</v>
      </c>
      <c r="AA819" s="11" t="s">
        <v>3234</v>
      </c>
    </row>
    <row r="820" spans="1:27">
      <c r="A820" s="11" t="s">
        <v>2781</v>
      </c>
      <c r="B820" s="11" t="s">
        <v>2782</v>
      </c>
      <c r="C820" s="11" t="s">
        <v>56</v>
      </c>
      <c r="D820" s="19">
        <v>6</v>
      </c>
      <c r="E820" s="11" t="s">
        <v>149</v>
      </c>
      <c r="F820" s="11" t="s">
        <v>29</v>
      </c>
      <c r="G820" s="11" t="s">
        <v>30</v>
      </c>
      <c r="H820" s="12">
        <v>46167</v>
      </c>
      <c r="I820" s="12" t="str">
        <f t="shared" si="13"/>
        <v>May</v>
      </c>
      <c r="J820" s="24">
        <v>0.6333333333333333</v>
      </c>
      <c r="K820" s="19">
        <v>6</v>
      </c>
      <c r="L820" s="12">
        <v>46168</v>
      </c>
      <c r="M820" s="24">
        <v>0.21666666666666667</v>
      </c>
      <c r="N820" s="11">
        <v>14</v>
      </c>
      <c r="O820" s="11" t="s">
        <v>34</v>
      </c>
      <c r="P820" s="11" t="s">
        <v>35</v>
      </c>
      <c r="Q820" s="11"/>
      <c r="R820" s="11" t="s">
        <v>36</v>
      </c>
      <c r="S820" s="19">
        <v>40</v>
      </c>
      <c r="T820" s="11" t="s">
        <v>37</v>
      </c>
      <c r="U820" s="11" t="s">
        <v>38</v>
      </c>
      <c r="V820" s="11">
        <v>1</v>
      </c>
      <c r="W820" s="11" t="s">
        <v>62</v>
      </c>
      <c r="X820" s="11" t="s">
        <v>3325</v>
      </c>
      <c r="Y820" s="11" t="s">
        <v>41</v>
      </c>
      <c r="Z820" s="11" t="s">
        <v>42</v>
      </c>
      <c r="AA820" s="11" t="str">
        <f>IF(A820=" ", "Missing Value", " ")</f>
        <v xml:space="preserve"> </v>
      </c>
    </row>
    <row r="821" spans="1:27">
      <c r="A821" s="11" t="s">
        <v>2784</v>
      </c>
      <c r="B821" s="11" t="s">
        <v>2785</v>
      </c>
      <c r="C821" s="11" t="s">
        <v>56</v>
      </c>
      <c r="D821" s="19">
        <v>33</v>
      </c>
      <c r="E821" s="11" t="s">
        <v>81</v>
      </c>
      <c r="F821" s="11" t="s">
        <v>82</v>
      </c>
      <c r="G821" s="11" t="s">
        <v>83</v>
      </c>
      <c r="H821" s="12">
        <v>46051</v>
      </c>
      <c r="I821" s="12" t="str">
        <f t="shared" si="13"/>
        <v>January</v>
      </c>
      <c r="J821" s="24">
        <v>0.3125</v>
      </c>
      <c r="K821" s="19">
        <v>8</v>
      </c>
      <c r="L821" s="12">
        <v>46051</v>
      </c>
      <c r="M821" s="24">
        <v>0.85416666666666663</v>
      </c>
      <c r="N821" s="11">
        <v>13</v>
      </c>
      <c r="O821" s="11" t="s">
        <v>34</v>
      </c>
      <c r="P821" s="11" t="s">
        <v>35</v>
      </c>
      <c r="Q821" s="11"/>
      <c r="R821" s="11" t="s">
        <v>36</v>
      </c>
      <c r="S821" s="19">
        <v>20</v>
      </c>
      <c r="T821" s="11" t="s">
        <v>37</v>
      </c>
      <c r="U821" s="11" t="s">
        <v>38</v>
      </c>
      <c r="V821" s="11">
        <v>3</v>
      </c>
      <c r="W821" s="11" t="s">
        <v>62</v>
      </c>
      <c r="X821" s="11" t="s">
        <v>3325</v>
      </c>
      <c r="Y821" s="11" t="s">
        <v>52</v>
      </c>
      <c r="Z821" s="11" t="s">
        <v>71</v>
      </c>
      <c r="AA821" s="11" t="str">
        <f>IF(A821=" ", "Missing Value", " ")</f>
        <v xml:space="preserve"> </v>
      </c>
    </row>
    <row r="822" spans="1:27">
      <c r="A822" s="11" t="s">
        <v>2786</v>
      </c>
      <c r="B822" s="11" t="s">
        <v>2787</v>
      </c>
      <c r="C822" s="11" t="s">
        <v>27</v>
      </c>
      <c r="D822" s="19">
        <v>76</v>
      </c>
      <c r="E822" s="11" t="s">
        <v>57</v>
      </c>
      <c r="F822" s="11" t="s">
        <v>29</v>
      </c>
      <c r="G822" s="11" t="s">
        <v>58</v>
      </c>
      <c r="H822" s="12">
        <v>46184</v>
      </c>
      <c r="I822" s="12" t="str">
        <f t="shared" si="13"/>
        <v>June</v>
      </c>
      <c r="J822" s="24">
        <v>0.38541666666666669</v>
      </c>
      <c r="K822" s="19">
        <v>3</v>
      </c>
      <c r="L822" s="12">
        <v>46184</v>
      </c>
      <c r="M822" s="24">
        <v>0.67708333333333337</v>
      </c>
      <c r="N822" s="11">
        <v>7</v>
      </c>
      <c r="O822" s="11" t="s">
        <v>34</v>
      </c>
      <c r="P822" s="11" t="s">
        <v>35</v>
      </c>
      <c r="Q822" s="11"/>
      <c r="R822" s="11" t="s">
        <v>36</v>
      </c>
      <c r="S822" s="19">
        <v>15</v>
      </c>
      <c r="T822" s="11" t="s">
        <v>37</v>
      </c>
      <c r="U822" s="11" t="s">
        <v>38</v>
      </c>
      <c r="V822" s="11">
        <v>3</v>
      </c>
      <c r="W822" s="11" t="s">
        <v>89</v>
      </c>
      <c r="X822" s="11" t="s">
        <v>3334</v>
      </c>
      <c r="Y822" s="11" t="s">
        <v>109</v>
      </c>
      <c r="Z822" s="11" t="s">
        <v>53</v>
      </c>
      <c r="AA822" s="11"/>
    </row>
    <row r="823" spans="1:27">
      <c r="A823" s="11" t="s">
        <v>2788</v>
      </c>
      <c r="B823" s="11" t="s">
        <v>2789</v>
      </c>
      <c r="C823" s="11" t="s">
        <v>27</v>
      </c>
      <c r="D823" s="19">
        <v>54</v>
      </c>
      <c r="E823" s="11" t="s">
        <v>149</v>
      </c>
      <c r="F823" s="11" t="s">
        <v>29</v>
      </c>
      <c r="G823" s="11" t="s">
        <v>168</v>
      </c>
      <c r="H823" s="12">
        <v>46063</v>
      </c>
      <c r="I823" s="12" t="str">
        <f t="shared" si="13"/>
        <v>February</v>
      </c>
      <c r="J823" s="24">
        <v>0.51944444444444449</v>
      </c>
      <c r="K823" s="19">
        <v>6</v>
      </c>
      <c r="L823" s="12">
        <v>46064</v>
      </c>
      <c r="M823" s="24">
        <v>1.9444444444444445E-2</v>
      </c>
      <c r="N823" s="11">
        <v>12</v>
      </c>
      <c r="O823" s="11" t="s">
        <v>34</v>
      </c>
      <c r="P823" s="11" t="s">
        <v>35</v>
      </c>
      <c r="Q823" s="11"/>
      <c r="R823" s="11" t="s">
        <v>36</v>
      </c>
      <c r="S823" s="19">
        <v>40</v>
      </c>
      <c r="T823" s="11" t="s">
        <v>37</v>
      </c>
      <c r="U823" s="11" t="s">
        <v>164</v>
      </c>
      <c r="V823" s="11">
        <v>5</v>
      </c>
      <c r="W823" s="11" t="s">
        <v>39</v>
      </c>
      <c r="X823" s="11" t="s">
        <v>51</v>
      </c>
      <c r="Y823" s="11" t="s">
        <v>52</v>
      </c>
      <c r="Z823" s="11" t="s">
        <v>42</v>
      </c>
      <c r="AA823" s="11" t="s">
        <v>3234</v>
      </c>
    </row>
    <row r="824" spans="1:27">
      <c r="A824" s="11" t="s">
        <v>2790</v>
      </c>
      <c r="B824" s="11" t="s">
        <v>2791</v>
      </c>
      <c r="C824" s="11" t="s">
        <v>56</v>
      </c>
      <c r="D824" s="19">
        <v>37</v>
      </c>
      <c r="E824" s="11" t="s">
        <v>149</v>
      </c>
      <c r="F824" s="11" t="s">
        <v>29</v>
      </c>
      <c r="G824" s="11" t="s">
        <v>30</v>
      </c>
      <c r="H824" s="12">
        <v>46170</v>
      </c>
      <c r="I824" s="12" t="str">
        <f t="shared" si="13"/>
        <v>May</v>
      </c>
      <c r="J824" s="24">
        <v>0.36319444444444443</v>
      </c>
      <c r="K824" s="19">
        <v>6</v>
      </c>
      <c r="L824" s="12">
        <v>46170</v>
      </c>
      <c r="M824" s="24">
        <v>0.94652777777777775</v>
      </c>
      <c r="N824" s="11">
        <v>14</v>
      </c>
      <c r="O824" s="11" t="s">
        <v>34</v>
      </c>
      <c r="P824" s="11" t="s">
        <v>35</v>
      </c>
      <c r="Q824" s="11"/>
      <c r="R824" s="11" t="s">
        <v>36</v>
      </c>
      <c r="S824" s="19">
        <v>40</v>
      </c>
      <c r="T824" s="11" t="s">
        <v>49</v>
      </c>
      <c r="U824" s="11" t="s">
        <v>96</v>
      </c>
      <c r="V824" s="11">
        <v>3</v>
      </c>
      <c r="W824" s="11" t="s">
        <v>62</v>
      </c>
      <c r="X824" s="11" t="s">
        <v>3333</v>
      </c>
      <c r="Y824" s="11" t="s">
        <v>41</v>
      </c>
      <c r="Z824" s="11" t="s">
        <v>71</v>
      </c>
      <c r="AA824" s="11" t="str">
        <f>IF(A824=" ", "Missing Value", " ")</f>
        <v xml:space="preserve"> </v>
      </c>
    </row>
    <row r="825" spans="1:27">
      <c r="A825" s="11" t="s">
        <v>2792</v>
      </c>
      <c r="B825" s="11" t="s">
        <v>2793</v>
      </c>
      <c r="C825" s="11" t="s">
        <v>27</v>
      </c>
      <c r="D825" s="19">
        <v>18</v>
      </c>
      <c r="E825" s="11" t="s">
        <v>81</v>
      </c>
      <c r="F825" s="11" t="s">
        <v>82</v>
      </c>
      <c r="G825" s="11" t="s">
        <v>83</v>
      </c>
      <c r="H825" s="12">
        <v>46100</v>
      </c>
      <c r="I825" s="12" t="str">
        <f t="shared" si="13"/>
        <v>March</v>
      </c>
      <c r="J825" s="24">
        <v>0.57986111111111116</v>
      </c>
      <c r="K825" s="19">
        <v>8</v>
      </c>
      <c r="L825" s="12">
        <v>46100</v>
      </c>
      <c r="M825" s="24">
        <v>0.99652777777777779</v>
      </c>
      <c r="N825" s="11">
        <v>10</v>
      </c>
      <c r="O825" s="11" t="s">
        <v>34</v>
      </c>
      <c r="P825" s="11" t="s">
        <v>35</v>
      </c>
      <c r="Q825" s="11"/>
      <c r="R825" s="11" t="s">
        <v>36</v>
      </c>
      <c r="S825" s="19">
        <v>20</v>
      </c>
      <c r="T825" s="11" t="s">
        <v>37</v>
      </c>
      <c r="U825" s="11" t="s">
        <v>96</v>
      </c>
      <c r="V825" s="11">
        <v>4</v>
      </c>
      <c r="W825" s="11" t="s">
        <v>39</v>
      </c>
      <c r="X825" s="11" t="s">
        <v>51</v>
      </c>
      <c r="Y825" s="11" t="s">
        <v>41</v>
      </c>
      <c r="Z825" s="11" t="s">
        <v>71</v>
      </c>
      <c r="AA825" s="11" t="str">
        <f>IF(A825=" ", "Missing Value", " ")</f>
        <v xml:space="preserve"> </v>
      </c>
    </row>
    <row r="826" spans="1:27">
      <c r="A826" s="11" t="s">
        <v>2794</v>
      </c>
      <c r="B826" s="11" t="s">
        <v>2795</v>
      </c>
      <c r="C826" s="11" t="s">
        <v>56</v>
      </c>
      <c r="D826" s="19">
        <v>25</v>
      </c>
      <c r="E826" s="11" t="s">
        <v>81</v>
      </c>
      <c r="F826" s="11" t="s">
        <v>82</v>
      </c>
      <c r="G826" s="11" t="s">
        <v>58</v>
      </c>
      <c r="H826" s="12">
        <v>46054</v>
      </c>
      <c r="I826" s="12" t="str">
        <f t="shared" si="13"/>
        <v>February</v>
      </c>
      <c r="J826" s="24">
        <v>0.47638888888888886</v>
      </c>
      <c r="K826" s="19">
        <v>8</v>
      </c>
      <c r="L826" s="12">
        <v>46054</v>
      </c>
      <c r="M826" s="24">
        <v>0.93472222222222223</v>
      </c>
      <c r="N826" s="11">
        <v>11</v>
      </c>
      <c r="O826" s="11" t="s">
        <v>34</v>
      </c>
      <c r="P826" s="11" t="s">
        <v>35</v>
      </c>
      <c r="Q826" s="11"/>
      <c r="R826" s="11" t="s">
        <v>36</v>
      </c>
      <c r="S826" s="19">
        <v>20</v>
      </c>
      <c r="T826" s="11" t="s">
        <v>49</v>
      </c>
      <c r="U826" s="11" t="s">
        <v>38</v>
      </c>
      <c r="V826" s="11">
        <v>5</v>
      </c>
      <c r="W826" s="11" t="s">
        <v>39</v>
      </c>
      <c r="X826" s="11" t="s">
        <v>3325</v>
      </c>
      <c r="Y826" s="11" t="s">
        <v>52</v>
      </c>
      <c r="Z826" s="11" t="s">
        <v>53</v>
      </c>
      <c r="AA826" s="11" t="s">
        <v>3234</v>
      </c>
    </row>
    <row r="827" spans="1:27">
      <c r="A827" s="11" t="s">
        <v>2797</v>
      </c>
      <c r="B827" s="11" t="s">
        <v>2798</v>
      </c>
      <c r="C827" s="11" t="s">
        <v>56</v>
      </c>
      <c r="D827" s="19">
        <v>58</v>
      </c>
      <c r="E827" s="11" t="s">
        <v>81</v>
      </c>
      <c r="F827" s="11" t="s">
        <v>82</v>
      </c>
      <c r="G827" s="11" t="s">
        <v>83</v>
      </c>
      <c r="H827" s="12">
        <v>46035</v>
      </c>
      <c r="I827" s="12" t="str">
        <f t="shared" si="13"/>
        <v>January</v>
      </c>
      <c r="J827" s="24">
        <v>0.31666666666666665</v>
      </c>
      <c r="K827" s="19">
        <v>8</v>
      </c>
      <c r="L827" s="12">
        <v>46035</v>
      </c>
      <c r="M827" s="24">
        <v>0.65</v>
      </c>
      <c r="N827" s="11">
        <v>8</v>
      </c>
      <c r="O827" s="11" t="s">
        <v>68</v>
      </c>
      <c r="P827" s="11" t="s">
        <v>35</v>
      </c>
      <c r="Q827" s="11"/>
      <c r="R827" s="11" t="s">
        <v>36</v>
      </c>
      <c r="S827" s="19">
        <v>20</v>
      </c>
      <c r="T827" s="11" t="s">
        <v>49</v>
      </c>
      <c r="U827" s="11" t="s">
        <v>38</v>
      </c>
      <c r="V827" s="11">
        <v>3</v>
      </c>
      <c r="W827" s="11" t="s">
        <v>89</v>
      </c>
      <c r="X827" s="11" t="s">
        <v>3325</v>
      </c>
      <c r="Y827" s="11" t="s">
        <v>109</v>
      </c>
      <c r="Z827" s="11" t="s">
        <v>53</v>
      </c>
      <c r="AA827" s="11" t="str">
        <f>IF(A827=" ", "Missing Value", " ")</f>
        <v xml:space="preserve"> </v>
      </c>
    </row>
    <row r="828" spans="1:27">
      <c r="A828" s="11" t="s">
        <v>2799</v>
      </c>
      <c r="B828" s="11" t="s">
        <v>2800</v>
      </c>
      <c r="C828" s="11" t="s">
        <v>56</v>
      </c>
      <c r="D828" s="19">
        <v>43</v>
      </c>
      <c r="E828" s="11" t="s">
        <v>149</v>
      </c>
      <c r="F828" s="11" t="s">
        <v>29</v>
      </c>
      <c r="G828" s="11" t="s">
        <v>30</v>
      </c>
      <c r="H828" s="12">
        <v>46082</v>
      </c>
      <c r="I828" s="12" t="str">
        <f t="shared" si="13"/>
        <v>March</v>
      </c>
      <c r="J828" s="24">
        <v>0.55555555555555558</v>
      </c>
      <c r="K828" s="19">
        <v>6</v>
      </c>
      <c r="L828" s="12">
        <v>46083</v>
      </c>
      <c r="M828" s="24">
        <v>5.5555555555555552E-2</v>
      </c>
      <c r="N828" s="11">
        <v>12</v>
      </c>
      <c r="O828" s="11" t="s">
        <v>34</v>
      </c>
      <c r="P828" s="11" t="s">
        <v>35</v>
      </c>
      <c r="Q828" s="11"/>
      <c r="R828" s="11" t="s">
        <v>36</v>
      </c>
      <c r="S828" s="19">
        <v>40</v>
      </c>
      <c r="T828" s="11" t="s">
        <v>49</v>
      </c>
      <c r="U828" s="11" t="s">
        <v>38</v>
      </c>
      <c r="V828" s="11">
        <v>3</v>
      </c>
      <c r="W828" s="11" t="s">
        <v>39</v>
      </c>
      <c r="X828" s="11" t="s">
        <v>3333</v>
      </c>
      <c r="Y828" s="11" t="s">
        <v>41</v>
      </c>
      <c r="Z828" s="11" t="s">
        <v>53</v>
      </c>
      <c r="AA828" s="11" t="str">
        <f>IF(A828=" ", "Missing Value", " ")</f>
        <v xml:space="preserve"> </v>
      </c>
    </row>
    <row r="829" spans="1:27">
      <c r="A829" s="11" t="s">
        <v>2802</v>
      </c>
      <c r="B829" s="11" t="s">
        <v>2803</v>
      </c>
      <c r="C829" s="11" t="s">
        <v>27</v>
      </c>
      <c r="D829" s="19">
        <v>10</v>
      </c>
      <c r="E829" s="11" t="s">
        <v>81</v>
      </c>
      <c r="F829" s="11" t="s">
        <v>82</v>
      </c>
      <c r="G829" s="11" t="s">
        <v>93</v>
      </c>
      <c r="H829" s="12">
        <v>46079</v>
      </c>
      <c r="I829" s="12" t="str">
        <f t="shared" si="13"/>
        <v>February</v>
      </c>
      <c r="J829" s="24">
        <v>0.67222222222222228</v>
      </c>
      <c r="K829" s="19">
        <v>8</v>
      </c>
      <c r="L829" s="12">
        <v>46080</v>
      </c>
      <c r="M829" s="24">
        <v>4.7222222222222221E-2</v>
      </c>
      <c r="N829" s="11">
        <v>9</v>
      </c>
      <c r="O829" s="11" t="s">
        <v>34</v>
      </c>
      <c r="P829" s="11" t="s">
        <v>35</v>
      </c>
      <c r="Q829" s="11"/>
      <c r="R829" s="11" t="s">
        <v>36</v>
      </c>
      <c r="S829" s="19">
        <v>20</v>
      </c>
      <c r="T829" s="11" t="s">
        <v>37</v>
      </c>
      <c r="U829" s="11" t="s">
        <v>164</v>
      </c>
      <c r="V829" s="11">
        <v>5</v>
      </c>
      <c r="W829" s="11" t="s">
        <v>89</v>
      </c>
      <c r="X829" s="11" t="s">
        <v>3325</v>
      </c>
      <c r="Y829" s="11" t="s">
        <v>52</v>
      </c>
      <c r="Z829" s="11" t="s">
        <v>53</v>
      </c>
      <c r="AA829" s="11" t="s">
        <v>3234</v>
      </c>
    </row>
    <row r="830" spans="1:27">
      <c r="A830" s="11" t="s">
        <v>2805</v>
      </c>
      <c r="B830" s="11" t="s">
        <v>2806</v>
      </c>
      <c r="C830" s="11" t="s">
        <v>27</v>
      </c>
      <c r="D830" s="19">
        <v>45</v>
      </c>
      <c r="E830" s="11" t="s">
        <v>149</v>
      </c>
      <c r="F830" s="11" t="s">
        <v>29</v>
      </c>
      <c r="G830" s="11" t="s">
        <v>168</v>
      </c>
      <c r="H830" s="12">
        <v>46023</v>
      </c>
      <c r="I830" s="12" t="str">
        <f t="shared" si="13"/>
        <v>January</v>
      </c>
      <c r="J830" s="24">
        <v>0.45208333333333334</v>
      </c>
      <c r="K830" s="19">
        <v>6</v>
      </c>
      <c r="L830" s="12">
        <v>46023</v>
      </c>
      <c r="M830" s="24">
        <v>0.82708333333333328</v>
      </c>
      <c r="N830" s="11">
        <v>9</v>
      </c>
      <c r="O830" s="11" t="s">
        <v>34</v>
      </c>
      <c r="P830" s="11" t="s">
        <v>35</v>
      </c>
      <c r="Q830" s="11"/>
      <c r="R830" s="11" t="s">
        <v>36</v>
      </c>
      <c r="S830" s="19">
        <v>40</v>
      </c>
      <c r="T830" s="11" t="s">
        <v>49</v>
      </c>
      <c r="U830" s="11" t="s">
        <v>96</v>
      </c>
      <c r="V830" s="11">
        <v>4</v>
      </c>
      <c r="W830" s="11" t="s">
        <v>89</v>
      </c>
      <c r="X830" s="11" t="s">
        <v>3334</v>
      </c>
      <c r="Y830" s="11" t="s">
        <v>52</v>
      </c>
      <c r="Z830" s="11" t="s">
        <v>42</v>
      </c>
      <c r="AA830" s="11" t="s">
        <v>3234</v>
      </c>
    </row>
    <row r="831" spans="1:27">
      <c r="A831" s="11" t="s">
        <v>2807</v>
      </c>
      <c r="B831" s="11" t="s">
        <v>2808</v>
      </c>
      <c r="C831" s="11" t="s">
        <v>56</v>
      </c>
      <c r="D831" s="19">
        <v>9</v>
      </c>
      <c r="E831" s="11" t="s">
        <v>149</v>
      </c>
      <c r="F831" s="11" t="s">
        <v>29</v>
      </c>
      <c r="G831" s="11" t="s">
        <v>83</v>
      </c>
      <c r="H831" s="12">
        <v>46136</v>
      </c>
      <c r="I831" s="12" t="str">
        <f t="shared" si="13"/>
        <v>April</v>
      </c>
      <c r="J831" s="24">
        <v>0.44861111111111113</v>
      </c>
      <c r="K831" s="19">
        <v>6</v>
      </c>
      <c r="L831" s="12">
        <v>46136</v>
      </c>
      <c r="M831" s="24">
        <v>0.94861111111111107</v>
      </c>
      <c r="N831" s="11">
        <v>12</v>
      </c>
      <c r="O831" s="11" t="s">
        <v>34</v>
      </c>
      <c r="P831" s="11" t="s">
        <v>35</v>
      </c>
      <c r="Q831" s="11"/>
      <c r="R831" s="11" t="s">
        <v>36</v>
      </c>
      <c r="S831" s="19">
        <v>40</v>
      </c>
      <c r="T831" s="11" t="s">
        <v>37</v>
      </c>
      <c r="U831" s="11" t="s">
        <v>164</v>
      </c>
      <c r="V831" s="11">
        <v>5</v>
      </c>
      <c r="W831" s="11" t="s">
        <v>62</v>
      </c>
      <c r="X831" s="11" t="s">
        <v>3334</v>
      </c>
      <c r="Y831" s="11" t="s">
        <v>41</v>
      </c>
      <c r="Z831" s="11" t="s">
        <v>53</v>
      </c>
      <c r="AA831" s="11" t="s">
        <v>3234</v>
      </c>
    </row>
    <row r="832" spans="1:27">
      <c r="A832" s="11" t="s">
        <v>2810</v>
      </c>
      <c r="B832" s="11" t="s">
        <v>2811</v>
      </c>
      <c r="C832" s="11" t="s">
        <v>56</v>
      </c>
      <c r="D832" s="19">
        <v>49</v>
      </c>
      <c r="E832" s="11" t="s">
        <v>173</v>
      </c>
      <c r="F832" s="11" t="s">
        <v>29</v>
      </c>
      <c r="G832" s="11" t="s">
        <v>168</v>
      </c>
      <c r="H832" s="12">
        <v>46106</v>
      </c>
      <c r="I832" s="12" t="str">
        <f t="shared" si="13"/>
        <v>March</v>
      </c>
      <c r="J832" s="24">
        <v>0.69791666666666663</v>
      </c>
      <c r="K832" s="19">
        <v>4</v>
      </c>
      <c r="L832" s="12">
        <v>46107</v>
      </c>
      <c r="M832" s="24">
        <v>0.19791666666666666</v>
      </c>
      <c r="N832" s="11">
        <v>12</v>
      </c>
      <c r="O832" s="11" t="s">
        <v>34</v>
      </c>
      <c r="P832" s="11" t="s">
        <v>35</v>
      </c>
      <c r="Q832" s="11"/>
      <c r="R832" s="11" t="s">
        <v>36</v>
      </c>
      <c r="S832" s="19">
        <v>25</v>
      </c>
      <c r="T832" s="11" t="s">
        <v>49</v>
      </c>
      <c r="U832" s="11" t="s">
        <v>96</v>
      </c>
      <c r="V832" s="11">
        <v>4</v>
      </c>
      <c r="W832" s="11" t="s">
        <v>62</v>
      </c>
      <c r="X832" s="11" t="s">
        <v>3325</v>
      </c>
      <c r="Y832" s="11" t="s">
        <v>109</v>
      </c>
      <c r="Z832" s="11" t="s">
        <v>42</v>
      </c>
      <c r="AA832" s="11" t="s">
        <v>3234</v>
      </c>
    </row>
    <row r="833" spans="1:27">
      <c r="A833" s="11" t="s">
        <v>2814</v>
      </c>
      <c r="B833" s="11" t="s">
        <v>2815</v>
      </c>
      <c r="C833" s="11" t="s">
        <v>56</v>
      </c>
      <c r="D833" s="19">
        <v>27</v>
      </c>
      <c r="E833" s="11" t="s">
        <v>92</v>
      </c>
      <c r="F833" s="11" t="s">
        <v>29</v>
      </c>
      <c r="G833" s="11" t="s">
        <v>30</v>
      </c>
      <c r="H833" s="12">
        <v>46176</v>
      </c>
      <c r="I833" s="12" t="str">
        <f t="shared" si="13"/>
        <v>June</v>
      </c>
      <c r="J833" s="24">
        <v>0.47916666666666669</v>
      </c>
      <c r="K833" s="19">
        <v>24</v>
      </c>
      <c r="L833" s="12">
        <v>46177</v>
      </c>
      <c r="M833" s="24">
        <v>0.6875</v>
      </c>
      <c r="N833" s="11">
        <v>29</v>
      </c>
      <c r="O833" s="11" t="s">
        <v>34</v>
      </c>
      <c r="P833" s="11" t="s">
        <v>35</v>
      </c>
      <c r="Q833" s="11"/>
      <c r="R833" s="11" t="s">
        <v>36</v>
      </c>
      <c r="S833" s="19">
        <v>50</v>
      </c>
      <c r="T833" s="11" t="s">
        <v>49</v>
      </c>
      <c r="U833" s="11" t="s">
        <v>164</v>
      </c>
      <c r="V833" s="11">
        <v>3</v>
      </c>
      <c r="W833" s="11" t="s">
        <v>62</v>
      </c>
      <c r="X833" s="11" t="s">
        <v>3325</v>
      </c>
      <c r="Y833" s="11" t="s">
        <v>52</v>
      </c>
      <c r="Z833" s="11" t="s">
        <v>71</v>
      </c>
      <c r="AA833" s="11" t="s">
        <v>3235</v>
      </c>
    </row>
    <row r="834" spans="1:27">
      <c r="A834" s="11" t="s">
        <v>2816</v>
      </c>
      <c r="B834" s="11" t="s">
        <v>2817</v>
      </c>
      <c r="C834" s="11" t="s">
        <v>56</v>
      </c>
      <c r="D834" s="19">
        <v>25</v>
      </c>
      <c r="E834" s="11" t="s">
        <v>149</v>
      </c>
      <c r="F834" s="11" t="s">
        <v>29</v>
      </c>
      <c r="G834" s="11" t="s">
        <v>30</v>
      </c>
      <c r="H834" s="12">
        <v>46109</v>
      </c>
      <c r="I834" s="12" t="str">
        <f t="shared" ref="I834:I897" si="15">TEXT(H834, "mmmm")</f>
        <v>March</v>
      </c>
      <c r="J834" s="24">
        <v>0.46388888888888891</v>
      </c>
      <c r="K834" s="19">
        <v>6</v>
      </c>
      <c r="L834" s="12">
        <v>46109</v>
      </c>
      <c r="M834" s="24">
        <v>0.75555555555555554</v>
      </c>
      <c r="N834" s="11">
        <v>7</v>
      </c>
      <c r="O834" s="11" t="s">
        <v>34</v>
      </c>
      <c r="P834" s="11" t="s">
        <v>270</v>
      </c>
      <c r="Q834" s="11" t="s">
        <v>271</v>
      </c>
      <c r="R834" s="11" t="s">
        <v>36</v>
      </c>
      <c r="S834" s="19">
        <v>40</v>
      </c>
      <c r="T834" s="11" t="s">
        <v>49</v>
      </c>
      <c r="U834" s="11" t="s">
        <v>38</v>
      </c>
      <c r="V834" s="11">
        <v>3</v>
      </c>
      <c r="W834" s="11" t="s">
        <v>39</v>
      </c>
      <c r="X834" s="11" t="s">
        <v>3325</v>
      </c>
      <c r="Y834" s="11" t="s">
        <v>109</v>
      </c>
      <c r="Z834" s="11" t="s">
        <v>71</v>
      </c>
      <c r="AA834" s="11" t="s">
        <v>3251</v>
      </c>
    </row>
    <row r="835" spans="1:27">
      <c r="A835" s="11" t="s">
        <v>2818</v>
      </c>
      <c r="B835" s="11" t="s">
        <v>2819</v>
      </c>
      <c r="C835" s="11" t="s">
        <v>56</v>
      </c>
      <c r="D835" s="19">
        <v>13</v>
      </c>
      <c r="E835" s="11" t="s">
        <v>149</v>
      </c>
      <c r="F835" s="11" t="s">
        <v>29</v>
      </c>
      <c r="G835" s="11" t="s">
        <v>30</v>
      </c>
      <c r="H835" s="12">
        <v>46115</v>
      </c>
      <c r="I835" s="12" t="str">
        <f t="shared" si="15"/>
        <v>April</v>
      </c>
      <c r="J835" s="24">
        <v>0.39930555555555558</v>
      </c>
      <c r="K835" s="19">
        <v>6</v>
      </c>
      <c r="L835" s="12">
        <v>46115</v>
      </c>
      <c r="M835" s="24">
        <v>0.89930555555555558</v>
      </c>
      <c r="N835" s="11">
        <v>12</v>
      </c>
      <c r="O835" s="11" t="s">
        <v>34</v>
      </c>
      <c r="P835" s="11" t="s">
        <v>35</v>
      </c>
      <c r="Q835" s="11"/>
      <c r="R835" s="11" t="s">
        <v>36</v>
      </c>
      <c r="S835" s="19">
        <v>40</v>
      </c>
      <c r="T835" s="11" t="s">
        <v>49</v>
      </c>
      <c r="U835" s="11" t="s">
        <v>96</v>
      </c>
      <c r="V835" s="11">
        <v>1</v>
      </c>
      <c r="W835" s="11" t="s">
        <v>39</v>
      </c>
      <c r="X835" s="11" t="s">
        <v>3325</v>
      </c>
      <c r="Y835" s="11" t="s">
        <v>41</v>
      </c>
      <c r="Z835" s="11" t="s">
        <v>53</v>
      </c>
      <c r="AA835" s="11" t="str">
        <f>IF(A835=" ", "Missing Value", " ")</f>
        <v xml:space="preserve"> </v>
      </c>
    </row>
    <row r="836" spans="1:27">
      <c r="A836" s="11" t="s">
        <v>2821</v>
      </c>
      <c r="B836" s="11" t="s">
        <v>2822</v>
      </c>
      <c r="C836" s="11" t="s">
        <v>56</v>
      </c>
      <c r="D836" s="19">
        <v>29</v>
      </c>
      <c r="E836" s="11" t="s">
        <v>57</v>
      </c>
      <c r="F836" s="11" t="s">
        <v>29</v>
      </c>
      <c r="G836" s="11" t="s">
        <v>58</v>
      </c>
      <c r="H836" s="12">
        <v>46045</v>
      </c>
      <c r="I836" s="12" t="str">
        <f t="shared" si="15"/>
        <v>January</v>
      </c>
      <c r="J836" s="24">
        <v>0.50277777777777777</v>
      </c>
      <c r="K836" s="19">
        <v>3</v>
      </c>
      <c r="L836" s="12">
        <v>46045</v>
      </c>
      <c r="M836" s="24">
        <v>0.58611111111111114</v>
      </c>
      <c r="N836" s="11">
        <v>2</v>
      </c>
      <c r="O836" s="11" t="s">
        <v>68</v>
      </c>
      <c r="P836" s="11" t="s">
        <v>35</v>
      </c>
      <c r="Q836" s="11"/>
      <c r="R836" s="11" t="s">
        <v>36</v>
      </c>
      <c r="S836" s="19">
        <v>15</v>
      </c>
      <c r="T836" s="11" t="s">
        <v>49</v>
      </c>
      <c r="U836" s="11" t="s">
        <v>38</v>
      </c>
      <c r="V836" s="11">
        <v>2</v>
      </c>
      <c r="W836" s="11" t="s">
        <v>39</v>
      </c>
      <c r="X836" s="11" t="s">
        <v>51</v>
      </c>
      <c r="Y836" s="11" t="s">
        <v>41</v>
      </c>
      <c r="Z836" s="11" t="s">
        <v>42</v>
      </c>
      <c r="AA836" s="11"/>
    </row>
    <row r="837" spans="1:27">
      <c r="A837" s="11" t="s">
        <v>2823</v>
      </c>
      <c r="B837" s="11" t="s">
        <v>2824</v>
      </c>
      <c r="C837" s="11" t="s">
        <v>27</v>
      </c>
      <c r="D837" s="19">
        <v>85</v>
      </c>
      <c r="E837" s="11" t="s">
        <v>28</v>
      </c>
      <c r="F837" s="11" t="s">
        <v>29</v>
      </c>
      <c r="G837" s="11" t="s">
        <v>83</v>
      </c>
      <c r="H837" s="12">
        <v>46101</v>
      </c>
      <c r="I837" s="12" t="str">
        <f t="shared" si="15"/>
        <v>March</v>
      </c>
      <c r="J837" s="24">
        <v>0.60624999999999996</v>
      </c>
      <c r="K837" s="19">
        <v>5</v>
      </c>
      <c r="L837" s="12">
        <v>46101</v>
      </c>
      <c r="M837" s="24">
        <v>0.81458333333333333</v>
      </c>
      <c r="N837" s="11">
        <v>5</v>
      </c>
      <c r="O837" s="11" t="s">
        <v>68</v>
      </c>
      <c r="P837" s="11" t="s">
        <v>35</v>
      </c>
      <c r="Q837" s="11"/>
      <c r="R837" s="11" t="s">
        <v>36</v>
      </c>
      <c r="S837" s="19">
        <v>35</v>
      </c>
      <c r="T837" s="11" t="s">
        <v>37</v>
      </c>
      <c r="U837" s="11" t="s">
        <v>164</v>
      </c>
      <c r="V837" s="11">
        <v>1</v>
      </c>
      <c r="W837" s="11" t="s">
        <v>62</v>
      </c>
      <c r="X837" s="11" t="s">
        <v>3333</v>
      </c>
      <c r="Y837" s="11" t="s">
        <v>52</v>
      </c>
      <c r="Z837" s="11" t="s">
        <v>42</v>
      </c>
      <c r="AA837" s="11" t="s">
        <v>3234</v>
      </c>
    </row>
    <row r="838" spans="1:27">
      <c r="A838" s="11" t="s">
        <v>2825</v>
      </c>
      <c r="B838" s="11" t="s">
        <v>2826</v>
      </c>
      <c r="C838" s="11" t="s">
        <v>27</v>
      </c>
      <c r="D838" s="19">
        <v>5</v>
      </c>
      <c r="E838" s="11" t="s">
        <v>81</v>
      </c>
      <c r="F838" s="11" t="s">
        <v>82</v>
      </c>
      <c r="G838" s="11" t="s">
        <v>83</v>
      </c>
      <c r="H838" s="12">
        <v>46135</v>
      </c>
      <c r="I838" s="12" t="str">
        <f t="shared" si="15"/>
        <v>April</v>
      </c>
      <c r="J838" s="24">
        <v>0.60555555555555551</v>
      </c>
      <c r="K838" s="19">
        <v>8</v>
      </c>
      <c r="L838" s="12">
        <v>46136</v>
      </c>
      <c r="M838" s="24">
        <v>6.3888888888888884E-2</v>
      </c>
      <c r="N838" s="11">
        <v>11</v>
      </c>
      <c r="O838" s="11" t="s">
        <v>34</v>
      </c>
      <c r="P838" s="11" t="s">
        <v>35</v>
      </c>
      <c r="Q838" s="11"/>
      <c r="R838" s="11" t="s">
        <v>36</v>
      </c>
      <c r="S838" s="19">
        <v>20</v>
      </c>
      <c r="T838" s="11" t="s">
        <v>49</v>
      </c>
      <c r="U838" s="11" t="s">
        <v>96</v>
      </c>
      <c r="V838" s="11">
        <v>4</v>
      </c>
      <c r="W838" s="11" t="s">
        <v>62</v>
      </c>
      <c r="X838" s="11" t="s">
        <v>3325</v>
      </c>
      <c r="Y838" s="11" t="s">
        <v>109</v>
      </c>
      <c r="Z838" s="11" t="s">
        <v>53</v>
      </c>
      <c r="AA838" s="11" t="str">
        <f>IF(A838=" ", "Missing Value", " ")</f>
        <v xml:space="preserve"> </v>
      </c>
    </row>
    <row r="839" spans="1:27">
      <c r="A839" s="11" t="s">
        <v>2828</v>
      </c>
      <c r="B839" s="11" t="s">
        <v>2829</v>
      </c>
      <c r="C839" s="11" t="s">
        <v>56</v>
      </c>
      <c r="D839" s="19">
        <v>88</v>
      </c>
      <c r="E839" s="11" t="s">
        <v>92</v>
      </c>
      <c r="F839" s="11" t="s">
        <v>29</v>
      </c>
      <c r="G839" s="11" t="s">
        <v>93</v>
      </c>
      <c r="H839" s="12">
        <v>46080</v>
      </c>
      <c r="I839" s="12" t="str">
        <f t="shared" si="15"/>
        <v>February</v>
      </c>
      <c r="J839" s="24">
        <v>0.3576388888888889</v>
      </c>
      <c r="K839" s="19">
        <v>24</v>
      </c>
      <c r="L839" s="12">
        <v>46081</v>
      </c>
      <c r="M839" s="24">
        <v>0.64930555555555558</v>
      </c>
      <c r="N839" s="11">
        <v>31</v>
      </c>
      <c r="O839" s="11" t="s">
        <v>34</v>
      </c>
      <c r="P839" s="11" t="s">
        <v>35</v>
      </c>
      <c r="Q839" s="11"/>
      <c r="R839" s="11" t="s">
        <v>36</v>
      </c>
      <c r="S839" s="19">
        <v>50</v>
      </c>
      <c r="T839" s="11" t="s">
        <v>37</v>
      </c>
      <c r="U839" s="11" t="s">
        <v>96</v>
      </c>
      <c r="V839" s="11">
        <v>3</v>
      </c>
      <c r="W839" s="11" t="s">
        <v>70</v>
      </c>
      <c r="X839" s="11" t="s">
        <v>51</v>
      </c>
      <c r="Y839" s="11" t="s">
        <v>52</v>
      </c>
      <c r="Z839" s="11" t="s">
        <v>42</v>
      </c>
      <c r="AA839" s="11" t="s">
        <v>3229</v>
      </c>
    </row>
    <row r="840" spans="1:27">
      <c r="A840" s="11" t="s">
        <v>2830</v>
      </c>
      <c r="B840" s="11" t="s">
        <v>2831</v>
      </c>
      <c r="C840" s="11" t="s">
        <v>56</v>
      </c>
      <c r="D840" s="19">
        <v>4</v>
      </c>
      <c r="E840" s="11" t="s">
        <v>28</v>
      </c>
      <c r="F840" s="11" t="s">
        <v>29</v>
      </c>
      <c r="G840" s="11" t="s">
        <v>83</v>
      </c>
      <c r="H840" s="12">
        <v>46109</v>
      </c>
      <c r="I840" s="12" t="str">
        <f t="shared" si="15"/>
        <v>March</v>
      </c>
      <c r="J840" s="24">
        <v>0.49236111111111114</v>
      </c>
      <c r="K840" s="19">
        <v>5</v>
      </c>
      <c r="L840" s="12">
        <v>46109</v>
      </c>
      <c r="M840" s="24">
        <v>0.90902777777777777</v>
      </c>
      <c r="N840" s="11">
        <v>10</v>
      </c>
      <c r="O840" s="11" t="s">
        <v>34</v>
      </c>
      <c r="P840" s="11" t="s">
        <v>35</v>
      </c>
      <c r="Q840" s="11"/>
      <c r="R840" s="11" t="s">
        <v>36</v>
      </c>
      <c r="S840" s="19">
        <v>35</v>
      </c>
      <c r="T840" s="11" t="s">
        <v>49</v>
      </c>
      <c r="U840" s="11" t="s">
        <v>38</v>
      </c>
      <c r="V840" s="11">
        <v>2</v>
      </c>
      <c r="W840" s="11" t="s">
        <v>62</v>
      </c>
      <c r="X840" s="11" t="s">
        <v>51</v>
      </c>
      <c r="Y840" s="11" t="s">
        <v>109</v>
      </c>
      <c r="Z840" s="11" t="s">
        <v>71</v>
      </c>
      <c r="AA840" s="11" t="s">
        <v>3234</v>
      </c>
    </row>
    <row r="841" spans="1:27">
      <c r="A841" s="11" t="s">
        <v>2834</v>
      </c>
      <c r="B841" s="11" t="s">
        <v>2835</v>
      </c>
      <c r="C841" s="11" t="s">
        <v>56</v>
      </c>
      <c r="D841" s="19">
        <v>33</v>
      </c>
      <c r="E841" s="11" t="s">
        <v>173</v>
      </c>
      <c r="F841" s="11" t="s">
        <v>29</v>
      </c>
      <c r="G841" s="11" t="s">
        <v>58</v>
      </c>
      <c r="H841" s="12">
        <v>46186</v>
      </c>
      <c r="I841" s="12" t="str">
        <f t="shared" si="15"/>
        <v>June</v>
      </c>
      <c r="J841" s="24">
        <v>0.49166666666666664</v>
      </c>
      <c r="K841" s="19">
        <v>4</v>
      </c>
      <c r="L841" s="12">
        <v>46186</v>
      </c>
      <c r="M841" s="24">
        <v>0.8666666666666667</v>
      </c>
      <c r="N841" s="11">
        <v>9</v>
      </c>
      <c r="O841" s="11" t="s">
        <v>34</v>
      </c>
      <c r="P841" s="11" t="s">
        <v>35</v>
      </c>
      <c r="Q841" s="11"/>
      <c r="R841" s="11" t="s">
        <v>36</v>
      </c>
      <c r="S841" s="19">
        <v>25</v>
      </c>
      <c r="T841" s="11" t="s">
        <v>49</v>
      </c>
      <c r="U841" s="11" t="s">
        <v>38</v>
      </c>
      <c r="V841" s="11">
        <v>2</v>
      </c>
      <c r="W841" s="11" t="s">
        <v>89</v>
      </c>
      <c r="X841" s="11" t="s">
        <v>3333</v>
      </c>
      <c r="Y841" s="11" t="s">
        <v>109</v>
      </c>
      <c r="Z841" s="11" t="s">
        <v>71</v>
      </c>
      <c r="AA841" s="11" t="s">
        <v>3234</v>
      </c>
    </row>
    <row r="842" spans="1:27">
      <c r="A842" s="11" t="s">
        <v>2836</v>
      </c>
      <c r="B842" s="11" t="s">
        <v>2837</v>
      </c>
      <c r="C842" s="11" t="s">
        <v>56</v>
      </c>
      <c r="D842" s="19">
        <v>39</v>
      </c>
      <c r="E842" s="11" t="s">
        <v>173</v>
      </c>
      <c r="F842" s="11" t="s">
        <v>29</v>
      </c>
      <c r="G842" s="11" t="s">
        <v>168</v>
      </c>
      <c r="H842" s="12">
        <v>46128</v>
      </c>
      <c r="I842" s="12" t="str">
        <f t="shared" si="15"/>
        <v>April</v>
      </c>
      <c r="J842" s="24">
        <v>0.2986111111111111</v>
      </c>
      <c r="K842" s="19">
        <v>4</v>
      </c>
      <c r="L842" s="12">
        <v>46128</v>
      </c>
      <c r="M842" s="24">
        <v>0.71527777777777779</v>
      </c>
      <c r="N842" s="11">
        <v>10</v>
      </c>
      <c r="O842" s="11" t="s">
        <v>34</v>
      </c>
      <c r="P842" s="11" t="s">
        <v>35</v>
      </c>
      <c r="Q842" s="11"/>
      <c r="R842" s="11" t="s">
        <v>36</v>
      </c>
      <c r="S842" s="19">
        <v>25</v>
      </c>
      <c r="T842" s="11" t="s">
        <v>49</v>
      </c>
      <c r="U842" s="11" t="s">
        <v>96</v>
      </c>
      <c r="V842" s="11">
        <v>5</v>
      </c>
      <c r="W842" s="11" t="s">
        <v>62</v>
      </c>
      <c r="X842" s="11" t="s">
        <v>51</v>
      </c>
      <c r="Y842" s="11" t="s">
        <v>109</v>
      </c>
      <c r="Z842" s="11" t="s">
        <v>53</v>
      </c>
      <c r="AA842" s="11" t="s">
        <v>3234</v>
      </c>
    </row>
    <row r="843" spans="1:27">
      <c r="A843" s="11" t="s">
        <v>2840</v>
      </c>
      <c r="B843" s="11" t="s">
        <v>2841</v>
      </c>
      <c r="C843" s="11" t="s">
        <v>27</v>
      </c>
      <c r="D843" s="19">
        <v>54</v>
      </c>
      <c r="E843" s="11" t="s">
        <v>173</v>
      </c>
      <c r="F843" s="11" t="s">
        <v>29</v>
      </c>
      <c r="G843" s="11" t="s">
        <v>168</v>
      </c>
      <c r="H843" s="12">
        <v>46202</v>
      </c>
      <c r="I843" s="12" t="str">
        <f t="shared" si="15"/>
        <v>June</v>
      </c>
      <c r="J843" s="24">
        <v>0.41249999999999998</v>
      </c>
      <c r="K843" s="19">
        <v>4</v>
      </c>
      <c r="L843" s="12">
        <v>46202</v>
      </c>
      <c r="M843" s="24">
        <v>0.87083333333333335</v>
      </c>
      <c r="N843" s="11">
        <v>11</v>
      </c>
      <c r="O843" s="11" t="s">
        <v>34</v>
      </c>
      <c r="P843" s="11" t="s">
        <v>35</v>
      </c>
      <c r="Q843" s="11"/>
      <c r="R843" s="11" t="s">
        <v>132</v>
      </c>
      <c r="S843" s="19">
        <v>25</v>
      </c>
      <c r="T843" s="11" t="s">
        <v>49</v>
      </c>
      <c r="U843" s="11" t="s">
        <v>164</v>
      </c>
      <c r="V843" s="11">
        <v>1</v>
      </c>
      <c r="W843" s="11" t="s">
        <v>70</v>
      </c>
      <c r="X843" s="11" t="s">
        <v>51</v>
      </c>
      <c r="Y843" s="11" t="s">
        <v>109</v>
      </c>
      <c r="Z843" s="11" t="s">
        <v>42</v>
      </c>
      <c r="AA843" s="11" t="s">
        <v>3264</v>
      </c>
    </row>
    <row r="844" spans="1:27">
      <c r="A844" s="11" t="s">
        <v>2843</v>
      </c>
      <c r="B844" s="11" t="s">
        <v>2844</v>
      </c>
      <c r="C844" s="11" t="s">
        <v>56</v>
      </c>
      <c r="D844" s="19">
        <v>59</v>
      </c>
      <c r="E844" s="11" t="s">
        <v>149</v>
      </c>
      <c r="F844" s="11" t="s">
        <v>29</v>
      </c>
      <c r="G844" s="11" t="s">
        <v>83</v>
      </c>
      <c r="H844" s="12">
        <v>46100</v>
      </c>
      <c r="I844" s="12" t="str">
        <f t="shared" si="15"/>
        <v>March</v>
      </c>
      <c r="J844" s="24">
        <v>0.58680555555555558</v>
      </c>
      <c r="K844" s="19">
        <v>6</v>
      </c>
      <c r="L844" s="12">
        <v>46101</v>
      </c>
      <c r="M844" s="24">
        <v>0.12847222222222221</v>
      </c>
      <c r="N844" s="11">
        <v>13</v>
      </c>
      <c r="O844" s="11" t="s">
        <v>34</v>
      </c>
      <c r="P844" s="11" t="s">
        <v>35</v>
      </c>
      <c r="Q844" s="11"/>
      <c r="R844" s="11" t="s">
        <v>36</v>
      </c>
      <c r="S844" s="19">
        <v>40</v>
      </c>
      <c r="T844" s="11" t="s">
        <v>37</v>
      </c>
      <c r="U844" s="11" t="s">
        <v>96</v>
      </c>
      <c r="V844" s="11">
        <v>2</v>
      </c>
      <c r="W844" s="11" t="s">
        <v>62</v>
      </c>
      <c r="X844" s="11" t="s">
        <v>3334</v>
      </c>
      <c r="Y844" s="11" t="s">
        <v>41</v>
      </c>
      <c r="Z844" s="11" t="s">
        <v>42</v>
      </c>
      <c r="AA844" s="11" t="s">
        <v>3234</v>
      </c>
    </row>
    <row r="845" spans="1:27">
      <c r="A845" s="11" t="s">
        <v>2847</v>
      </c>
      <c r="B845" s="11" t="s">
        <v>2848</v>
      </c>
      <c r="C845" s="11" t="s">
        <v>56</v>
      </c>
      <c r="D845" s="19">
        <v>68</v>
      </c>
      <c r="E845" s="11" t="s">
        <v>92</v>
      </c>
      <c r="F845" s="11" t="s">
        <v>29</v>
      </c>
      <c r="G845" s="11" t="s">
        <v>93</v>
      </c>
      <c r="H845" s="12">
        <v>46129</v>
      </c>
      <c r="I845" s="12" t="str">
        <f t="shared" si="15"/>
        <v>April</v>
      </c>
      <c r="J845" s="24">
        <v>0.4597222222222222</v>
      </c>
      <c r="K845" s="19">
        <v>24</v>
      </c>
      <c r="L845" s="12">
        <v>46130</v>
      </c>
      <c r="M845" s="24">
        <v>0.70972222222222225</v>
      </c>
      <c r="N845" s="11">
        <v>30</v>
      </c>
      <c r="O845" s="11" t="s">
        <v>34</v>
      </c>
      <c r="P845" s="11" t="s">
        <v>35</v>
      </c>
      <c r="Q845" s="11"/>
      <c r="R845" s="11" t="s">
        <v>132</v>
      </c>
      <c r="S845" s="19">
        <v>50</v>
      </c>
      <c r="T845" s="11" t="s">
        <v>49</v>
      </c>
      <c r="U845" s="11" t="s">
        <v>96</v>
      </c>
      <c r="V845" s="11">
        <v>4</v>
      </c>
      <c r="W845" s="11" t="s">
        <v>39</v>
      </c>
      <c r="X845" s="11" t="s">
        <v>3325</v>
      </c>
      <c r="Y845" s="11" t="s">
        <v>109</v>
      </c>
      <c r="Z845" s="11" t="s">
        <v>53</v>
      </c>
      <c r="AA845" s="11" t="s">
        <v>3261</v>
      </c>
    </row>
    <row r="846" spans="1:27">
      <c r="A846" s="11" t="s">
        <v>2849</v>
      </c>
      <c r="B846" s="11" t="s">
        <v>2850</v>
      </c>
      <c r="C846" s="11" t="s">
        <v>56</v>
      </c>
      <c r="D846" s="19">
        <v>15</v>
      </c>
      <c r="E846" s="11" t="s">
        <v>92</v>
      </c>
      <c r="F846" s="11" t="s">
        <v>29</v>
      </c>
      <c r="G846" s="11" t="s">
        <v>83</v>
      </c>
      <c r="H846" s="12">
        <v>46031</v>
      </c>
      <c r="I846" s="12" t="str">
        <f t="shared" si="15"/>
        <v>January</v>
      </c>
      <c r="J846" s="24">
        <v>0.49236111111111114</v>
      </c>
      <c r="K846" s="19">
        <v>24</v>
      </c>
      <c r="L846" s="12">
        <v>46032</v>
      </c>
      <c r="M846" s="24">
        <v>0.49236111111111114</v>
      </c>
      <c r="N846" s="11">
        <v>24</v>
      </c>
      <c r="O846" s="11" t="s">
        <v>68</v>
      </c>
      <c r="P846" s="11" t="s">
        <v>35</v>
      </c>
      <c r="Q846" s="11"/>
      <c r="R846" s="11" t="s">
        <v>36</v>
      </c>
      <c r="S846" s="19">
        <v>50</v>
      </c>
      <c r="T846" s="11" t="s">
        <v>49</v>
      </c>
      <c r="U846" s="11" t="s">
        <v>164</v>
      </c>
      <c r="V846" s="11">
        <v>3</v>
      </c>
      <c r="W846" s="11" t="s">
        <v>39</v>
      </c>
      <c r="X846" s="11" t="s">
        <v>3334</v>
      </c>
      <c r="Y846" s="11" t="s">
        <v>41</v>
      </c>
      <c r="Z846" s="11" t="s">
        <v>42</v>
      </c>
      <c r="AA846" s="11" t="s">
        <v>3237</v>
      </c>
    </row>
    <row r="847" spans="1:27">
      <c r="A847" s="11" t="s">
        <v>2851</v>
      </c>
      <c r="B847" s="11" t="s">
        <v>2852</v>
      </c>
      <c r="C847" s="11" t="s">
        <v>56</v>
      </c>
      <c r="D847" s="19">
        <v>61</v>
      </c>
      <c r="E847" s="11" t="s">
        <v>28</v>
      </c>
      <c r="F847" s="11" t="s">
        <v>29</v>
      </c>
      <c r="G847" s="11" t="s">
        <v>168</v>
      </c>
      <c r="H847" s="12">
        <v>46055</v>
      </c>
      <c r="I847" s="12" t="str">
        <f t="shared" si="15"/>
        <v>February</v>
      </c>
      <c r="J847" s="24">
        <v>0.67083333333333328</v>
      </c>
      <c r="K847" s="19">
        <v>5</v>
      </c>
      <c r="L847" s="12">
        <v>46056</v>
      </c>
      <c r="M847" s="24">
        <v>8.7499999999999994E-2</v>
      </c>
      <c r="N847" s="11">
        <v>10</v>
      </c>
      <c r="O847" s="11" t="s">
        <v>34</v>
      </c>
      <c r="P847" s="11" t="s">
        <v>35</v>
      </c>
      <c r="Q847" s="11"/>
      <c r="R847" s="11" t="s">
        <v>36</v>
      </c>
      <c r="S847" s="19">
        <v>35</v>
      </c>
      <c r="T847" s="11" t="s">
        <v>37</v>
      </c>
      <c r="U847" s="11" t="s">
        <v>164</v>
      </c>
      <c r="V847" s="11">
        <v>3</v>
      </c>
      <c r="W847" s="11" t="s">
        <v>70</v>
      </c>
      <c r="X847" s="11" t="s">
        <v>3325</v>
      </c>
      <c r="Y847" s="11" t="s">
        <v>109</v>
      </c>
      <c r="Z847" s="11" t="s">
        <v>53</v>
      </c>
      <c r="AA847" s="11" t="s">
        <v>3234</v>
      </c>
    </row>
    <row r="848" spans="1:27">
      <c r="A848" s="11" t="s">
        <v>2854</v>
      </c>
      <c r="B848" s="11" t="s">
        <v>2855</v>
      </c>
      <c r="C848" s="11" t="s">
        <v>56</v>
      </c>
      <c r="D848" s="19">
        <v>89</v>
      </c>
      <c r="E848" s="11" t="s">
        <v>149</v>
      </c>
      <c r="F848" s="11" t="s">
        <v>29</v>
      </c>
      <c r="G848" s="11" t="s">
        <v>168</v>
      </c>
      <c r="H848" s="12">
        <v>46071</v>
      </c>
      <c r="I848" s="12" t="str">
        <f t="shared" si="15"/>
        <v>February</v>
      </c>
      <c r="J848" s="24">
        <v>0.33750000000000002</v>
      </c>
      <c r="K848" s="19">
        <v>6</v>
      </c>
      <c r="L848" s="12">
        <v>46071</v>
      </c>
      <c r="M848" s="24">
        <v>0.71250000000000002</v>
      </c>
      <c r="N848" s="11">
        <v>9</v>
      </c>
      <c r="O848" s="11" t="s">
        <v>34</v>
      </c>
      <c r="P848" s="11" t="s">
        <v>35</v>
      </c>
      <c r="Q848" s="11"/>
      <c r="R848" s="11" t="s">
        <v>132</v>
      </c>
      <c r="S848" s="19">
        <v>40</v>
      </c>
      <c r="T848" s="11" t="s">
        <v>37</v>
      </c>
      <c r="U848" s="11" t="s">
        <v>164</v>
      </c>
      <c r="V848" s="11">
        <v>3</v>
      </c>
      <c r="W848" s="11" t="s">
        <v>70</v>
      </c>
      <c r="X848" s="11" t="s">
        <v>51</v>
      </c>
      <c r="Y848" s="11" t="s">
        <v>41</v>
      </c>
      <c r="Z848" s="11" t="s">
        <v>53</v>
      </c>
      <c r="AA848" s="11" t="s">
        <v>3264</v>
      </c>
    </row>
    <row r="849" spans="1:27">
      <c r="A849" s="11" t="s">
        <v>2857</v>
      </c>
      <c r="B849" s="11" t="s">
        <v>2858</v>
      </c>
      <c r="C849" s="11" t="s">
        <v>27</v>
      </c>
      <c r="D849" s="19">
        <v>2</v>
      </c>
      <c r="E849" s="11" t="s">
        <v>81</v>
      </c>
      <c r="F849" s="11" t="s">
        <v>82</v>
      </c>
      <c r="G849" s="11" t="s">
        <v>93</v>
      </c>
      <c r="H849" s="12">
        <v>46026</v>
      </c>
      <c r="I849" s="12" t="str">
        <f t="shared" si="15"/>
        <v>January</v>
      </c>
      <c r="J849" s="24">
        <v>0.51666666666666672</v>
      </c>
      <c r="K849" s="19">
        <v>8</v>
      </c>
      <c r="L849" s="12">
        <v>46026</v>
      </c>
      <c r="M849" s="24">
        <v>0.93333333333333335</v>
      </c>
      <c r="N849" s="11">
        <v>10</v>
      </c>
      <c r="O849" s="11" t="s">
        <v>34</v>
      </c>
      <c r="P849" s="11" t="s">
        <v>35</v>
      </c>
      <c r="Q849" s="11"/>
      <c r="R849" s="11" t="s">
        <v>36</v>
      </c>
      <c r="S849" s="19">
        <v>20</v>
      </c>
      <c r="T849" s="11" t="s">
        <v>49</v>
      </c>
      <c r="U849" s="11" t="s">
        <v>96</v>
      </c>
      <c r="V849" s="11">
        <v>4</v>
      </c>
      <c r="W849" s="11" t="s">
        <v>62</v>
      </c>
      <c r="X849" s="11" t="s">
        <v>3334</v>
      </c>
      <c r="Y849" s="11" t="s">
        <v>41</v>
      </c>
      <c r="Z849" s="11" t="s">
        <v>42</v>
      </c>
      <c r="AA849" s="11" t="s">
        <v>3234</v>
      </c>
    </row>
    <row r="850" spans="1:27">
      <c r="A850" s="11" t="s">
        <v>2860</v>
      </c>
      <c r="B850" s="11" t="s">
        <v>2861</v>
      </c>
      <c r="C850" s="11" t="s">
        <v>27</v>
      </c>
      <c r="D850" s="19">
        <v>68</v>
      </c>
      <c r="E850" s="11" t="s">
        <v>149</v>
      </c>
      <c r="F850" s="11" t="s">
        <v>29</v>
      </c>
      <c r="G850" s="11" t="s">
        <v>83</v>
      </c>
      <c r="H850" s="12">
        <v>46034</v>
      </c>
      <c r="I850" s="12" t="str">
        <f t="shared" si="15"/>
        <v>January</v>
      </c>
      <c r="J850" s="24">
        <v>0.35972222222222222</v>
      </c>
      <c r="K850" s="19">
        <v>6</v>
      </c>
      <c r="L850" s="12">
        <v>46034</v>
      </c>
      <c r="M850" s="24">
        <v>0.73472222222222228</v>
      </c>
      <c r="N850" s="11">
        <v>9</v>
      </c>
      <c r="O850" s="11" t="s">
        <v>34</v>
      </c>
      <c r="P850" s="11" t="s">
        <v>35</v>
      </c>
      <c r="Q850" s="11"/>
      <c r="R850" s="11" t="s">
        <v>36</v>
      </c>
      <c r="S850" s="19">
        <v>40</v>
      </c>
      <c r="T850" s="11" t="s">
        <v>49</v>
      </c>
      <c r="U850" s="11" t="s">
        <v>164</v>
      </c>
      <c r="V850" s="11">
        <v>5</v>
      </c>
      <c r="W850" s="11" t="s">
        <v>62</v>
      </c>
      <c r="X850" s="11" t="s">
        <v>3333</v>
      </c>
      <c r="Y850" s="11" t="s">
        <v>109</v>
      </c>
      <c r="Z850" s="11" t="s">
        <v>53</v>
      </c>
      <c r="AA850" s="11" t="s">
        <v>3234</v>
      </c>
    </row>
    <row r="851" spans="1:27">
      <c r="A851" s="11" t="s">
        <v>2863</v>
      </c>
      <c r="B851" s="11" t="s">
        <v>2864</v>
      </c>
      <c r="C851" s="11" t="s">
        <v>27</v>
      </c>
      <c r="D851" s="19">
        <v>12</v>
      </c>
      <c r="E851" s="11" t="s">
        <v>92</v>
      </c>
      <c r="F851" s="11" t="s">
        <v>29</v>
      </c>
      <c r="G851" s="11" t="s">
        <v>83</v>
      </c>
      <c r="H851" s="12">
        <v>46127</v>
      </c>
      <c r="I851" s="12" t="str">
        <f t="shared" si="15"/>
        <v>April</v>
      </c>
      <c r="J851" s="24">
        <v>0.5854166666666667</v>
      </c>
      <c r="K851" s="19">
        <v>24</v>
      </c>
      <c r="L851" s="12">
        <v>46128</v>
      </c>
      <c r="M851" s="24">
        <v>0.8354166666666667</v>
      </c>
      <c r="N851" s="11">
        <v>30</v>
      </c>
      <c r="O851" s="11" t="s">
        <v>34</v>
      </c>
      <c r="P851" s="11" t="s">
        <v>35</v>
      </c>
      <c r="Q851" s="11"/>
      <c r="R851" s="11" t="s">
        <v>36</v>
      </c>
      <c r="S851" s="19">
        <v>50</v>
      </c>
      <c r="T851" s="11" t="s">
        <v>49</v>
      </c>
      <c r="U851" s="11" t="s">
        <v>164</v>
      </c>
      <c r="V851" s="11">
        <v>4</v>
      </c>
      <c r="W851" s="11" t="s">
        <v>89</v>
      </c>
      <c r="X851" s="11" t="s">
        <v>3333</v>
      </c>
      <c r="Y851" s="11" t="s">
        <v>109</v>
      </c>
      <c r="Z851" s="11" t="s">
        <v>53</v>
      </c>
      <c r="AA851" s="11" t="s">
        <v>3238</v>
      </c>
    </row>
    <row r="852" spans="1:27">
      <c r="A852" s="11" t="s">
        <v>2865</v>
      </c>
      <c r="B852" s="11" t="s">
        <v>2866</v>
      </c>
      <c r="C852" s="11" t="s">
        <v>56</v>
      </c>
      <c r="D852" s="19">
        <v>65</v>
      </c>
      <c r="E852" s="11" t="s">
        <v>57</v>
      </c>
      <c r="F852" s="11" t="s">
        <v>29</v>
      </c>
      <c r="G852" s="11" t="s">
        <v>93</v>
      </c>
      <c r="H852" s="12">
        <v>46188</v>
      </c>
      <c r="I852" s="12" t="str">
        <f t="shared" si="15"/>
        <v>June</v>
      </c>
      <c r="J852" s="24">
        <v>0.58958333333333335</v>
      </c>
      <c r="K852" s="19">
        <v>3</v>
      </c>
      <c r="L852" s="12">
        <v>46188</v>
      </c>
      <c r="M852" s="24">
        <v>0.83958333333333335</v>
      </c>
      <c r="N852" s="11">
        <v>6</v>
      </c>
      <c r="O852" s="11" t="s">
        <v>34</v>
      </c>
      <c r="P852" s="11" t="s">
        <v>35</v>
      </c>
      <c r="Q852" s="11"/>
      <c r="R852" s="11" t="s">
        <v>36</v>
      </c>
      <c r="S852" s="19">
        <v>15</v>
      </c>
      <c r="T852" s="11" t="s">
        <v>37</v>
      </c>
      <c r="U852" s="11" t="s">
        <v>164</v>
      </c>
      <c r="V852" s="11">
        <v>4</v>
      </c>
      <c r="W852" s="11" t="s">
        <v>89</v>
      </c>
      <c r="X852" s="11" t="s">
        <v>3334</v>
      </c>
      <c r="Y852" s="11" t="s">
        <v>109</v>
      </c>
      <c r="Z852" s="11" t="s">
        <v>53</v>
      </c>
      <c r="AA852" s="11" t="s">
        <v>3234</v>
      </c>
    </row>
    <row r="853" spans="1:27">
      <c r="A853" s="11" t="s">
        <v>2868</v>
      </c>
      <c r="B853" s="11" t="s">
        <v>2869</v>
      </c>
      <c r="C853" s="11" t="s">
        <v>56</v>
      </c>
      <c r="D853" s="19">
        <v>7</v>
      </c>
      <c r="E853" s="11" t="s">
        <v>28</v>
      </c>
      <c r="F853" s="11" t="s">
        <v>29</v>
      </c>
      <c r="G853" s="11" t="s">
        <v>30</v>
      </c>
      <c r="H853" s="12">
        <v>46116</v>
      </c>
      <c r="I853" s="12" t="str">
        <f t="shared" si="15"/>
        <v>April</v>
      </c>
      <c r="J853" s="24">
        <v>0.63958333333333328</v>
      </c>
      <c r="K853" s="19">
        <v>5</v>
      </c>
      <c r="L853" s="12">
        <v>46116</v>
      </c>
      <c r="M853" s="24">
        <v>0.93125000000000002</v>
      </c>
      <c r="N853" s="11">
        <v>7</v>
      </c>
      <c r="O853" s="11" t="s">
        <v>34</v>
      </c>
      <c r="P853" s="11" t="s">
        <v>35</v>
      </c>
      <c r="Q853" s="11"/>
      <c r="R853" s="11" t="s">
        <v>36</v>
      </c>
      <c r="S853" s="19">
        <v>35</v>
      </c>
      <c r="T853" s="11" t="s">
        <v>49</v>
      </c>
      <c r="U853" s="11" t="s">
        <v>96</v>
      </c>
      <c r="V853" s="11">
        <v>3</v>
      </c>
      <c r="W853" s="11" t="s">
        <v>70</v>
      </c>
      <c r="X853" s="11" t="s">
        <v>3334</v>
      </c>
      <c r="Y853" s="11" t="s">
        <v>52</v>
      </c>
      <c r="Z853" s="11" t="s">
        <v>71</v>
      </c>
      <c r="AA853" s="11" t="str">
        <f>IF(A853=" ", "Missing Value", " ")</f>
        <v xml:space="preserve"> </v>
      </c>
    </row>
    <row r="854" spans="1:27">
      <c r="A854" s="11" t="s">
        <v>2870</v>
      </c>
      <c r="B854" s="11" t="s">
        <v>2871</v>
      </c>
      <c r="C854" s="11" t="s">
        <v>27</v>
      </c>
      <c r="D854" s="19">
        <v>38</v>
      </c>
      <c r="E854" s="11" t="s">
        <v>28</v>
      </c>
      <c r="F854" s="11" t="s">
        <v>29</v>
      </c>
      <c r="G854" s="11" t="s">
        <v>93</v>
      </c>
      <c r="H854" s="12">
        <v>46181</v>
      </c>
      <c r="I854" s="12" t="str">
        <f t="shared" si="15"/>
        <v>June</v>
      </c>
      <c r="J854" s="24">
        <v>0.42430555555555555</v>
      </c>
      <c r="K854" s="19">
        <v>5</v>
      </c>
      <c r="L854" s="12">
        <v>46181</v>
      </c>
      <c r="M854" s="24">
        <v>0.63263888888888886</v>
      </c>
      <c r="N854" s="11">
        <v>5</v>
      </c>
      <c r="O854" s="11" t="s">
        <v>68</v>
      </c>
      <c r="P854" s="11" t="s">
        <v>35</v>
      </c>
      <c r="Q854" s="11"/>
      <c r="R854" s="11" t="s">
        <v>36</v>
      </c>
      <c r="S854" s="19">
        <v>35</v>
      </c>
      <c r="T854" s="11" t="s">
        <v>49</v>
      </c>
      <c r="U854" s="11" t="s">
        <v>38</v>
      </c>
      <c r="V854" s="11">
        <v>4</v>
      </c>
      <c r="W854" s="11" t="s">
        <v>62</v>
      </c>
      <c r="X854" s="11" t="s">
        <v>3325</v>
      </c>
      <c r="Y854" s="11" t="s">
        <v>41</v>
      </c>
      <c r="Z854" s="11" t="s">
        <v>53</v>
      </c>
      <c r="AA854" s="11" t="s">
        <v>3234</v>
      </c>
    </row>
    <row r="855" spans="1:27">
      <c r="A855" s="11" t="s">
        <v>2872</v>
      </c>
      <c r="B855" s="11" t="s">
        <v>2873</v>
      </c>
      <c r="C855" s="11" t="s">
        <v>27</v>
      </c>
      <c r="D855" s="19">
        <v>64</v>
      </c>
      <c r="E855" s="11" t="s">
        <v>57</v>
      </c>
      <c r="F855" s="11" t="s">
        <v>29</v>
      </c>
      <c r="G855" s="11" t="s">
        <v>30</v>
      </c>
      <c r="H855" s="12">
        <v>46072</v>
      </c>
      <c r="I855" s="12" t="str">
        <f t="shared" si="15"/>
        <v>February</v>
      </c>
      <c r="J855" s="24">
        <v>0.33333333333333331</v>
      </c>
      <c r="K855" s="19">
        <v>3</v>
      </c>
      <c r="L855" s="12">
        <v>46072</v>
      </c>
      <c r="M855" s="24">
        <v>0.70833333333333337</v>
      </c>
      <c r="N855" s="11">
        <v>9</v>
      </c>
      <c r="O855" s="11" t="s">
        <v>34</v>
      </c>
      <c r="P855" s="11" t="s">
        <v>35</v>
      </c>
      <c r="Q855" s="11"/>
      <c r="R855" s="11" t="s">
        <v>36</v>
      </c>
      <c r="S855" s="19">
        <v>15</v>
      </c>
      <c r="T855" s="11" t="s">
        <v>37</v>
      </c>
      <c r="U855" s="11" t="s">
        <v>38</v>
      </c>
      <c r="V855" s="11">
        <v>3</v>
      </c>
      <c r="W855" s="11" t="s">
        <v>89</v>
      </c>
      <c r="X855" s="11" t="s">
        <v>3334</v>
      </c>
      <c r="Y855" s="11" t="s">
        <v>52</v>
      </c>
      <c r="Z855" s="11" t="s">
        <v>53</v>
      </c>
      <c r="AA855" s="11" t="s">
        <v>3234</v>
      </c>
    </row>
    <row r="856" spans="1:27">
      <c r="A856" s="11" t="s">
        <v>2875</v>
      </c>
      <c r="B856" s="11" t="s">
        <v>2876</v>
      </c>
      <c r="C856" s="11" t="s">
        <v>56</v>
      </c>
      <c r="D856" s="19">
        <v>79</v>
      </c>
      <c r="E856" s="11" t="s">
        <v>92</v>
      </c>
      <c r="F856" s="11" t="s">
        <v>29</v>
      </c>
      <c r="G856" s="11" t="s">
        <v>30</v>
      </c>
      <c r="H856" s="12">
        <v>46121</v>
      </c>
      <c r="I856" s="12" t="str">
        <f t="shared" si="15"/>
        <v>April</v>
      </c>
      <c r="J856" s="24">
        <v>0.4284722222222222</v>
      </c>
      <c r="K856" s="19">
        <v>24</v>
      </c>
      <c r="L856" s="12">
        <v>46122</v>
      </c>
      <c r="M856" s="24">
        <v>0.76180555555555551</v>
      </c>
      <c r="N856" s="11">
        <v>32</v>
      </c>
      <c r="O856" s="11" t="s">
        <v>34</v>
      </c>
      <c r="P856" s="11" t="s">
        <v>270</v>
      </c>
      <c r="Q856" s="11" t="s">
        <v>271</v>
      </c>
      <c r="R856" s="11" t="s">
        <v>36</v>
      </c>
      <c r="S856" s="19">
        <v>50</v>
      </c>
      <c r="T856" s="11" t="s">
        <v>37</v>
      </c>
      <c r="U856" s="11" t="s">
        <v>164</v>
      </c>
      <c r="V856" s="11">
        <v>1</v>
      </c>
      <c r="W856" s="11" t="s">
        <v>39</v>
      </c>
      <c r="X856" s="11" t="s">
        <v>3325</v>
      </c>
      <c r="Y856" s="11" t="s">
        <v>52</v>
      </c>
      <c r="Z856" s="11" t="s">
        <v>53</v>
      </c>
      <c r="AA856" s="11" t="s">
        <v>3255</v>
      </c>
    </row>
    <row r="857" spans="1:27">
      <c r="A857" s="11" t="s">
        <v>2878</v>
      </c>
      <c r="B857" s="11" t="s">
        <v>2879</v>
      </c>
      <c r="C857" s="11" t="s">
        <v>27</v>
      </c>
      <c r="D857" s="19">
        <v>17</v>
      </c>
      <c r="E857" s="11" t="s">
        <v>149</v>
      </c>
      <c r="F857" s="11" t="s">
        <v>29</v>
      </c>
      <c r="G857" s="11" t="s">
        <v>30</v>
      </c>
      <c r="H857" s="12">
        <v>46038</v>
      </c>
      <c r="I857" s="12" t="str">
        <f t="shared" si="15"/>
        <v>January</v>
      </c>
      <c r="J857" s="24">
        <v>0.39444444444444443</v>
      </c>
      <c r="K857" s="19">
        <v>6</v>
      </c>
      <c r="L857" s="12">
        <v>46038</v>
      </c>
      <c r="M857" s="24">
        <v>0.93611111111111112</v>
      </c>
      <c r="N857" s="11">
        <v>13</v>
      </c>
      <c r="O857" s="11" t="s">
        <v>34</v>
      </c>
      <c r="P857" s="11" t="s">
        <v>35</v>
      </c>
      <c r="Q857" s="11"/>
      <c r="R857" s="11" t="s">
        <v>36</v>
      </c>
      <c r="S857" s="19">
        <v>40</v>
      </c>
      <c r="T857" s="11" t="s">
        <v>37</v>
      </c>
      <c r="U857" s="11" t="s">
        <v>38</v>
      </c>
      <c r="V857" s="11">
        <v>3</v>
      </c>
      <c r="W857" s="11" t="s">
        <v>62</v>
      </c>
      <c r="X857" s="11" t="s">
        <v>3333</v>
      </c>
      <c r="Y857" s="11" t="s">
        <v>52</v>
      </c>
      <c r="Z857" s="11" t="s">
        <v>71</v>
      </c>
      <c r="AA857" s="11" t="str">
        <f>IF(A857=" ", "Missing Value", " ")</f>
        <v xml:space="preserve"> </v>
      </c>
    </row>
    <row r="858" spans="1:27">
      <c r="A858" s="11" t="s">
        <v>2881</v>
      </c>
      <c r="B858" s="11" t="s">
        <v>2882</v>
      </c>
      <c r="C858" s="11" t="s">
        <v>56</v>
      </c>
      <c r="D858" s="19">
        <v>46</v>
      </c>
      <c r="E858" s="11" t="s">
        <v>92</v>
      </c>
      <c r="F858" s="11" t="s">
        <v>29</v>
      </c>
      <c r="G858" s="11" t="s">
        <v>168</v>
      </c>
      <c r="H858" s="12">
        <v>46052</v>
      </c>
      <c r="I858" s="12" t="str">
        <f t="shared" si="15"/>
        <v>January</v>
      </c>
      <c r="J858" s="24">
        <v>0.31180555555555556</v>
      </c>
      <c r="K858" s="19">
        <v>24</v>
      </c>
      <c r="L858" s="12">
        <v>46053</v>
      </c>
      <c r="M858" s="24">
        <v>0.27013888888888887</v>
      </c>
      <c r="N858" s="11">
        <v>23</v>
      </c>
      <c r="O858" s="11" t="s">
        <v>68</v>
      </c>
      <c r="P858" s="11" t="s">
        <v>270</v>
      </c>
      <c r="Q858" s="11" t="s">
        <v>677</v>
      </c>
      <c r="R858" s="11" t="s">
        <v>36</v>
      </c>
      <c r="S858" s="19">
        <v>50</v>
      </c>
      <c r="T858" s="11" t="s">
        <v>37</v>
      </c>
      <c r="U858" s="11" t="s">
        <v>38</v>
      </c>
      <c r="V858" s="11">
        <v>4</v>
      </c>
      <c r="W858" s="11" t="s">
        <v>62</v>
      </c>
      <c r="X858" s="11" t="s">
        <v>51</v>
      </c>
      <c r="Y858" s="11" t="s">
        <v>52</v>
      </c>
      <c r="Z858" s="11" t="s">
        <v>53</v>
      </c>
      <c r="AA858" s="11" t="s">
        <v>3255</v>
      </c>
    </row>
    <row r="859" spans="1:27">
      <c r="A859" s="11" t="s">
        <v>2884</v>
      </c>
      <c r="B859" s="11" t="s">
        <v>2885</v>
      </c>
      <c r="C859" s="11" t="s">
        <v>56</v>
      </c>
      <c r="D859" s="19">
        <v>84</v>
      </c>
      <c r="E859" s="11" t="s">
        <v>28</v>
      </c>
      <c r="F859" s="11" t="s">
        <v>29</v>
      </c>
      <c r="G859" s="11" t="s">
        <v>58</v>
      </c>
      <c r="H859" s="12">
        <v>46106</v>
      </c>
      <c r="I859" s="12" t="str">
        <f t="shared" si="15"/>
        <v>March</v>
      </c>
      <c r="J859" s="24">
        <v>0.33750000000000002</v>
      </c>
      <c r="K859" s="19">
        <v>5</v>
      </c>
      <c r="L859" s="12">
        <v>46106</v>
      </c>
      <c r="M859" s="24">
        <v>0.87916666666666665</v>
      </c>
      <c r="N859" s="11">
        <v>13</v>
      </c>
      <c r="O859" s="11" t="s">
        <v>34</v>
      </c>
      <c r="P859" s="11" t="s">
        <v>35</v>
      </c>
      <c r="Q859" s="11"/>
      <c r="R859" s="11" t="s">
        <v>36</v>
      </c>
      <c r="S859" s="19">
        <v>35</v>
      </c>
      <c r="T859" s="11" t="s">
        <v>49</v>
      </c>
      <c r="U859" s="11" t="s">
        <v>38</v>
      </c>
      <c r="V859" s="11">
        <v>5</v>
      </c>
      <c r="W859" s="11" t="s">
        <v>70</v>
      </c>
      <c r="X859" s="11" t="s">
        <v>3334</v>
      </c>
      <c r="Y859" s="11" t="s">
        <v>52</v>
      </c>
      <c r="Z859" s="11" t="s">
        <v>71</v>
      </c>
      <c r="AA859" s="11" t="s">
        <v>3234</v>
      </c>
    </row>
    <row r="860" spans="1:27">
      <c r="A860" s="11" t="s">
        <v>2887</v>
      </c>
      <c r="B860" s="11" t="s">
        <v>2888</v>
      </c>
      <c r="C860" s="11" t="s">
        <v>27</v>
      </c>
      <c r="D860" s="19">
        <v>56</v>
      </c>
      <c r="E860" s="11" t="s">
        <v>92</v>
      </c>
      <c r="F860" s="11" t="s">
        <v>29</v>
      </c>
      <c r="G860" s="11" t="s">
        <v>30</v>
      </c>
      <c r="H860" s="12">
        <v>46199</v>
      </c>
      <c r="I860" s="12" t="str">
        <f t="shared" si="15"/>
        <v>June</v>
      </c>
      <c r="J860" s="24">
        <v>0.58680555555555558</v>
      </c>
      <c r="K860" s="19">
        <v>24</v>
      </c>
      <c r="L860" s="12">
        <v>46200</v>
      </c>
      <c r="M860" s="24">
        <v>0.67013888888888884</v>
      </c>
      <c r="N860" s="11">
        <v>26</v>
      </c>
      <c r="O860" s="11" t="s">
        <v>34</v>
      </c>
      <c r="P860" s="11" t="s">
        <v>35</v>
      </c>
      <c r="Q860" s="11"/>
      <c r="R860" s="11" t="s">
        <v>36</v>
      </c>
      <c r="S860" s="19">
        <v>50</v>
      </c>
      <c r="T860" s="11" t="s">
        <v>49</v>
      </c>
      <c r="U860" s="11" t="s">
        <v>96</v>
      </c>
      <c r="V860" s="11">
        <v>2</v>
      </c>
      <c r="W860" s="11" t="s">
        <v>89</v>
      </c>
      <c r="X860" s="11" t="s">
        <v>3333</v>
      </c>
      <c r="Y860" s="11" t="s">
        <v>52</v>
      </c>
      <c r="Z860" s="11" t="s">
        <v>42</v>
      </c>
      <c r="AA860" s="11" t="s">
        <v>3234</v>
      </c>
    </row>
    <row r="861" spans="1:27">
      <c r="A861" s="11" t="s">
        <v>2889</v>
      </c>
      <c r="B861" s="11" t="s">
        <v>2890</v>
      </c>
      <c r="C861" s="11" t="s">
        <v>56</v>
      </c>
      <c r="D861" s="19">
        <v>4</v>
      </c>
      <c r="E861" s="11" t="s">
        <v>81</v>
      </c>
      <c r="F861" s="11" t="s">
        <v>82</v>
      </c>
      <c r="G861" s="11" t="s">
        <v>83</v>
      </c>
      <c r="H861" s="12">
        <v>46159</v>
      </c>
      <c r="I861" s="12" t="str">
        <f t="shared" si="15"/>
        <v>May</v>
      </c>
      <c r="J861" s="24">
        <v>0.29583333333333334</v>
      </c>
      <c r="K861" s="19">
        <v>8</v>
      </c>
      <c r="L861" s="12">
        <v>46159</v>
      </c>
      <c r="M861" s="24">
        <v>0.62916666666666665</v>
      </c>
      <c r="N861" s="11">
        <v>8</v>
      </c>
      <c r="O861" s="11" t="s">
        <v>68</v>
      </c>
      <c r="P861" s="11" t="s">
        <v>35</v>
      </c>
      <c r="Q861" s="11"/>
      <c r="R861" s="11" t="s">
        <v>36</v>
      </c>
      <c r="S861" s="19">
        <v>20</v>
      </c>
      <c r="T861" s="11" t="s">
        <v>49</v>
      </c>
      <c r="U861" s="11" t="s">
        <v>38</v>
      </c>
      <c r="V861" s="11">
        <v>4</v>
      </c>
      <c r="W861" s="11" t="s">
        <v>39</v>
      </c>
      <c r="X861" s="11" t="s">
        <v>3333</v>
      </c>
      <c r="Y861" s="11" t="s">
        <v>41</v>
      </c>
      <c r="Z861" s="11" t="s">
        <v>53</v>
      </c>
      <c r="AA861" s="11" t="str">
        <f>IF(A861=" ", "Missing Value", " ")</f>
        <v xml:space="preserve"> </v>
      </c>
    </row>
    <row r="862" spans="1:27">
      <c r="A862" s="11" t="s">
        <v>2891</v>
      </c>
      <c r="B862" s="11" t="s">
        <v>2892</v>
      </c>
      <c r="C862" s="11" t="s">
        <v>27</v>
      </c>
      <c r="D862" s="19">
        <v>30</v>
      </c>
      <c r="E862" s="11" t="s">
        <v>57</v>
      </c>
      <c r="F862" s="11" t="s">
        <v>29</v>
      </c>
      <c r="G862" s="11" t="s">
        <v>168</v>
      </c>
      <c r="H862" s="12">
        <v>46065</v>
      </c>
      <c r="I862" s="12" t="str">
        <f t="shared" si="15"/>
        <v>February</v>
      </c>
      <c r="J862" s="24">
        <v>0.2986111111111111</v>
      </c>
      <c r="K862" s="19">
        <v>3</v>
      </c>
      <c r="L862" s="12">
        <v>46065</v>
      </c>
      <c r="M862" s="24">
        <v>0.54861111111111116</v>
      </c>
      <c r="N862" s="11">
        <v>6</v>
      </c>
      <c r="O862" s="11" t="s">
        <v>34</v>
      </c>
      <c r="P862" s="11" t="s">
        <v>35</v>
      </c>
      <c r="Q862" s="11"/>
      <c r="R862" s="11" t="s">
        <v>36</v>
      </c>
      <c r="S862" s="19">
        <v>15</v>
      </c>
      <c r="T862" s="11" t="s">
        <v>37</v>
      </c>
      <c r="U862" s="11" t="s">
        <v>164</v>
      </c>
      <c r="V862" s="11">
        <v>1</v>
      </c>
      <c r="W862" s="11" t="s">
        <v>62</v>
      </c>
      <c r="X862" s="11" t="s">
        <v>3334</v>
      </c>
      <c r="Y862" s="11" t="s">
        <v>41</v>
      </c>
      <c r="Z862" s="11" t="s">
        <v>71</v>
      </c>
      <c r="AA862" s="11" t="s">
        <v>3234</v>
      </c>
    </row>
    <row r="863" spans="1:27">
      <c r="A863" s="11" t="s">
        <v>2893</v>
      </c>
      <c r="B863" s="11" t="s">
        <v>2894</v>
      </c>
      <c r="C863" s="11" t="s">
        <v>27</v>
      </c>
      <c r="D863" s="19">
        <v>34</v>
      </c>
      <c r="E863" s="11" t="s">
        <v>57</v>
      </c>
      <c r="F863" s="11" t="s">
        <v>29</v>
      </c>
      <c r="G863" s="11" t="s">
        <v>58</v>
      </c>
      <c r="H863" s="12">
        <v>46095</v>
      </c>
      <c r="I863" s="12" t="str">
        <f t="shared" si="15"/>
        <v>March</v>
      </c>
      <c r="J863" s="24">
        <v>0.47638888888888886</v>
      </c>
      <c r="K863" s="19">
        <v>3</v>
      </c>
      <c r="L863" s="12">
        <v>46095</v>
      </c>
      <c r="M863" s="24">
        <v>0.55972222222222223</v>
      </c>
      <c r="N863" s="11">
        <v>2</v>
      </c>
      <c r="O863" s="11" t="s">
        <v>68</v>
      </c>
      <c r="P863" s="11" t="s">
        <v>35</v>
      </c>
      <c r="Q863" s="11"/>
      <c r="R863" s="11" t="s">
        <v>132</v>
      </c>
      <c r="S863" s="19">
        <v>15</v>
      </c>
      <c r="T863" s="11" t="s">
        <v>37</v>
      </c>
      <c r="U863" s="11" t="s">
        <v>164</v>
      </c>
      <c r="V863" s="11">
        <v>5</v>
      </c>
      <c r="W863" s="11" t="s">
        <v>39</v>
      </c>
      <c r="X863" s="11" t="s">
        <v>3333</v>
      </c>
      <c r="Y863" s="11" t="s">
        <v>109</v>
      </c>
      <c r="Z863" s="11" t="s">
        <v>42</v>
      </c>
      <c r="AA863" s="11" t="s">
        <v>3289</v>
      </c>
    </row>
    <row r="864" spans="1:27">
      <c r="A864" s="11" t="s">
        <v>2895</v>
      </c>
      <c r="B864" s="11" t="s">
        <v>2896</v>
      </c>
      <c r="C864" s="11" t="s">
        <v>56</v>
      </c>
      <c r="D864" s="19">
        <v>45</v>
      </c>
      <c r="E864" s="11" t="s">
        <v>57</v>
      </c>
      <c r="F864" s="11" t="s">
        <v>29</v>
      </c>
      <c r="G864" s="11" t="s">
        <v>58</v>
      </c>
      <c r="H864" s="12">
        <v>46052</v>
      </c>
      <c r="I864" s="12" t="str">
        <f t="shared" si="15"/>
        <v>January</v>
      </c>
      <c r="J864" s="24">
        <v>0.30069444444444443</v>
      </c>
      <c r="K864" s="19">
        <v>3</v>
      </c>
      <c r="L864" s="12">
        <v>46052</v>
      </c>
      <c r="M864" s="24">
        <v>0.55069444444444449</v>
      </c>
      <c r="N864" s="11">
        <v>6</v>
      </c>
      <c r="O864" s="11" t="s">
        <v>34</v>
      </c>
      <c r="P864" s="11" t="s">
        <v>35</v>
      </c>
      <c r="Q864" s="11"/>
      <c r="R864" s="11" t="s">
        <v>36</v>
      </c>
      <c r="S864" s="19">
        <v>15</v>
      </c>
      <c r="T864" s="11" t="s">
        <v>49</v>
      </c>
      <c r="U864" s="11" t="s">
        <v>96</v>
      </c>
      <c r="V864" s="11">
        <v>2</v>
      </c>
      <c r="W864" s="11" t="s">
        <v>62</v>
      </c>
      <c r="X864" s="11" t="s">
        <v>3325</v>
      </c>
      <c r="Y864" s="11" t="s">
        <v>41</v>
      </c>
      <c r="Z864" s="11" t="s">
        <v>71</v>
      </c>
      <c r="AA864" s="11"/>
    </row>
    <row r="865" spans="1:27">
      <c r="A865" s="11" t="s">
        <v>2897</v>
      </c>
      <c r="B865" s="11" t="s">
        <v>2898</v>
      </c>
      <c r="C865" s="11" t="s">
        <v>56</v>
      </c>
      <c r="D865" s="19">
        <v>73</v>
      </c>
      <c r="E865" s="11" t="s">
        <v>149</v>
      </c>
      <c r="F865" s="11" t="s">
        <v>29</v>
      </c>
      <c r="G865" s="11" t="s">
        <v>83</v>
      </c>
      <c r="H865" s="12">
        <v>46183</v>
      </c>
      <c r="I865" s="12" t="str">
        <f t="shared" si="15"/>
        <v>June</v>
      </c>
      <c r="J865" s="24">
        <v>0.45208333333333334</v>
      </c>
      <c r="K865" s="19">
        <v>6</v>
      </c>
      <c r="L865" s="12">
        <v>46183</v>
      </c>
      <c r="M865" s="24">
        <v>0.99375000000000002</v>
      </c>
      <c r="N865" s="11">
        <v>13</v>
      </c>
      <c r="O865" s="11" t="s">
        <v>34</v>
      </c>
      <c r="P865" s="11" t="s">
        <v>35</v>
      </c>
      <c r="Q865" s="11"/>
      <c r="R865" s="11" t="s">
        <v>36</v>
      </c>
      <c r="S865" s="19">
        <v>40</v>
      </c>
      <c r="T865" s="11" t="s">
        <v>37</v>
      </c>
      <c r="U865" s="11" t="s">
        <v>38</v>
      </c>
      <c r="V865" s="11">
        <v>2</v>
      </c>
      <c r="W865" s="11" t="s">
        <v>89</v>
      </c>
      <c r="X865" s="11" t="s">
        <v>3334</v>
      </c>
      <c r="Y865" s="11" t="s">
        <v>52</v>
      </c>
      <c r="Z865" s="11" t="s">
        <v>71</v>
      </c>
      <c r="AA865" s="11" t="s">
        <v>3234</v>
      </c>
    </row>
    <row r="866" spans="1:27">
      <c r="A866" s="11" t="s">
        <v>2899</v>
      </c>
      <c r="B866" s="11" t="s">
        <v>2900</v>
      </c>
      <c r="C866" s="11" t="s">
        <v>27</v>
      </c>
      <c r="D866" s="19">
        <v>13</v>
      </c>
      <c r="E866" s="11" t="s">
        <v>173</v>
      </c>
      <c r="F866" s="11" t="s">
        <v>29</v>
      </c>
      <c r="G866" s="11" t="s">
        <v>168</v>
      </c>
      <c r="H866" s="12">
        <v>46074</v>
      </c>
      <c r="I866" s="12" t="str">
        <f t="shared" si="15"/>
        <v>February</v>
      </c>
      <c r="J866" s="24">
        <v>0.34791666666666665</v>
      </c>
      <c r="K866" s="19">
        <v>4</v>
      </c>
      <c r="L866" s="12">
        <v>46074</v>
      </c>
      <c r="M866" s="24">
        <v>0.55625000000000002</v>
      </c>
      <c r="N866" s="11">
        <v>5</v>
      </c>
      <c r="O866" s="11" t="s">
        <v>34</v>
      </c>
      <c r="P866" s="11" t="s">
        <v>35</v>
      </c>
      <c r="Q866" s="11"/>
      <c r="R866" s="11" t="s">
        <v>36</v>
      </c>
      <c r="S866" s="19">
        <v>25</v>
      </c>
      <c r="T866" s="11" t="s">
        <v>37</v>
      </c>
      <c r="U866" s="11" t="s">
        <v>96</v>
      </c>
      <c r="V866" s="11">
        <v>4</v>
      </c>
      <c r="W866" s="11" t="s">
        <v>70</v>
      </c>
      <c r="X866" s="11" t="s">
        <v>3325</v>
      </c>
      <c r="Y866" s="11" t="s">
        <v>41</v>
      </c>
      <c r="Z866" s="11" t="s">
        <v>42</v>
      </c>
      <c r="AA866" s="11" t="s">
        <v>3234</v>
      </c>
    </row>
    <row r="867" spans="1:27">
      <c r="A867" s="11" t="s">
        <v>2902</v>
      </c>
      <c r="B867" s="11" t="s">
        <v>2903</v>
      </c>
      <c r="C867" s="11" t="s">
        <v>56</v>
      </c>
      <c r="D867" s="19">
        <v>19</v>
      </c>
      <c r="E867" s="11" t="s">
        <v>149</v>
      </c>
      <c r="F867" s="11" t="s">
        <v>29</v>
      </c>
      <c r="G867" s="11" t="s">
        <v>168</v>
      </c>
      <c r="H867" s="12">
        <v>46112</v>
      </c>
      <c r="I867" s="12" t="str">
        <f t="shared" si="15"/>
        <v>March</v>
      </c>
      <c r="J867" s="24">
        <v>0.69791666666666663</v>
      </c>
      <c r="K867" s="19">
        <v>6</v>
      </c>
      <c r="L867" s="12">
        <v>46113</v>
      </c>
      <c r="M867" s="24">
        <v>0.15625</v>
      </c>
      <c r="N867" s="11">
        <v>11</v>
      </c>
      <c r="O867" s="11" t="s">
        <v>34</v>
      </c>
      <c r="P867" s="11" t="s">
        <v>35</v>
      </c>
      <c r="Q867" s="11"/>
      <c r="R867" s="11" t="s">
        <v>36</v>
      </c>
      <c r="S867" s="19">
        <v>40</v>
      </c>
      <c r="T867" s="11" t="s">
        <v>37</v>
      </c>
      <c r="U867" s="11" t="s">
        <v>164</v>
      </c>
      <c r="V867" s="11">
        <v>2</v>
      </c>
      <c r="W867" s="11" t="s">
        <v>62</v>
      </c>
      <c r="X867" s="11" t="s">
        <v>3325</v>
      </c>
      <c r="Y867" s="11" t="s">
        <v>41</v>
      </c>
      <c r="Z867" s="11" t="s">
        <v>53</v>
      </c>
      <c r="AA867" s="11" t="s">
        <v>3234</v>
      </c>
    </row>
    <row r="868" spans="1:27">
      <c r="A868" s="11" t="s">
        <v>2904</v>
      </c>
      <c r="B868" s="11" t="s">
        <v>2905</v>
      </c>
      <c r="C868" s="11" t="s">
        <v>27</v>
      </c>
      <c r="D868" s="19">
        <v>8</v>
      </c>
      <c r="E868" s="11" t="s">
        <v>92</v>
      </c>
      <c r="F868" s="11" t="s">
        <v>29</v>
      </c>
      <c r="G868" s="11" t="s">
        <v>93</v>
      </c>
      <c r="H868" s="12">
        <v>46156</v>
      </c>
      <c r="I868" s="12" t="str">
        <f t="shared" si="15"/>
        <v>May</v>
      </c>
      <c r="J868" s="24">
        <v>0.29722222222222222</v>
      </c>
      <c r="K868" s="19">
        <v>24</v>
      </c>
      <c r="L868" s="12">
        <v>46157</v>
      </c>
      <c r="M868" s="24">
        <v>0.46388888888888891</v>
      </c>
      <c r="N868" s="11">
        <v>28</v>
      </c>
      <c r="O868" s="11" t="s">
        <v>34</v>
      </c>
      <c r="P868" s="11" t="s">
        <v>35</v>
      </c>
      <c r="Q868" s="11"/>
      <c r="R868" s="11" t="s">
        <v>36</v>
      </c>
      <c r="S868" s="19">
        <v>50</v>
      </c>
      <c r="T868" s="11" t="s">
        <v>37</v>
      </c>
      <c r="U868" s="11" t="s">
        <v>38</v>
      </c>
      <c r="V868" s="11">
        <v>2</v>
      </c>
      <c r="W868" s="11" t="s">
        <v>39</v>
      </c>
      <c r="X868" s="11" t="s">
        <v>3334</v>
      </c>
      <c r="Y868" s="11" t="s">
        <v>109</v>
      </c>
      <c r="Z868" s="11" t="s">
        <v>53</v>
      </c>
      <c r="AA868" s="11" t="s">
        <v>3233</v>
      </c>
    </row>
    <row r="869" spans="1:27">
      <c r="A869" s="11" t="s">
        <v>2906</v>
      </c>
      <c r="B869" s="11" t="s">
        <v>2907</v>
      </c>
      <c r="C869" s="11" t="s">
        <v>56</v>
      </c>
      <c r="D869" s="19">
        <v>82</v>
      </c>
      <c r="E869" s="11" t="s">
        <v>28</v>
      </c>
      <c r="F869" s="11" t="s">
        <v>29</v>
      </c>
      <c r="G869" s="11" t="s">
        <v>30</v>
      </c>
      <c r="H869" s="12">
        <v>46174</v>
      </c>
      <c r="I869" s="12" t="str">
        <f t="shared" si="15"/>
        <v>June</v>
      </c>
      <c r="J869" s="24">
        <v>0.57499999999999996</v>
      </c>
      <c r="K869" s="19">
        <v>5</v>
      </c>
      <c r="L869" s="12">
        <v>46175</v>
      </c>
      <c r="M869" s="24">
        <v>7.4999999999999997E-2</v>
      </c>
      <c r="N869" s="11">
        <v>12</v>
      </c>
      <c r="O869" s="11" t="s">
        <v>34</v>
      </c>
      <c r="P869" s="11" t="s">
        <v>35</v>
      </c>
      <c r="Q869" s="11"/>
      <c r="R869" s="11" t="s">
        <v>36</v>
      </c>
      <c r="S869" s="19">
        <v>35</v>
      </c>
      <c r="T869" s="11" t="s">
        <v>49</v>
      </c>
      <c r="U869" s="11" t="s">
        <v>164</v>
      </c>
      <c r="V869" s="11">
        <v>3</v>
      </c>
      <c r="W869" s="11" t="s">
        <v>39</v>
      </c>
      <c r="X869" s="11" t="s">
        <v>3334</v>
      </c>
      <c r="Y869" s="11" t="s">
        <v>109</v>
      </c>
      <c r="Z869" s="11" t="s">
        <v>53</v>
      </c>
      <c r="AA869" s="11" t="str">
        <f>IF(A869=" ", "Missing Value", " ")</f>
        <v xml:space="preserve"> </v>
      </c>
    </row>
    <row r="870" spans="1:27">
      <c r="A870" s="11" t="s">
        <v>2910</v>
      </c>
      <c r="B870" s="11" t="s">
        <v>2911</v>
      </c>
      <c r="C870" s="11" t="s">
        <v>27</v>
      </c>
      <c r="D870" s="19">
        <v>53</v>
      </c>
      <c r="E870" s="11" t="s">
        <v>28</v>
      </c>
      <c r="F870" s="11" t="s">
        <v>29</v>
      </c>
      <c r="G870" s="11" t="s">
        <v>93</v>
      </c>
      <c r="H870" s="12">
        <v>46172</v>
      </c>
      <c r="I870" s="12" t="str">
        <f t="shared" si="15"/>
        <v>May</v>
      </c>
      <c r="J870" s="24">
        <v>0.5756944444444444</v>
      </c>
      <c r="K870" s="19">
        <v>5</v>
      </c>
      <c r="L870" s="12">
        <v>46173</v>
      </c>
      <c r="M870" s="24">
        <v>0.11736111111111111</v>
      </c>
      <c r="N870" s="11">
        <v>13</v>
      </c>
      <c r="O870" s="11" t="s">
        <v>34</v>
      </c>
      <c r="P870" s="11" t="s">
        <v>35</v>
      </c>
      <c r="Q870" s="11"/>
      <c r="R870" s="11" t="s">
        <v>36</v>
      </c>
      <c r="S870" s="19">
        <v>35</v>
      </c>
      <c r="T870" s="11" t="s">
        <v>49</v>
      </c>
      <c r="U870" s="11" t="s">
        <v>38</v>
      </c>
      <c r="V870" s="11">
        <v>4</v>
      </c>
      <c r="W870" s="11" t="s">
        <v>70</v>
      </c>
      <c r="X870" s="11" t="s">
        <v>51</v>
      </c>
      <c r="Y870" s="11" t="s">
        <v>52</v>
      </c>
      <c r="Z870" s="11" t="s">
        <v>71</v>
      </c>
      <c r="AA870" s="11" t="s">
        <v>3234</v>
      </c>
    </row>
    <row r="871" spans="1:27">
      <c r="A871" s="11" t="s">
        <v>2912</v>
      </c>
      <c r="B871" s="11" t="s">
        <v>2913</v>
      </c>
      <c r="C871" s="11" t="s">
        <v>27</v>
      </c>
      <c r="D871" s="19">
        <v>19</v>
      </c>
      <c r="E871" s="11" t="s">
        <v>81</v>
      </c>
      <c r="F871" s="11" t="s">
        <v>82</v>
      </c>
      <c r="G871" s="11" t="s">
        <v>83</v>
      </c>
      <c r="H871" s="12">
        <v>46057</v>
      </c>
      <c r="I871" s="12" t="str">
        <f t="shared" si="15"/>
        <v>February</v>
      </c>
      <c r="J871" s="24">
        <v>0.49166666666666664</v>
      </c>
      <c r="K871" s="19">
        <v>8</v>
      </c>
      <c r="L871" s="12">
        <v>46057</v>
      </c>
      <c r="M871" s="24">
        <v>0.90833333333333333</v>
      </c>
      <c r="N871" s="11">
        <v>10</v>
      </c>
      <c r="O871" s="11" t="s">
        <v>34</v>
      </c>
      <c r="P871" s="11" t="s">
        <v>35</v>
      </c>
      <c r="Q871" s="11"/>
      <c r="R871" s="11" t="s">
        <v>36</v>
      </c>
      <c r="S871" s="19">
        <v>20</v>
      </c>
      <c r="T871" s="11" t="s">
        <v>49</v>
      </c>
      <c r="U871" s="11" t="s">
        <v>38</v>
      </c>
      <c r="V871" s="11">
        <v>3</v>
      </c>
      <c r="W871" s="11" t="s">
        <v>62</v>
      </c>
      <c r="X871" s="11" t="s">
        <v>51</v>
      </c>
      <c r="Y871" s="11" t="s">
        <v>52</v>
      </c>
      <c r="Z871" s="11" t="s">
        <v>71</v>
      </c>
      <c r="AA871" s="11" t="str">
        <f>IF(A871=" ", "Missing Value", " ")</f>
        <v xml:space="preserve"> </v>
      </c>
    </row>
    <row r="872" spans="1:27">
      <c r="A872" s="11" t="s">
        <v>2914</v>
      </c>
      <c r="B872" s="11" t="s">
        <v>2915</v>
      </c>
      <c r="C872" s="11" t="s">
        <v>27</v>
      </c>
      <c r="D872" s="19">
        <v>77</v>
      </c>
      <c r="E872" s="11" t="s">
        <v>92</v>
      </c>
      <c r="F872" s="11" t="s">
        <v>29</v>
      </c>
      <c r="G872" s="11" t="s">
        <v>30</v>
      </c>
      <c r="H872" s="12">
        <v>46174</v>
      </c>
      <c r="I872" s="12" t="str">
        <f t="shared" si="15"/>
        <v>June</v>
      </c>
      <c r="J872" s="24">
        <v>0.61875000000000002</v>
      </c>
      <c r="K872" s="19">
        <v>24</v>
      </c>
      <c r="L872" s="12">
        <v>46175</v>
      </c>
      <c r="M872" s="24">
        <v>0.61875000000000002</v>
      </c>
      <c r="N872" s="11">
        <v>24</v>
      </c>
      <c r="O872" s="11" t="s">
        <v>68</v>
      </c>
      <c r="P872" s="11" t="s">
        <v>35</v>
      </c>
      <c r="Q872" s="11"/>
      <c r="R872" s="11" t="s">
        <v>36</v>
      </c>
      <c r="S872" s="19">
        <v>50</v>
      </c>
      <c r="T872" s="11" t="s">
        <v>49</v>
      </c>
      <c r="U872" s="11" t="s">
        <v>96</v>
      </c>
      <c r="V872" s="11">
        <v>3</v>
      </c>
      <c r="W872" s="11" t="s">
        <v>89</v>
      </c>
      <c r="X872" s="11" t="s">
        <v>3333</v>
      </c>
      <c r="Y872" s="11" t="s">
        <v>41</v>
      </c>
      <c r="Z872" s="11" t="s">
        <v>42</v>
      </c>
      <c r="AA872" s="11" t="s">
        <v>3234</v>
      </c>
    </row>
    <row r="873" spans="1:27">
      <c r="A873" s="11" t="s">
        <v>2917</v>
      </c>
      <c r="B873" s="11" t="s">
        <v>2918</v>
      </c>
      <c r="C873" s="11" t="s">
        <v>56</v>
      </c>
      <c r="D873" s="19">
        <v>54</v>
      </c>
      <c r="E873" s="11" t="s">
        <v>92</v>
      </c>
      <c r="F873" s="11" t="s">
        <v>29</v>
      </c>
      <c r="G873" s="11" t="s">
        <v>93</v>
      </c>
      <c r="H873" s="12">
        <v>46038</v>
      </c>
      <c r="I873" s="12" t="str">
        <f t="shared" si="15"/>
        <v>January</v>
      </c>
      <c r="J873" s="24">
        <v>0.58333333333333337</v>
      </c>
      <c r="K873" s="19">
        <v>24</v>
      </c>
      <c r="L873" s="12">
        <v>46039</v>
      </c>
      <c r="M873" s="24">
        <v>0.75</v>
      </c>
      <c r="N873" s="11">
        <v>28</v>
      </c>
      <c r="O873" s="11" t="s">
        <v>34</v>
      </c>
      <c r="P873" s="11" t="s">
        <v>35</v>
      </c>
      <c r="Q873" s="11"/>
      <c r="R873" s="11" t="s">
        <v>36</v>
      </c>
      <c r="S873" s="19">
        <v>50</v>
      </c>
      <c r="T873" s="11" t="s">
        <v>49</v>
      </c>
      <c r="U873" s="11" t="s">
        <v>96</v>
      </c>
      <c r="V873" s="11">
        <v>2</v>
      </c>
      <c r="W873" s="11" t="s">
        <v>89</v>
      </c>
      <c r="X873" s="11" t="s">
        <v>51</v>
      </c>
      <c r="Y873" s="11" t="s">
        <v>41</v>
      </c>
      <c r="Z873" s="11" t="s">
        <v>71</v>
      </c>
      <c r="AA873" s="11" t="s">
        <v>3229</v>
      </c>
    </row>
    <row r="874" spans="1:27">
      <c r="A874" s="11" t="s">
        <v>2919</v>
      </c>
      <c r="B874" s="11" t="s">
        <v>2920</v>
      </c>
      <c r="C874" s="11" t="s">
        <v>27</v>
      </c>
      <c r="D874" s="19">
        <v>53</v>
      </c>
      <c r="E874" s="11" t="s">
        <v>28</v>
      </c>
      <c r="F874" s="11" t="s">
        <v>29</v>
      </c>
      <c r="G874" s="11" t="s">
        <v>58</v>
      </c>
      <c r="H874" s="12">
        <v>46071</v>
      </c>
      <c r="I874" s="12" t="str">
        <f t="shared" si="15"/>
        <v>February</v>
      </c>
      <c r="J874" s="24">
        <v>0.3659722222222222</v>
      </c>
      <c r="K874" s="19">
        <v>5</v>
      </c>
      <c r="L874" s="12">
        <v>46071</v>
      </c>
      <c r="M874" s="24">
        <v>0.57430555555555551</v>
      </c>
      <c r="N874" s="11">
        <v>5</v>
      </c>
      <c r="O874" s="11" t="s">
        <v>68</v>
      </c>
      <c r="P874" s="11" t="s">
        <v>35</v>
      </c>
      <c r="Q874" s="11"/>
      <c r="R874" s="11" t="s">
        <v>36</v>
      </c>
      <c r="S874" s="19">
        <v>35</v>
      </c>
      <c r="T874" s="11" t="s">
        <v>37</v>
      </c>
      <c r="U874" s="11" t="s">
        <v>96</v>
      </c>
      <c r="V874" s="11">
        <v>2</v>
      </c>
      <c r="W874" s="11" t="s">
        <v>70</v>
      </c>
      <c r="X874" s="11" t="s">
        <v>51</v>
      </c>
      <c r="Y874" s="11" t="s">
        <v>52</v>
      </c>
      <c r="Z874" s="11" t="s">
        <v>53</v>
      </c>
      <c r="AA874" s="11" t="s">
        <v>3234</v>
      </c>
    </row>
    <row r="875" spans="1:27">
      <c r="A875" s="11" t="s">
        <v>2922</v>
      </c>
      <c r="B875" s="11" t="s">
        <v>2923</v>
      </c>
      <c r="C875" s="11" t="s">
        <v>27</v>
      </c>
      <c r="D875" s="19">
        <v>87</v>
      </c>
      <c r="E875" s="11" t="s">
        <v>92</v>
      </c>
      <c r="F875" s="11" t="s">
        <v>29</v>
      </c>
      <c r="G875" s="11" t="s">
        <v>93</v>
      </c>
      <c r="H875" s="12">
        <v>46162</v>
      </c>
      <c r="I875" s="12" t="str">
        <f t="shared" si="15"/>
        <v>May</v>
      </c>
      <c r="J875" s="24">
        <v>0.44583333333333336</v>
      </c>
      <c r="K875" s="19">
        <v>24</v>
      </c>
      <c r="L875" s="12">
        <v>46163</v>
      </c>
      <c r="M875" s="24">
        <v>0.6958333333333333</v>
      </c>
      <c r="N875" s="11">
        <v>30</v>
      </c>
      <c r="O875" s="11" t="s">
        <v>34</v>
      </c>
      <c r="P875" s="11" t="s">
        <v>35</v>
      </c>
      <c r="Q875" s="11"/>
      <c r="R875" s="11" t="s">
        <v>36</v>
      </c>
      <c r="S875" s="19">
        <v>-20</v>
      </c>
      <c r="T875" s="11" t="s">
        <v>49</v>
      </c>
      <c r="U875" s="11" t="s">
        <v>38</v>
      </c>
      <c r="V875" s="11">
        <v>2</v>
      </c>
      <c r="W875" s="11" t="s">
        <v>62</v>
      </c>
      <c r="X875" s="11" t="s">
        <v>3334</v>
      </c>
      <c r="Y875" s="11" t="s">
        <v>109</v>
      </c>
      <c r="Z875" s="11" t="s">
        <v>71</v>
      </c>
      <c r="AA875" s="11" t="str">
        <f>IF(A875=" ", "Missing Value", " ")</f>
        <v xml:space="preserve"> </v>
      </c>
    </row>
    <row r="876" spans="1:27">
      <c r="A876" s="11" t="s">
        <v>2924</v>
      </c>
      <c r="B876" s="11" t="s">
        <v>2925</v>
      </c>
      <c r="C876" s="11" t="s">
        <v>56</v>
      </c>
      <c r="D876" s="19">
        <v>29</v>
      </c>
      <c r="E876" s="11" t="s">
        <v>173</v>
      </c>
      <c r="F876" s="11" t="s">
        <v>29</v>
      </c>
      <c r="G876" s="11" t="s">
        <v>30</v>
      </c>
      <c r="H876" s="12">
        <v>46058</v>
      </c>
      <c r="I876" s="12" t="str">
        <f t="shared" si="15"/>
        <v>February</v>
      </c>
      <c r="J876" s="24">
        <v>0.44583333333333336</v>
      </c>
      <c r="K876" s="19">
        <v>4</v>
      </c>
      <c r="L876" s="12">
        <v>46058</v>
      </c>
      <c r="M876" s="24">
        <v>0.6958333333333333</v>
      </c>
      <c r="N876" s="11">
        <v>6</v>
      </c>
      <c r="O876" s="11" t="s">
        <v>34</v>
      </c>
      <c r="P876" s="11" t="s">
        <v>35</v>
      </c>
      <c r="Q876" s="11"/>
      <c r="R876" s="11" t="s">
        <v>36</v>
      </c>
      <c r="S876" s="19">
        <v>25</v>
      </c>
      <c r="T876" s="11" t="s">
        <v>49</v>
      </c>
      <c r="U876" s="11" t="s">
        <v>38</v>
      </c>
      <c r="V876" s="11">
        <v>2</v>
      </c>
      <c r="W876" s="11" t="s">
        <v>39</v>
      </c>
      <c r="X876" s="11" t="s">
        <v>3334</v>
      </c>
      <c r="Y876" s="11" t="s">
        <v>41</v>
      </c>
      <c r="Z876" s="11" t="s">
        <v>71</v>
      </c>
      <c r="AA876" s="11" t="s">
        <v>3234</v>
      </c>
    </row>
    <row r="877" spans="1:27">
      <c r="A877" s="11" t="s">
        <v>2926</v>
      </c>
      <c r="B877" s="11" t="s">
        <v>2927</v>
      </c>
      <c r="C877" s="11" t="s">
        <v>27</v>
      </c>
      <c r="D877" s="19">
        <v>41</v>
      </c>
      <c r="E877" s="11" t="s">
        <v>92</v>
      </c>
      <c r="F877" s="11" t="s">
        <v>29</v>
      </c>
      <c r="G877" s="11" t="s">
        <v>83</v>
      </c>
      <c r="H877" s="12">
        <v>46083</v>
      </c>
      <c r="I877" s="12" t="str">
        <f t="shared" si="15"/>
        <v>March</v>
      </c>
      <c r="J877" s="24">
        <v>0.51249999999999996</v>
      </c>
      <c r="K877" s="19">
        <v>24</v>
      </c>
      <c r="L877" s="12">
        <v>46084</v>
      </c>
      <c r="M877" s="24">
        <v>0.84583333333333333</v>
      </c>
      <c r="N877" s="11">
        <v>32</v>
      </c>
      <c r="O877" s="11" t="s">
        <v>34</v>
      </c>
      <c r="P877" s="11" t="s">
        <v>35</v>
      </c>
      <c r="Q877" s="11"/>
      <c r="R877" s="11" t="s">
        <v>132</v>
      </c>
      <c r="S877" s="19">
        <v>50</v>
      </c>
      <c r="T877" s="11" t="s">
        <v>49</v>
      </c>
      <c r="U877" s="11" t="s">
        <v>96</v>
      </c>
      <c r="V877" s="11">
        <v>4</v>
      </c>
      <c r="W877" s="11" t="s">
        <v>70</v>
      </c>
      <c r="X877" s="11" t="s">
        <v>51</v>
      </c>
      <c r="Y877" s="11" t="s">
        <v>109</v>
      </c>
      <c r="Z877" s="11" t="s">
        <v>42</v>
      </c>
      <c r="AA877" s="11" t="s">
        <v>3264</v>
      </c>
    </row>
    <row r="878" spans="1:27">
      <c r="A878" s="11" t="s">
        <v>2929</v>
      </c>
      <c r="B878" s="11" t="s">
        <v>2930</v>
      </c>
      <c r="C878" s="11" t="s">
        <v>27</v>
      </c>
      <c r="D878" s="19">
        <v>77</v>
      </c>
      <c r="E878" s="11" t="s">
        <v>57</v>
      </c>
      <c r="F878" s="11" t="s">
        <v>29</v>
      </c>
      <c r="G878" s="11" t="s">
        <v>168</v>
      </c>
      <c r="H878" s="12">
        <v>46042</v>
      </c>
      <c r="I878" s="12" t="str">
        <f t="shared" si="15"/>
        <v>January</v>
      </c>
      <c r="J878" s="24">
        <v>0.58750000000000002</v>
      </c>
      <c r="K878" s="19">
        <v>3</v>
      </c>
      <c r="L878" s="12">
        <v>46042</v>
      </c>
      <c r="M878" s="24">
        <v>0.96250000000000002</v>
      </c>
      <c r="N878" s="11">
        <v>9</v>
      </c>
      <c r="O878" s="11" t="s">
        <v>34</v>
      </c>
      <c r="P878" s="11" t="s">
        <v>35</v>
      </c>
      <c r="Q878" s="11"/>
      <c r="R878" s="11" t="s">
        <v>36</v>
      </c>
      <c r="S878" s="19">
        <v>15</v>
      </c>
      <c r="T878" s="11" t="s">
        <v>49</v>
      </c>
      <c r="U878" s="11" t="s">
        <v>164</v>
      </c>
      <c r="V878" s="11">
        <v>5</v>
      </c>
      <c r="W878" s="11" t="s">
        <v>39</v>
      </c>
      <c r="X878" s="11" t="s">
        <v>3325</v>
      </c>
      <c r="Y878" s="11" t="s">
        <v>52</v>
      </c>
      <c r="Z878" s="11" t="s">
        <v>53</v>
      </c>
      <c r="AA878" s="11" t="s">
        <v>3234</v>
      </c>
    </row>
    <row r="879" spans="1:27">
      <c r="A879" s="11" t="s">
        <v>2933</v>
      </c>
      <c r="B879" s="11" t="s">
        <v>2934</v>
      </c>
      <c r="C879" s="11" t="s">
        <v>27</v>
      </c>
      <c r="D879" s="19">
        <v>16</v>
      </c>
      <c r="E879" s="11" t="s">
        <v>173</v>
      </c>
      <c r="F879" s="11" t="s">
        <v>29</v>
      </c>
      <c r="G879" s="11" t="s">
        <v>168</v>
      </c>
      <c r="H879" s="12">
        <v>46031</v>
      </c>
      <c r="I879" s="12" t="str">
        <f t="shared" si="15"/>
        <v>January</v>
      </c>
      <c r="J879" s="24">
        <v>0.33333333333333331</v>
      </c>
      <c r="K879" s="19">
        <v>4</v>
      </c>
      <c r="L879" s="12">
        <v>46031</v>
      </c>
      <c r="M879" s="24">
        <v>0.66666666666666663</v>
      </c>
      <c r="N879" s="11">
        <v>8</v>
      </c>
      <c r="O879" s="11" t="s">
        <v>34</v>
      </c>
      <c r="P879" s="11" t="s">
        <v>270</v>
      </c>
      <c r="Q879" s="11" t="s">
        <v>271</v>
      </c>
      <c r="R879" s="11" t="s">
        <v>36</v>
      </c>
      <c r="S879" s="19">
        <v>25</v>
      </c>
      <c r="T879" s="11" t="s">
        <v>49</v>
      </c>
      <c r="U879" s="11" t="s">
        <v>164</v>
      </c>
      <c r="V879" s="11">
        <v>2</v>
      </c>
      <c r="W879" s="11" t="s">
        <v>89</v>
      </c>
      <c r="X879" s="11" t="s">
        <v>51</v>
      </c>
      <c r="Y879" s="11" t="s">
        <v>41</v>
      </c>
      <c r="Z879" s="11" t="s">
        <v>42</v>
      </c>
      <c r="AA879" s="11" t="s">
        <v>3254</v>
      </c>
    </row>
    <row r="880" spans="1:27">
      <c r="A880" s="11" t="s">
        <v>2936</v>
      </c>
      <c r="B880" s="11" t="s">
        <v>2937</v>
      </c>
      <c r="C880" s="11" t="s">
        <v>27</v>
      </c>
      <c r="D880" s="19">
        <v>32</v>
      </c>
      <c r="E880" s="11" t="s">
        <v>92</v>
      </c>
      <c r="F880" s="11" t="s">
        <v>29</v>
      </c>
      <c r="G880" s="11" t="s">
        <v>93</v>
      </c>
      <c r="H880" s="12">
        <v>46107</v>
      </c>
      <c r="I880" s="12" t="str">
        <f t="shared" si="15"/>
        <v>March</v>
      </c>
      <c r="J880" s="24">
        <v>0.64027777777777772</v>
      </c>
      <c r="K880" s="19">
        <v>24</v>
      </c>
      <c r="L880" s="12">
        <v>46108</v>
      </c>
      <c r="M880" s="24">
        <v>0.97361111111111109</v>
      </c>
      <c r="N880" s="11">
        <v>32</v>
      </c>
      <c r="O880" s="11" t="s">
        <v>34</v>
      </c>
      <c r="P880" s="11" t="s">
        <v>270</v>
      </c>
      <c r="Q880" s="11" t="s">
        <v>271</v>
      </c>
      <c r="R880" s="11" t="s">
        <v>36</v>
      </c>
      <c r="S880" s="19">
        <v>50</v>
      </c>
      <c r="T880" s="11" t="s">
        <v>37</v>
      </c>
      <c r="U880" s="11" t="s">
        <v>38</v>
      </c>
      <c r="V880" s="11">
        <v>2</v>
      </c>
      <c r="W880" s="11" t="s">
        <v>89</v>
      </c>
      <c r="X880" s="11" t="s">
        <v>3333</v>
      </c>
      <c r="Y880" s="11" t="s">
        <v>41</v>
      </c>
      <c r="Z880" s="11" t="s">
        <v>71</v>
      </c>
      <c r="AA880" s="11" t="s">
        <v>3251</v>
      </c>
    </row>
    <row r="881" spans="1:27">
      <c r="A881" s="11" t="s">
        <v>2938</v>
      </c>
      <c r="B881" s="11" t="s">
        <v>2939</v>
      </c>
      <c r="C881" s="11" t="s">
        <v>27</v>
      </c>
      <c r="D881" s="19">
        <v>73</v>
      </c>
      <c r="E881" s="11" t="s">
        <v>173</v>
      </c>
      <c r="F881" s="11" t="s">
        <v>29</v>
      </c>
      <c r="G881" s="11" t="s">
        <v>168</v>
      </c>
      <c r="H881" s="12">
        <v>46095</v>
      </c>
      <c r="I881" s="12" t="str">
        <f t="shared" si="15"/>
        <v>March</v>
      </c>
      <c r="J881" s="24">
        <v>0.37083333333333335</v>
      </c>
      <c r="K881" s="19">
        <v>4</v>
      </c>
      <c r="L881" s="12">
        <v>46095</v>
      </c>
      <c r="M881" s="24">
        <v>0.62083333333333335</v>
      </c>
      <c r="N881" s="11">
        <v>6</v>
      </c>
      <c r="O881" s="11" t="s">
        <v>34</v>
      </c>
      <c r="P881" s="11" t="s">
        <v>270</v>
      </c>
      <c r="Q881" s="11" t="s">
        <v>391</v>
      </c>
      <c r="R881" s="11" t="s">
        <v>36</v>
      </c>
      <c r="S881" s="19">
        <v>25</v>
      </c>
      <c r="T881" s="11" t="s">
        <v>49</v>
      </c>
      <c r="U881" s="11" t="s">
        <v>96</v>
      </c>
      <c r="V881" s="11">
        <v>4</v>
      </c>
      <c r="W881" s="11" t="s">
        <v>39</v>
      </c>
      <c r="X881" s="11" t="s">
        <v>3334</v>
      </c>
      <c r="Y881" s="11" t="s">
        <v>41</v>
      </c>
      <c r="Z881" s="11" t="s">
        <v>53</v>
      </c>
      <c r="AA881" s="11" t="s">
        <v>3254</v>
      </c>
    </row>
    <row r="882" spans="1:27">
      <c r="A882" s="11" t="s">
        <v>2940</v>
      </c>
      <c r="B882" s="11" t="s">
        <v>2941</v>
      </c>
      <c r="C882" s="11" t="s">
        <v>56</v>
      </c>
      <c r="D882" s="19">
        <v>27</v>
      </c>
      <c r="E882" s="11" t="s">
        <v>28</v>
      </c>
      <c r="F882" s="11" t="s">
        <v>29</v>
      </c>
      <c r="G882" s="11" t="s">
        <v>30</v>
      </c>
      <c r="H882" s="12">
        <v>46029</v>
      </c>
      <c r="I882" s="12" t="str">
        <f t="shared" si="15"/>
        <v>January</v>
      </c>
      <c r="J882" s="24">
        <v>0.5756944444444444</v>
      </c>
      <c r="K882" s="19">
        <v>5</v>
      </c>
      <c r="L882" s="12">
        <v>46029</v>
      </c>
      <c r="M882" s="24">
        <v>0.99236111111111114</v>
      </c>
      <c r="N882" s="11">
        <v>10</v>
      </c>
      <c r="O882" s="11" t="s">
        <v>34</v>
      </c>
      <c r="P882" s="11" t="s">
        <v>270</v>
      </c>
      <c r="Q882" s="11" t="s">
        <v>620</v>
      </c>
      <c r="R882" s="11" t="s">
        <v>36</v>
      </c>
      <c r="S882" s="19">
        <v>35</v>
      </c>
      <c r="T882" s="11" t="s">
        <v>37</v>
      </c>
      <c r="U882" s="11" t="s">
        <v>96</v>
      </c>
      <c r="V882" s="11">
        <v>5</v>
      </c>
      <c r="W882" s="11" t="s">
        <v>39</v>
      </c>
      <c r="X882" s="11" t="s">
        <v>3334</v>
      </c>
      <c r="Y882" s="11" t="s">
        <v>109</v>
      </c>
      <c r="Z882" s="11" t="s">
        <v>42</v>
      </c>
      <c r="AA882" s="11" t="s">
        <v>3251</v>
      </c>
    </row>
    <row r="883" spans="1:27">
      <c r="A883" s="11" t="s">
        <v>2942</v>
      </c>
      <c r="B883" s="11" t="s">
        <v>2943</v>
      </c>
      <c r="C883" s="11" t="s">
        <v>56</v>
      </c>
      <c r="D883" s="19">
        <v>30</v>
      </c>
      <c r="E883" s="11" t="s">
        <v>149</v>
      </c>
      <c r="F883" s="11" t="s">
        <v>29</v>
      </c>
      <c r="G883" s="11" t="s">
        <v>30</v>
      </c>
      <c r="H883" s="12">
        <v>46189</v>
      </c>
      <c r="I883" s="12" t="str">
        <f t="shared" si="15"/>
        <v>June</v>
      </c>
      <c r="J883" s="24">
        <v>0.63124999999999998</v>
      </c>
      <c r="K883" s="19">
        <v>6</v>
      </c>
      <c r="L883" s="12">
        <v>46190</v>
      </c>
      <c r="M883" s="24">
        <v>6.2500000000000003E-3</v>
      </c>
      <c r="N883" s="11">
        <v>9</v>
      </c>
      <c r="O883" s="11" t="s">
        <v>34</v>
      </c>
      <c r="P883" s="11" t="s">
        <v>35</v>
      </c>
      <c r="Q883" s="11"/>
      <c r="R883" s="11" t="s">
        <v>36</v>
      </c>
      <c r="S883" s="19">
        <v>40</v>
      </c>
      <c r="T883" s="11" t="s">
        <v>49</v>
      </c>
      <c r="U883" s="11" t="s">
        <v>38</v>
      </c>
      <c r="V883" s="11">
        <v>4</v>
      </c>
      <c r="W883" s="11" t="s">
        <v>39</v>
      </c>
      <c r="X883" s="11" t="s">
        <v>51</v>
      </c>
      <c r="Y883" s="11" t="s">
        <v>109</v>
      </c>
      <c r="Z883" s="11" t="s">
        <v>42</v>
      </c>
      <c r="AA883" s="11" t="str">
        <f>IF(A883=" ", "Missing Value", " ")</f>
        <v xml:space="preserve"> </v>
      </c>
    </row>
    <row r="884" spans="1:27">
      <c r="A884" s="11" t="s">
        <v>2944</v>
      </c>
      <c r="B884" s="11" t="s">
        <v>2945</v>
      </c>
      <c r="C884" s="11" t="s">
        <v>56</v>
      </c>
      <c r="D884" s="19">
        <v>67</v>
      </c>
      <c r="E884" s="11" t="s">
        <v>57</v>
      </c>
      <c r="F884" s="11" t="s">
        <v>29</v>
      </c>
      <c r="G884" s="11" t="s">
        <v>58</v>
      </c>
      <c r="H884" s="12">
        <v>46062</v>
      </c>
      <c r="I884" s="12" t="str">
        <f t="shared" si="15"/>
        <v>February</v>
      </c>
      <c r="J884" s="24">
        <v>0.32916666666666666</v>
      </c>
      <c r="K884" s="19">
        <v>3</v>
      </c>
      <c r="L884" s="12">
        <v>46062</v>
      </c>
      <c r="M884" s="24">
        <v>0.78749999999999998</v>
      </c>
      <c r="N884" s="11">
        <v>11</v>
      </c>
      <c r="O884" s="11" t="s">
        <v>34</v>
      </c>
      <c r="P884" s="11" t="s">
        <v>35</v>
      </c>
      <c r="Q884" s="11"/>
      <c r="R884" s="11" t="s">
        <v>36</v>
      </c>
      <c r="S884" s="19">
        <v>15</v>
      </c>
      <c r="T884" s="11" t="s">
        <v>37</v>
      </c>
      <c r="U884" s="11" t="s">
        <v>38</v>
      </c>
      <c r="V884" s="11">
        <v>5</v>
      </c>
      <c r="W884" s="11" t="s">
        <v>62</v>
      </c>
      <c r="X884" s="11" t="s">
        <v>3333</v>
      </c>
      <c r="Y884" s="11" t="s">
        <v>52</v>
      </c>
      <c r="Z884" s="11" t="s">
        <v>53</v>
      </c>
      <c r="AA884" s="11"/>
    </row>
    <row r="885" spans="1:27">
      <c r="A885" s="11" t="s">
        <v>2946</v>
      </c>
      <c r="B885" s="11" t="s">
        <v>2947</v>
      </c>
      <c r="C885" s="11" t="s">
        <v>56</v>
      </c>
      <c r="D885" s="19">
        <v>21</v>
      </c>
      <c r="E885" s="11" t="s">
        <v>28</v>
      </c>
      <c r="F885" s="11" t="s">
        <v>29</v>
      </c>
      <c r="G885" s="11" t="s">
        <v>30</v>
      </c>
      <c r="H885" s="12">
        <v>46183</v>
      </c>
      <c r="I885" s="12" t="str">
        <f t="shared" si="15"/>
        <v>June</v>
      </c>
      <c r="J885" s="24">
        <v>0.55763888888888891</v>
      </c>
      <c r="K885" s="19">
        <v>5</v>
      </c>
      <c r="L885" s="12">
        <v>46184</v>
      </c>
      <c r="M885" s="24">
        <v>9.930555555555555E-2</v>
      </c>
      <c r="N885" s="11">
        <v>13</v>
      </c>
      <c r="O885" s="11" t="s">
        <v>34</v>
      </c>
      <c r="P885" s="11" t="s">
        <v>35</v>
      </c>
      <c r="Q885" s="11"/>
      <c r="R885" s="11" t="s">
        <v>36</v>
      </c>
      <c r="S885" s="19">
        <v>35</v>
      </c>
      <c r="T885" s="11" t="s">
        <v>49</v>
      </c>
      <c r="U885" s="11" t="s">
        <v>164</v>
      </c>
      <c r="V885" s="11">
        <v>4</v>
      </c>
      <c r="W885" s="11" t="s">
        <v>89</v>
      </c>
      <c r="X885" s="11" t="s">
        <v>51</v>
      </c>
      <c r="Y885" s="11" t="s">
        <v>52</v>
      </c>
      <c r="Z885" s="11" t="s">
        <v>53</v>
      </c>
      <c r="AA885" s="11" t="str">
        <f>IF(A885=" ", "Missing Value", " ")</f>
        <v xml:space="preserve"> </v>
      </c>
    </row>
    <row r="886" spans="1:27">
      <c r="A886" s="11" t="s">
        <v>2949</v>
      </c>
      <c r="B886" s="11" t="s">
        <v>2950</v>
      </c>
      <c r="C886" s="11" t="s">
        <v>56</v>
      </c>
      <c r="D886" s="19">
        <v>17</v>
      </c>
      <c r="E886" s="11" t="s">
        <v>173</v>
      </c>
      <c r="F886" s="11" t="s">
        <v>29</v>
      </c>
      <c r="G886" s="11" t="s">
        <v>168</v>
      </c>
      <c r="H886" s="12">
        <v>46200</v>
      </c>
      <c r="I886" s="12" t="str">
        <f t="shared" si="15"/>
        <v>June</v>
      </c>
      <c r="J886" s="24">
        <v>0.58472222222222225</v>
      </c>
      <c r="K886" s="19">
        <v>4</v>
      </c>
      <c r="L886" s="12">
        <v>46201</v>
      </c>
      <c r="M886" s="24">
        <v>1.3888888888888889E-3</v>
      </c>
      <c r="N886" s="11">
        <v>10</v>
      </c>
      <c r="O886" s="11" t="s">
        <v>34</v>
      </c>
      <c r="P886" s="11" t="s">
        <v>35</v>
      </c>
      <c r="Q886" s="11"/>
      <c r="R886" s="11" t="s">
        <v>36</v>
      </c>
      <c r="S886" s="19">
        <v>25</v>
      </c>
      <c r="T886" s="11" t="s">
        <v>49</v>
      </c>
      <c r="U886" s="11" t="s">
        <v>96</v>
      </c>
      <c r="V886" s="11">
        <v>5</v>
      </c>
      <c r="W886" s="11" t="s">
        <v>70</v>
      </c>
      <c r="X886" s="11" t="s">
        <v>3333</v>
      </c>
      <c r="Y886" s="11" t="s">
        <v>41</v>
      </c>
      <c r="Z886" s="11" t="s">
        <v>53</v>
      </c>
      <c r="AA886" s="11" t="s">
        <v>3234</v>
      </c>
    </row>
    <row r="887" spans="1:27">
      <c r="A887" s="11" t="s">
        <v>2951</v>
      </c>
      <c r="B887" s="11" t="s">
        <v>2952</v>
      </c>
      <c r="C887" s="11" t="s">
        <v>56</v>
      </c>
      <c r="D887" s="19">
        <v>79</v>
      </c>
      <c r="E887" s="11" t="s">
        <v>81</v>
      </c>
      <c r="F887" s="11" t="s">
        <v>82</v>
      </c>
      <c r="G887" s="11" t="s">
        <v>83</v>
      </c>
      <c r="H887" s="12">
        <v>46109</v>
      </c>
      <c r="I887" s="12" t="str">
        <f t="shared" si="15"/>
        <v>March</v>
      </c>
      <c r="J887" s="24">
        <v>0.41666666666666669</v>
      </c>
      <c r="K887" s="19">
        <v>8</v>
      </c>
      <c r="L887" s="12">
        <v>46109</v>
      </c>
      <c r="M887" s="24">
        <v>0.83333333333333337</v>
      </c>
      <c r="N887" s="11">
        <v>10</v>
      </c>
      <c r="O887" s="11" t="s">
        <v>34</v>
      </c>
      <c r="P887" s="11" t="s">
        <v>35</v>
      </c>
      <c r="Q887" s="11"/>
      <c r="R887" s="11" t="s">
        <v>36</v>
      </c>
      <c r="S887" s="19">
        <v>20</v>
      </c>
      <c r="T887" s="11" t="s">
        <v>37</v>
      </c>
      <c r="U887" s="11" t="s">
        <v>164</v>
      </c>
      <c r="V887" s="11">
        <v>1</v>
      </c>
      <c r="W887" s="11" t="s">
        <v>62</v>
      </c>
      <c r="X887" s="11" t="s">
        <v>3333</v>
      </c>
      <c r="Y887" s="11" t="s">
        <v>52</v>
      </c>
      <c r="Z887" s="11" t="s">
        <v>42</v>
      </c>
      <c r="AA887" s="11" t="str">
        <f>IF(A887=" ", "Missing Value", " ")</f>
        <v xml:space="preserve"> </v>
      </c>
    </row>
    <row r="888" spans="1:27">
      <c r="A888" s="11" t="s">
        <v>2953</v>
      </c>
      <c r="B888" s="11" t="s">
        <v>2954</v>
      </c>
      <c r="C888" s="11" t="s">
        <v>56</v>
      </c>
      <c r="D888" s="19">
        <v>10</v>
      </c>
      <c r="E888" s="11" t="s">
        <v>81</v>
      </c>
      <c r="F888" s="11" t="s">
        <v>82</v>
      </c>
      <c r="G888" s="11" t="s">
        <v>83</v>
      </c>
      <c r="H888" s="12">
        <v>46152</v>
      </c>
      <c r="I888" s="12" t="str">
        <f t="shared" si="15"/>
        <v>May</v>
      </c>
      <c r="J888" s="24">
        <v>0.36805555555555558</v>
      </c>
      <c r="K888" s="19">
        <v>8</v>
      </c>
      <c r="L888" s="12">
        <v>46153</v>
      </c>
      <c r="M888" s="24">
        <v>3.4722222222222224E-2</v>
      </c>
      <c r="N888" s="11">
        <v>16</v>
      </c>
      <c r="O888" s="11" t="s">
        <v>34</v>
      </c>
      <c r="P888" s="11" t="s">
        <v>35</v>
      </c>
      <c r="Q888" s="11"/>
      <c r="R888" s="11" t="s">
        <v>36</v>
      </c>
      <c r="S888" s="19">
        <v>20</v>
      </c>
      <c r="T888" s="11" t="s">
        <v>49</v>
      </c>
      <c r="U888" s="11" t="s">
        <v>38</v>
      </c>
      <c r="V888" s="11">
        <v>1</v>
      </c>
      <c r="W888" s="11" t="s">
        <v>70</v>
      </c>
      <c r="X888" s="11" t="s">
        <v>3325</v>
      </c>
      <c r="Y888" s="11" t="s">
        <v>109</v>
      </c>
      <c r="Z888" s="11" t="s">
        <v>42</v>
      </c>
      <c r="AA888" s="11" t="str">
        <f>IF(A888=" ", "Missing Value", " ")</f>
        <v xml:space="preserve"> </v>
      </c>
    </row>
    <row r="889" spans="1:27">
      <c r="A889" s="11" t="s">
        <v>2957</v>
      </c>
      <c r="B889" s="11" t="s">
        <v>2958</v>
      </c>
      <c r="C889" s="11" t="s">
        <v>56</v>
      </c>
      <c r="D889" s="19">
        <v>10</v>
      </c>
      <c r="E889" s="11" t="s">
        <v>173</v>
      </c>
      <c r="F889" s="11" t="s">
        <v>29</v>
      </c>
      <c r="G889" s="11" t="s">
        <v>168</v>
      </c>
      <c r="H889" s="12">
        <v>46095</v>
      </c>
      <c r="I889" s="12" t="str">
        <f t="shared" si="15"/>
        <v>March</v>
      </c>
      <c r="J889" s="24">
        <v>0.30763888888888891</v>
      </c>
      <c r="K889" s="19">
        <v>4</v>
      </c>
      <c r="L889" s="12">
        <v>46095</v>
      </c>
      <c r="M889" s="24">
        <v>0.59930555555555554</v>
      </c>
      <c r="N889" s="11">
        <v>7</v>
      </c>
      <c r="O889" s="11" t="s">
        <v>34</v>
      </c>
      <c r="P889" s="11" t="s">
        <v>35</v>
      </c>
      <c r="Q889" s="11"/>
      <c r="R889" s="11" t="s">
        <v>36</v>
      </c>
      <c r="S889" s="19">
        <v>25</v>
      </c>
      <c r="T889" s="11" t="s">
        <v>49</v>
      </c>
      <c r="U889" s="11" t="s">
        <v>96</v>
      </c>
      <c r="V889" s="11">
        <v>5</v>
      </c>
      <c r="W889" s="11" t="s">
        <v>70</v>
      </c>
      <c r="X889" s="11" t="s">
        <v>51</v>
      </c>
      <c r="Y889" s="11" t="s">
        <v>109</v>
      </c>
      <c r="Z889" s="11" t="s">
        <v>71</v>
      </c>
      <c r="AA889" s="11" t="s">
        <v>3234</v>
      </c>
    </row>
    <row r="890" spans="1:27">
      <c r="A890" s="11" t="s">
        <v>2959</v>
      </c>
      <c r="B890" s="11" t="s">
        <v>2960</v>
      </c>
      <c r="C890" s="11" t="s">
        <v>27</v>
      </c>
      <c r="D890" s="19">
        <v>9</v>
      </c>
      <c r="E890" s="11" t="s">
        <v>149</v>
      </c>
      <c r="F890" s="11" t="s">
        <v>29</v>
      </c>
      <c r="G890" s="11" t="s">
        <v>93</v>
      </c>
      <c r="H890" s="12">
        <v>46101</v>
      </c>
      <c r="I890" s="12" t="str">
        <f t="shared" si="15"/>
        <v>March</v>
      </c>
      <c r="J890" s="24">
        <v>0.57430555555555551</v>
      </c>
      <c r="K890" s="19">
        <v>6</v>
      </c>
      <c r="L890" s="12">
        <v>46101</v>
      </c>
      <c r="M890" s="24">
        <v>0.90763888888888888</v>
      </c>
      <c r="N890" s="11">
        <v>8</v>
      </c>
      <c r="O890" s="11" t="s">
        <v>34</v>
      </c>
      <c r="P890" s="11" t="s">
        <v>35</v>
      </c>
      <c r="Q890" s="11"/>
      <c r="R890" s="11" t="s">
        <v>36</v>
      </c>
      <c r="S890" s="19">
        <v>40</v>
      </c>
      <c r="T890" s="11" t="s">
        <v>49</v>
      </c>
      <c r="U890" s="11" t="s">
        <v>164</v>
      </c>
      <c r="V890" s="11">
        <v>1</v>
      </c>
      <c r="W890" s="11" t="s">
        <v>89</v>
      </c>
      <c r="X890" s="11" t="s">
        <v>51</v>
      </c>
      <c r="Y890" s="11" t="s">
        <v>52</v>
      </c>
      <c r="Z890" s="11" t="s">
        <v>53</v>
      </c>
      <c r="AA890" s="11" t="s">
        <v>3243</v>
      </c>
    </row>
    <row r="891" spans="1:27">
      <c r="A891" s="11" t="s">
        <v>2961</v>
      </c>
      <c r="B891" s="11" t="s">
        <v>2962</v>
      </c>
      <c r="C891" s="11" t="s">
        <v>56</v>
      </c>
      <c r="D891" s="19">
        <v>74</v>
      </c>
      <c r="E891" s="11" t="s">
        <v>149</v>
      </c>
      <c r="F891" s="11" t="s">
        <v>29</v>
      </c>
      <c r="G891" s="11" t="s">
        <v>83</v>
      </c>
      <c r="H891" s="12">
        <v>46059</v>
      </c>
      <c r="I891" s="12" t="str">
        <f t="shared" si="15"/>
        <v>February</v>
      </c>
      <c r="J891" s="24">
        <v>0.52222222222222225</v>
      </c>
      <c r="K891" s="19">
        <v>6</v>
      </c>
      <c r="L891" s="12">
        <v>46059</v>
      </c>
      <c r="M891" s="24">
        <v>0.85555555555555551</v>
      </c>
      <c r="N891" s="11">
        <v>8</v>
      </c>
      <c r="O891" s="11" t="s">
        <v>34</v>
      </c>
      <c r="P891" s="11" t="s">
        <v>35</v>
      </c>
      <c r="Q891" s="11"/>
      <c r="R891" s="11" t="s">
        <v>36</v>
      </c>
      <c r="S891" s="19">
        <v>40</v>
      </c>
      <c r="T891" s="11" t="s">
        <v>49</v>
      </c>
      <c r="U891" s="11" t="s">
        <v>38</v>
      </c>
      <c r="V891" s="11">
        <v>3</v>
      </c>
      <c r="W891" s="11" t="s">
        <v>62</v>
      </c>
      <c r="X891" s="11" t="s">
        <v>3334</v>
      </c>
      <c r="Y891" s="11" t="s">
        <v>41</v>
      </c>
      <c r="Z891" s="11" t="s">
        <v>53</v>
      </c>
      <c r="AA891" s="11" t="s">
        <v>3234</v>
      </c>
    </row>
    <row r="892" spans="1:27">
      <c r="A892" s="11" t="s">
        <v>2963</v>
      </c>
      <c r="B892" s="11" t="s">
        <v>2964</v>
      </c>
      <c r="C892" s="11" t="s">
        <v>27</v>
      </c>
      <c r="D892" s="19">
        <v>70</v>
      </c>
      <c r="E892" s="11" t="s">
        <v>149</v>
      </c>
      <c r="F892" s="11" t="s">
        <v>29</v>
      </c>
      <c r="G892" s="11" t="s">
        <v>168</v>
      </c>
      <c r="H892" s="12">
        <v>46127</v>
      </c>
      <c r="I892" s="12" t="str">
        <f t="shared" si="15"/>
        <v>April</v>
      </c>
      <c r="J892" s="24">
        <v>0.3659722222222222</v>
      </c>
      <c r="K892" s="19">
        <v>6</v>
      </c>
      <c r="L892" s="12">
        <v>46127</v>
      </c>
      <c r="M892" s="24">
        <v>0.78263888888888888</v>
      </c>
      <c r="N892" s="11">
        <v>10</v>
      </c>
      <c r="O892" s="11" t="s">
        <v>34</v>
      </c>
      <c r="P892" s="11" t="s">
        <v>35</v>
      </c>
      <c r="Q892" s="11"/>
      <c r="R892" s="11" t="s">
        <v>36</v>
      </c>
      <c r="S892" s="19">
        <v>40</v>
      </c>
      <c r="T892" s="11" t="s">
        <v>49</v>
      </c>
      <c r="U892" s="11" t="s">
        <v>96</v>
      </c>
      <c r="V892" s="11">
        <v>5</v>
      </c>
      <c r="W892" s="11" t="s">
        <v>70</v>
      </c>
      <c r="X892" s="11" t="s">
        <v>3334</v>
      </c>
      <c r="Y892" s="11" t="s">
        <v>52</v>
      </c>
      <c r="Z892" s="11" t="s">
        <v>53</v>
      </c>
      <c r="AA892" s="11" t="s">
        <v>3234</v>
      </c>
    </row>
    <row r="893" spans="1:27">
      <c r="A893" s="11" t="s">
        <v>2965</v>
      </c>
      <c r="B893" s="11" t="s">
        <v>2966</v>
      </c>
      <c r="C893" s="11" t="s">
        <v>27</v>
      </c>
      <c r="D893" s="19">
        <v>70</v>
      </c>
      <c r="E893" s="11" t="s">
        <v>149</v>
      </c>
      <c r="F893" s="11" t="s">
        <v>29</v>
      </c>
      <c r="G893" s="11" t="s">
        <v>83</v>
      </c>
      <c r="H893" s="12">
        <v>46128</v>
      </c>
      <c r="I893" s="12" t="str">
        <f t="shared" si="15"/>
        <v>April</v>
      </c>
      <c r="J893" s="24">
        <v>0.64513888888888893</v>
      </c>
      <c r="K893" s="19">
        <v>6</v>
      </c>
      <c r="L893" s="12">
        <v>46129</v>
      </c>
      <c r="M893" s="24">
        <v>6.1805555555555558E-2</v>
      </c>
      <c r="N893" s="11">
        <v>10</v>
      </c>
      <c r="O893" s="11" t="s">
        <v>34</v>
      </c>
      <c r="P893" s="11" t="s">
        <v>35</v>
      </c>
      <c r="Q893" s="11"/>
      <c r="R893" s="11" t="s">
        <v>36</v>
      </c>
      <c r="S893" s="19">
        <v>40</v>
      </c>
      <c r="T893" s="11" t="s">
        <v>49</v>
      </c>
      <c r="U893" s="11" t="s">
        <v>164</v>
      </c>
      <c r="V893" s="11">
        <v>1</v>
      </c>
      <c r="W893" s="11" t="s">
        <v>89</v>
      </c>
      <c r="X893" s="11" t="s">
        <v>51</v>
      </c>
      <c r="Y893" s="11" t="s">
        <v>109</v>
      </c>
      <c r="Z893" s="11" t="s">
        <v>42</v>
      </c>
      <c r="AA893" s="11" t="s">
        <v>3234</v>
      </c>
    </row>
    <row r="894" spans="1:27">
      <c r="A894" s="11" t="s">
        <v>2969</v>
      </c>
      <c r="B894" s="11" t="s">
        <v>2970</v>
      </c>
      <c r="C894" s="11" t="s">
        <v>27</v>
      </c>
      <c r="D894" s="19">
        <v>23</v>
      </c>
      <c r="E894" s="11" t="s">
        <v>57</v>
      </c>
      <c r="F894" s="11" t="s">
        <v>29</v>
      </c>
      <c r="G894" s="11" t="s">
        <v>30</v>
      </c>
      <c r="H894" s="12">
        <v>46199</v>
      </c>
      <c r="I894" s="12" t="str">
        <f t="shared" si="15"/>
        <v>June</v>
      </c>
      <c r="J894" s="24">
        <v>0.43263888888888891</v>
      </c>
      <c r="K894" s="19">
        <v>3</v>
      </c>
      <c r="L894" s="12">
        <v>46199</v>
      </c>
      <c r="M894" s="24">
        <v>0.64097222222222228</v>
      </c>
      <c r="N894" s="11">
        <v>5</v>
      </c>
      <c r="O894" s="11" t="s">
        <v>34</v>
      </c>
      <c r="P894" s="11" t="s">
        <v>35</v>
      </c>
      <c r="Q894" s="11"/>
      <c r="R894" s="11" t="s">
        <v>36</v>
      </c>
      <c r="S894" s="19">
        <v>15</v>
      </c>
      <c r="T894" s="11" t="s">
        <v>49</v>
      </c>
      <c r="U894" s="11" t="s">
        <v>164</v>
      </c>
      <c r="V894" s="11">
        <v>3</v>
      </c>
      <c r="W894" s="11" t="s">
        <v>70</v>
      </c>
      <c r="X894" s="11" t="s">
        <v>51</v>
      </c>
      <c r="Y894" s="11" t="s">
        <v>52</v>
      </c>
      <c r="Z894" s="11" t="s">
        <v>53</v>
      </c>
      <c r="AA894" s="11" t="s">
        <v>3234</v>
      </c>
    </row>
    <row r="895" spans="1:27">
      <c r="A895" s="11" t="s">
        <v>2971</v>
      </c>
      <c r="B895" s="11" t="s">
        <v>2972</v>
      </c>
      <c r="C895" s="11" t="s">
        <v>56</v>
      </c>
      <c r="D895" s="19">
        <v>58</v>
      </c>
      <c r="E895" s="11" t="s">
        <v>28</v>
      </c>
      <c r="F895" s="11" t="s">
        <v>29</v>
      </c>
      <c r="G895" s="11" t="s">
        <v>30</v>
      </c>
      <c r="H895" s="12">
        <v>46052</v>
      </c>
      <c r="I895" s="12" t="str">
        <f t="shared" si="15"/>
        <v>January</v>
      </c>
      <c r="J895" s="24">
        <v>0.60624999999999996</v>
      </c>
      <c r="K895" s="19">
        <v>5</v>
      </c>
      <c r="L895" s="12">
        <v>46052</v>
      </c>
      <c r="M895" s="24">
        <v>0.7729166666666667</v>
      </c>
      <c r="N895" s="11">
        <v>4</v>
      </c>
      <c r="O895" s="11" t="s">
        <v>68</v>
      </c>
      <c r="P895" s="11" t="s">
        <v>35</v>
      </c>
      <c r="Q895" s="11"/>
      <c r="R895" s="11" t="s">
        <v>36</v>
      </c>
      <c r="S895" s="19">
        <v>35</v>
      </c>
      <c r="T895" s="11" t="s">
        <v>49</v>
      </c>
      <c r="U895" s="11" t="s">
        <v>96</v>
      </c>
      <c r="V895" s="11">
        <v>2</v>
      </c>
      <c r="W895" s="11" t="s">
        <v>39</v>
      </c>
      <c r="X895" s="11" t="s">
        <v>3334</v>
      </c>
      <c r="Y895" s="11" t="s">
        <v>52</v>
      </c>
      <c r="Z895" s="11" t="s">
        <v>53</v>
      </c>
      <c r="AA895" s="11" t="str">
        <f>IF(A895=" ", "Missing Value", " ")</f>
        <v xml:space="preserve"> </v>
      </c>
    </row>
    <row r="896" spans="1:27">
      <c r="A896" s="11" t="s">
        <v>2973</v>
      </c>
      <c r="B896" s="11" t="s">
        <v>2974</v>
      </c>
      <c r="C896" s="11" t="s">
        <v>27</v>
      </c>
      <c r="D896" s="19">
        <v>39</v>
      </c>
      <c r="E896" s="11" t="s">
        <v>173</v>
      </c>
      <c r="F896" s="11" t="s">
        <v>29</v>
      </c>
      <c r="G896" s="11" t="s">
        <v>168</v>
      </c>
      <c r="H896" s="12">
        <v>46145</v>
      </c>
      <c r="I896" s="12" t="str">
        <f t="shared" si="15"/>
        <v>May</v>
      </c>
      <c r="J896" s="24">
        <v>0.30625000000000002</v>
      </c>
      <c r="K896" s="19">
        <v>4</v>
      </c>
      <c r="L896" s="12">
        <v>46145</v>
      </c>
      <c r="M896" s="24">
        <v>0.76458333333333328</v>
      </c>
      <c r="N896" s="11">
        <v>11</v>
      </c>
      <c r="O896" s="11" t="s">
        <v>34</v>
      </c>
      <c r="P896" s="11" t="s">
        <v>35</v>
      </c>
      <c r="Q896" s="11"/>
      <c r="R896" s="11" t="s">
        <v>36</v>
      </c>
      <c r="S896" s="19">
        <v>25</v>
      </c>
      <c r="T896" s="11" t="s">
        <v>49</v>
      </c>
      <c r="U896" s="11" t="s">
        <v>38</v>
      </c>
      <c r="V896" s="11">
        <v>1</v>
      </c>
      <c r="W896" s="11" t="s">
        <v>70</v>
      </c>
      <c r="X896" s="11" t="s">
        <v>3333</v>
      </c>
      <c r="Y896" s="11" t="s">
        <v>109</v>
      </c>
      <c r="Z896" s="11" t="s">
        <v>42</v>
      </c>
      <c r="AA896" s="11" t="s">
        <v>3234</v>
      </c>
    </row>
    <row r="897" spans="1:27">
      <c r="A897" s="11" t="s">
        <v>2975</v>
      </c>
      <c r="B897" s="11" t="s">
        <v>2976</v>
      </c>
      <c r="C897" s="11" t="s">
        <v>27</v>
      </c>
      <c r="D897" s="19">
        <v>1</v>
      </c>
      <c r="E897" s="11" t="s">
        <v>92</v>
      </c>
      <c r="F897" s="11" t="s">
        <v>29</v>
      </c>
      <c r="G897" s="11" t="s">
        <v>93</v>
      </c>
      <c r="H897" s="12">
        <v>46147</v>
      </c>
      <c r="I897" s="12" t="str">
        <f t="shared" si="15"/>
        <v>May</v>
      </c>
      <c r="J897" s="24">
        <v>0.51875000000000004</v>
      </c>
      <c r="K897" s="19">
        <v>24</v>
      </c>
      <c r="L897" s="12">
        <v>46148</v>
      </c>
      <c r="M897" s="24">
        <v>0.7270833333333333</v>
      </c>
      <c r="N897" s="11">
        <v>29</v>
      </c>
      <c r="O897" s="11" t="s">
        <v>34</v>
      </c>
      <c r="P897" s="11" t="s">
        <v>270</v>
      </c>
      <c r="Q897" s="11" t="s">
        <v>271</v>
      </c>
      <c r="R897" s="11" t="s">
        <v>36</v>
      </c>
      <c r="S897" s="19">
        <v>50</v>
      </c>
      <c r="T897" s="11" t="s">
        <v>49</v>
      </c>
      <c r="U897" s="11" t="s">
        <v>38</v>
      </c>
      <c r="V897" s="11">
        <v>5</v>
      </c>
      <c r="W897" s="11" t="s">
        <v>62</v>
      </c>
      <c r="X897" s="11" t="s">
        <v>3325</v>
      </c>
      <c r="Y897" s="11" t="s">
        <v>109</v>
      </c>
      <c r="Z897" s="11" t="s">
        <v>71</v>
      </c>
      <c r="AA897" s="11" t="s">
        <v>3259</v>
      </c>
    </row>
    <row r="898" spans="1:27">
      <c r="A898" s="11" t="s">
        <v>2977</v>
      </c>
      <c r="B898" s="11" t="s">
        <v>2978</v>
      </c>
      <c r="C898" s="11" t="s">
        <v>27</v>
      </c>
      <c r="D898" s="19">
        <v>29</v>
      </c>
      <c r="E898" s="11" t="s">
        <v>173</v>
      </c>
      <c r="F898" s="11" t="s">
        <v>29</v>
      </c>
      <c r="G898" s="11" t="s">
        <v>168</v>
      </c>
      <c r="H898" s="12">
        <v>46091</v>
      </c>
      <c r="I898" s="12" t="str">
        <f t="shared" ref="I898:I961" si="16">TEXT(H898, "mmmm")</f>
        <v>March</v>
      </c>
      <c r="J898" s="24">
        <v>0.47291666666666665</v>
      </c>
      <c r="K898" s="19">
        <v>4</v>
      </c>
      <c r="L898" s="12">
        <v>46091</v>
      </c>
      <c r="M898" s="24">
        <v>0.76458333333333328</v>
      </c>
      <c r="N898" s="11">
        <v>7</v>
      </c>
      <c r="O898" s="11" t="s">
        <v>34</v>
      </c>
      <c r="P898" s="11" t="s">
        <v>270</v>
      </c>
      <c r="Q898" s="11" t="s">
        <v>391</v>
      </c>
      <c r="R898" s="11" t="s">
        <v>36</v>
      </c>
      <c r="S898" s="19">
        <v>25</v>
      </c>
      <c r="T898" s="11" t="s">
        <v>49</v>
      </c>
      <c r="U898" s="11" t="s">
        <v>164</v>
      </c>
      <c r="V898" s="11">
        <v>1</v>
      </c>
      <c r="W898" s="11" t="s">
        <v>70</v>
      </c>
      <c r="X898" s="11" t="s">
        <v>51</v>
      </c>
      <c r="Y898" s="11" t="s">
        <v>41</v>
      </c>
      <c r="Z898" s="11" t="s">
        <v>53</v>
      </c>
      <c r="AA898" s="11" t="s">
        <v>3254</v>
      </c>
    </row>
    <row r="899" spans="1:27">
      <c r="A899" s="11" t="s">
        <v>2979</v>
      </c>
      <c r="B899" s="11" t="s">
        <v>2980</v>
      </c>
      <c r="C899" s="11" t="s">
        <v>56</v>
      </c>
      <c r="D899" s="19">
        <v>7</v>
      </c>
      <c r="E899" s="11" t="s">
        <v>149</v>
      </c>
      <c r="F899" s="11" t="s">
        <v>29</v>
      </c>
      <c r="G899" s="11" t="s">
        <v>83</v>
      </c>
      <c r="H899" s="12">
        <v>46160</v>
      </c>
      <c r="I899" s="12" t="str">
        <f t="shared" si="16"/>
        <v>May</v>
      </c>
      <c r="J899" s="24">
        <v>0.40694444444444444</v>
      </c>
      <c r="K899" s="19">
        <v>6</v>
      </c>
      <c r="L899" s="12">
        <v>46160</v>
      </c>
      <c r="M899" s="24">
        <v>0.74027777777777781</v>
      </c>
      <c r="N899" s="11">
        <v>8</v>
      </c>
      <c r="O899" s="11" t="s">
        <v>34</v>
      </c>
      <c r="P899" s="11" t="s">
        <v>35</v>
      </c>
      <c r="Q899" s="11"/>
      <c r="R899" s="11" t="s">
        <v>36</v>
      </c>
      <c r="S899" s="19">
        <v>40</v>
      </c>
      <c r="T899" s="11" t="s">
        <v>37</v>
      </c>
      <c r="U899" s="11" t="s">
        <v>96</v>
      </c>
      <c r="V899" s="11">
        <v>1</v>
      </c>
      <c r="W899" s="11" t="s">
        <v>70</v>
      </c>
      <c r="X899" s="11" t="s">
        <v>51</v>
      </c>
      <c r="Y899" s="11" t="s">
        <v>52</v>
      </c>
      <c r="Z899" s="11" t="s">
        <v>71</v>
      </c>
      <c r="AA899" s="11" t="s">
        <v>3234</v>
      </c>
    </row>
    <row r="900" spans="1:27">
      <c r="A900" s="11" t="s">
        <v>2981</v>
      </c>
      <c r="B900" s="11" t="s">
        <v>2982</v>
      </c>
      <c r="C900" s="11" t="s">
        <v>27</v>
      </c>
      <c r="D900" s="19">
        <v>150</v>
      </c>
      <c r="E900" s="11" t="s">
        <v>173</v>
      </c>
      <c r="F900" s="11" t="s">
        <v>29</v>
      </c>
      <c r="G900" s="11" t="s">
        <v>93</v>
      </c>
      <c r="H900" s="12">
        <v>46061</v>
      </c>
      <c r="I900" s="12" t="str">
        <f t="shared" si="16"/>
        <v>February</v>
      </c>
      <c r="J900" s="24">
        <v>0.35069444444444442</v>
      </c>
      <c r="K900" s="19">
        <v>4</v>
      </c>
      <c r="L900" s="12">
        <v>46061</v>
      </c>
      <c r="M900" s="24">
        <v>0.51736111111111116</v>
      </c>
      <c r="N900" s="11">
        <v>4</v>
      </c>
      <c r="O900" s="11" t="s">
        <v>68</v>
      </c>
      <c r="P900" s="11" t="s">
        <v>35</v>
      </c>
      <c r="Q900" s="11"/>
      <c r="R900" s="11" t="s">
        <v>36</v>
      </c>
      <c r="S900" s="19">
        <v>25</v>
      </c>
      <c r="T900" s="11" t="s">
        <v>49</v>
      </c>
      <c r="U900" s="11" t="s">
        <v>164</v>
      </c>
      <c r="V900" s="11">
        <v>3</v>
      </c>
      <c r="W900" s="11" t="s">
        <v>70</v>
      </c>
      <c r="X900" s="11" t="s">
        <v>3325</v>
      </c>
      <c r="Y900" s="11" t="s">
        <v>52</v>
      </c>
      <c r="Z900" s="11" t="s">
        <v>71</v>
      </c>
      <c r="AA900" s="11" t="s">
        <v>3245</v>
      </c>
    </row>
    <row r="901" spans="1:27">
      <c r="A901" s="11" t="s">
        <v>2984</v>
      </c>
      <c r="B901" s="11" t="s">
        <v>2985</v>
      </c>
      <c r="C901" s="11" t="s">
        <v>27</v>
      </c>
      <c r="D901" s="19">
        <v>89</v>
      </c>
      <c r="E901" s="11" t="s">
        <v>173</v>
      </c>
      <c r="F901" s="11" t="s">
        <v>29</v>
      </c>
      <c r="G901" s="11" t="s">
        <v>168</v>
      </c>
      <c r="H901" s="12">
        <v>46152</v>
      </c>
      <c r="I901" s="12" t="str">
        <f t="shared" si="16"/>
        <v>May</v>
      </c>
      <c r="J901" s="24">
        <v>0.30555555555555558</v>
      </c>
      <c r="K901" s="19">
        <v>4</v>
      </c>
      <c r="L901" s="12">
        <v>46152</v>
      </c>
      <c r="M901" s="24">
        <v>0.76388888888888884</v>
      </c>
      <c r="N901" s="11">
        <v>11</v>
      </c>
      <c r="O901" s="11" t="s">
        <v>34</v>
      </c>
      <c r="P901" s="11" t="s">
        <v>35</v>
      </c>
      <c r="Q901" s="11"/>
      <c r="R901" s="11" t="s">
        <v>132</v>
      </c>
      <c r="S901" s="19">
        <v>25</v>
      </c>
      <c r="T901" s="11" t="s">
        <v>49</v>
      </c>
      <c r="U901" s="11" t="s">
        <v>96</v>
      </c>
      <c r="V901" s="11">
        <v>3</v>
      </c>
      <c r="W901" s="11" t="s">
        <v>70</v>
      </c>
      <c r="X901" s="11" t="s">
        <v>3333</v>
      </c>
      <c r="Y901" s="11" t="s">
        <v>109</v>
      </c>
      <c r="Z901" s="11" t="s">
        <v>42</v>
      </c>
      <c r="AA901" s="11" t="s">
        <v>3264</v>
      </c>
    </row>
    <row r="902" spans="1:27">
      <c r="A902" s="11" t="s">
        <v>2986</v>
      </c>
      <c r="B902" s="11" t="s">
        <v>2987</v>
      </c>
      <c r="C902" s="11" t="s">
        <v>27</v>
      </c>
      <c r="D902" s="19">
        <v>56</v>
      </c>
      <c r="E902" s="11" t="s">
        <v>81</v>
      </c>
      <c r="F902" s="11" t="s">
        <v>82</v>
      </c>
      <c r="G902" s="11" t="s">
        <v>83</v>
      </c>
      <c r="H902" s="12">
        <v>46127</v>
      </c>
      <c r="I902" s="12" t="str">
        <f t="shared" si="16"/>
        <v>April</v>
      </c>
      <c r="J902" s="24">
        <v>0.5180555555555556</v>
      </c>
      <c r="K902" s="19">
        <v>8</v>
      </c>
      <c r="L902" s="12">
        <v>46128</v>
      </c>
      <c r="M902" s="24">
        <v>1.8055555555555554E-2</v>
      </c>
      <c r="N902" s="11">
        <v>12</v>
      </c>
      <c r="O902" s="11" t="s">
        <v>34</v>
      </c>
      <c r="P902" s="11" t="s">
        <v>35</v>
      </c>
      <c r="Q902" s="11"/>
      <c r="R902" s="11" t="s">
        <v>36</v>
      </c>
      <c r="S902" s="19">
        <v>20</v>
      </c>
      <c r="T902" s="11" t="s">
        <v>49</v>
      </c>
      <c r="U902" s="11" t="s">
        <v>38</v>
      </c>
      <c r="V902" s="11">
        <v>5</v>
      </c>
      <c r="W902" s="11" t="s">
        <v>89</v>
      </c>
      <c r="X902" s="11" t="s">
        <v>3333</v>
      </c>
      <c r="Y902" s="11" t="s">
        <v>109</v>
      </c>
      <c r="Z902" s="11" t="s">
        <v>71</v>
      </c>
      <c r="AA902" s="11" t="str">
        <f>IF(A902=" ", "Missing Value", " ")</f>
        <v xml:space="preserve"> </v>
      </c>
    </row>
    <row r="903" spans="1:27">
      <c r="A903" s="11" t="s">
        <v>2989</v>
      </c>
      <c r="B903" s="11" t="s">
        <v>2990</v>
      </c>
      <c r="C903" s="11" t="s">
        <v>27</v>
      </c>
      <c r="D903" s="19">
        <v>21</v>
      </c>
      <c r="E903" s="11" t="s">
        <v>81</v>
      </c>
      <c r="F903" s="11" t="s">
        <v>82</v>
      </c>
      <c r="G903" s="11" t="s">
        <v>83</v>
      </c>
      <c r="H903" s="12">
        <v>46040</v>
      </c>
      <c r="I903" s="12" t="str">
        <f t="shared" si="16"/>
        <v>January</v>
      </c>
      <c r="J903" s="24">
        <v>0.62777777777777777</v>
      </c>
      <c r="K903" s="19">
        <v>8</v>
      </c>
      <c r="L903" s="12">
        <v>46041</v>
      </c>
      <c r="M903" s="24">
        <v>8.611111111111111E-2</v>
      </c>
      <c r="N903" s="11">
        <v>11</v>
      </c>
      <c r="O903" s="11" t="s">
        <v>34</v>
      </c>
      <c r="P903" s="11" t="s">
        <v>35</v>
      </c>
      <c r="Q903" s="11"/>
      <c r="R903" s="11" t="s">
        <v>36</v>
      </c>
      <c r="S903" s="19">
        <v>20</v>
      </c>
      <c r="T903" s="11" t="s">
        <v>49</v>
      </c>
      <c r="U903" s="11" t="s">
        <v>38</v>
      </c>
      <c r="V903" s="11">
        <v>4</v>
      </c>
      <c r="W903" s="11" t="s">
        <v>39</v>
      </c>
      <c r="X903" s="11" t="s">
        <v>3333</v>
      </c>
      <c r="Y903" s="11" t="s">
        <v>52</v>
      </c>
      <c r="Z903" s="11" t="s">
        <v>71</v>
      </c>
      <c r="AA903" s="11" t="str">
        <f>IF(A903=" ", "Missing Value", " ")</f>
        <v xml:space="preserve"> </v>
      </c>
    </row>
    <row r="904" spans="1:27">
      <c r="A904" s="11" t="s">
        <v>2992</v>
      </c>
      <c r="B904" s="11" t="s">
        <v>2993</v>
      </c>
      <c r="C904" s="11" t="s">
        <v>56</v>
      </c>
      <c r="D904" s="19">
        <v>31</v>
      </c>
      <c r="E904" s="11" t="s">
        <v>92</v>
      </c>
      <c r="F904" s="11" t="s">
        <v>29</v>
      </c>
      <c r="G904" s="11" t="s">
        <v>93</v>
      </c>
      <c r="H904" s="12">
        <v>46057</v>
      </c>
      <c r="I904" s="12" t="str">
        <f t="shared" si="16"/>
        <v>February</v>
      </c>
      <c r="J904" s="24">
        <v>0.54166666666666663</v>
      </c>
      <c r="K904" s="19">
        <v>24</v>
      </c>
      <c r="L904" s="12">
        <v>46058</v>
      </c>
      <c r="M904" s="24">
        <v>0.58333333333333337</v>
      </c>
      <c r="N904" s="11">
        <v>25</v>
      </c>
      <c r="O904" s="11" t="s">
        <v>34</v>
      </c>
      <c r="P904" s="11" t="s">
        <v>35</v>
      </c>
      <c r="Q904" s="11"/>
      <c r="R904" s="11" t="s">
        <v>36</v>
      </c>
      <c r="S904" s="19">
        <v>50</v>
      </c>
      <c r="T904" s="11" t="s">
        <v>37</v>
      </c>
      <c r="U904" s="11" t="s">
        <v>164</v>
      </c>
      <c r="V904" s="11">
        <v>4</v>
      </c>
      <c r="W904" s="11" t="s">
        <v>70</v>
      </c>
      <c r="X904" s="11" t="s">
        <v>3334</v>
      </c>
      <c r="Y904" s="11" t="s">
        <v>41</v>
      </c>
      <c r="Z904" s="11" t="s">
        <v>71</v>
      </c>
      <c r="AA904" s="11" t="s">
        <v>3229</v>
      </c>
    </row>
    <row r="905" spans="1:27">
      <c r="A905" s="11" t="s">
        <v>2994</v>
      </c>
      <c r="B905" s="11" t="s">
        <v>2995</v>
      </c>
      <c r="C905" s="11" t="s">
        <v>56</v>
      </c>
      <c r="D905" s="19">
        <v>11</v>
      </c>
      <c r="E905" s="11" t="s">
        <v>92</v>
      </c>
      <c r="F905" s="11" t="s">
        <v>29</v>
      </c>
      <c r="G905" s="11" t="s">
        <v>93</v>
      </c>
      <c r="H905" s="12">
        <v>46035</v>
      </c>
      <c r="I905" s="12" t="str">
        <f t="shared" si="16"/>
        <v>January</v>
      </c>
      <c r="J905" s="24">
        <v>0.31597222222222221</v>
      </c>
      <c r="K905" s="19">
        <v>24</v>
      </c>
      <c r="L905" s="12">
        <v>46036</v>
      </c>
      <c r="M905" s="24">
        <v>0.27430555555555558</v>
      </c>
      <c r="N905" s="11">
        <v>23</v>
      </c>
      <c r="O905" s="11" t="s">
        <v>68</v>
      </c>
      <c r="P905" s="11" t="s">
        <v>35</v>
      </c>
      <c r="Q905" s="11"/>
      <c r="R905" s="11" t="s">
        <v>36</v>
      </c>
      <c r="S905" s="19">
        <v>50</v>
      </c>
      <c r="T905" s="11" t="s">
        <v>49</v>
      </c>
      <c r="U905" s="11" t="s">
        <v>96</v>
      </c>
      <c r="V905" s="11">
        <v>3</v>
      </c>
      <c r="W905" s="11" t="s">
        <v>70</v>
      </c>
      <c r="X905" s="11" t="s">
        <v>51</v>
      </c>
      <c r="Y905" s="11" t="s">
        <v>41</v>
      </c>
      <c r="Z905" s="11" t="s">
        <v>42</v>
      </c>
      <c r="AA905" s="11" t="s">
        <v>3232</v>
      </c>
    </row>
    <row r="906" spans="1:27">
      <c r="A906" s="11" t="s">
        <v>2997</v>
      </c>
      <c r="B906" s="11" t="s">
        <v>1678</v>
      </c>
      <c r="C906" s="11" t="s">
        <v>27</v>
      </c>
      <c r="D906" s="19">
        <v>90</v>
      </c>
      <c r="E906" s="11" t="s">
        <v>173</v>
      </c>
      <c r="F906" s="11" t="s">
        <v>29</v>
      </c>
      <c r="G906" s="11" t="s">
        <v>168</v>
      </c>
      <c r="H906" s="12">
        <v>46196</v>
      </c>
      <c r="I906" s="12" t="str">
        <f t="shared" si="16"/>
        <v>June</v>
      </c>
      <c r="J906" s="24">
        <v>0.54166666666666663</v>
      </c>
      <c r="K906" s="19">
        <v>4</v>
      </c>
      <c r="L906" s="12">
        <v>46196</v>
      </c>
      <c r="M906" s="24">
        <v>0.79166666666666663</v>
      </c>
      <c r="N906" s="11">
        <v>6</v>
      </c>
      <c r="O906" s="11" t="s">
        <v>34</v>
      </c>
      <c r="P906" s="11" t="s">
        <v>35</v>
      </c>
      <c r="Q906" s="11"/>
      <c r="R906" s="11" t="s">
        <v>36</v>
      </c>
      <c r="S906" s="19">
        <v>25</v>
      </c>
      <c r="T906" s="11" t="s">
        <v>37</v>
      </c>
      <c r="U906" s="11" t="s">
        <v>38</v>
      </c>
      <c r="V906" s="11">
        <v>4</v>
      </c>
      <c r="W906" s="11" t="s">
        <v>39</v>
      </c>
      <c r="X906" s="11" t="s">
        <v>3325</v>
      </c>
      <c r="Y906" s="11" t="s">
        <v>52</v>
      </c>
      <c r="Z906" s="11" t="s">
        <v>53</v>
      </c>
      <c r="AA906" s="11" t="s">
        <v>3236</v>
      </c>
    </row>
    <row r="907" spans="1:27">
      <c r="A907" s="11" t="s">
        <v>2998</v>
      </c>
      <c r="B907" s="11" t="s">
        <v>2999</v>
      </c>
      <c r="C907" s="11" t="s">
        <v>56</v>
      </c>
      <c r="D907" s="19">
        <v>56</v>
      </c>
      <c r="E907" s="11" t="s">
        <v>28</v>
      </c>
      <c r="F907" s="11" t="s">
        <v>29</v>
      </c>
      <c r="G907" s="11" t="s">
        <v>83</v>
      </c>
      <c r="H907" s="12">
        <v>46065</v>
      </c>
      <c r="I907" s="12" t="str">
        <f t="shared" si="16"/>
        <v>February</v>
      </c>
      <c r="J907" s="24">
        <v>0.38472222222222224</v>
      </c>
      <c r="K907" s="19">
        <v>5</v>
      </c>
      <c r="L907" s="12">
        <v>46065</v>
      </c>
      <c r="M907" s="24">
        <v>0.84305555555555556</v>
      </c>
      <c r="N907" s="11">
        <v>11</v>
      </c>
      <c r="O907" s="11" t="s">
        <v>34</v>
      </c>
      <c r="P907" s="11" t="s">
        <v>35</v>
      </c>
      <c r="Q907" s="11"/>
      <c r="R907" s="11" t="s">
        <v>36</v>
      </c>
      <c r="S907" s="19">
        <v>35</v>
      </c>
      <c r="T907" s="11" t="s">
        <v>37</v>
      </c>
      <c r="U907" s="11" t="s">
        <v>38</v>
      </c>
      <c r="V907" s="11">
        <v>4</v>
      </c>
      <c r="W907" s="11" t="s">
        <v>89</v>
      </c>
      <c r="X907" s="11" t="s">
        <v>51</v>
      </c>
      <c r="Y907" s="11" t="s">
        <v>41</v>
      </c>
      <c r="Z907" s="11" t="s">
        <v>42</v>
      </c>
      <c r="AA907" s="11" t="s">
        <v>3234</v>
      </c>
    </row>
    <row r="908" spans="1:27">
      <c r="A908" s="11" t="s">
        <v>3000</v>
      </c>
      <c r="B908" s="11" t="s">
        <v>3001</v>
      </c>
      <c r="C908" s="11" t="s">
        <v>56</v>
      </c>
      <c r="D908" s="19">
        <v>6</v>
      </c>
      <c r="E908" s="11" t="s">
        <v>28</v>
      </c>
      <c r="F908" s="11" t="s">
        <v>29</v>
      </c>
      <c r="G908" s="11" t="s">
        <v>30</v>
      </c>
      <c r="H908" s="12">
        <v>46045</v>
      </c>
      <c r="I908" s="12" t="str">
        <f t="shared" si="16"/>
        <v>January</v>
      </c>
      <c r="J908" s="24">
        <v>0.29791666666666666</v>
      </c>
      <c r="K908" s="19">
        <v>5</v>
      </c>
      <c r="L908" s="12">
        <v>46045</v>
      </c>
      <c r="M908" s="24">
        <v>0.83958333333333335</v>
      </c>
      <c r="N908" s="11">
        <v>13</v>
      </c>
      <c r="O908" s="11" t="s">
        <v>34</v>
      </c>
      <c r="P908" s="11" t="s">
        <v>270</v>
      </c>
      <c r="Q908" s="11" t="s">
        <v>271</v>
      </c>
      <c r="R908" s="11" t="s">
        <v>36</v>
      </c>
      <c r="S908" s="19">
        <v>35</v>
      </c>
      <c r="T908" s="11" t="s">
        <v>37</v>
      </c>
      <c r="U908" s="11" t="s">
        <v>38</v>
      </c>
      <c r="V908" s="11">
        <v>3</v>
      </c>
      <c r="W908" s="11" t="s">
        <v>70</v>
      </c>
      <c r="X908" s="11" t="s">
        <v>3325</v>
      </c>
      <c r="Y908" s="11" t="s">
        <v>109</v>
      </c>
      <c r="Z908" s="11" t="s">
        <v>42</v>
      </c>
      <c r="AA908" s="11" t="s">
        <v>3251</v>
      </c>
    </row>
    <row r="909" spans="1:27">
      <c r="A909" s="11" t="s">
        <v>3003</v>
      </c>
      <c r="B909" s="11" t="s">
        <v>3004</v>
      </c>
      <c r="C909" s="11" t="s">
        <v>56</v>
      </c>
      <c r="D909" s="19">
        <v>79</v>
      </c>
      <c r="E909" s="11" t="s">
        <v>28</v>
      </c>
      <c r="F909" s="11" t="s">
        <v>29</v>
      </c>
      <c r="G909" s="11" t="s">
        <v>30</v>
      </c>
      <c r="H909" s="12">
        <v>46051</v>
      </c>
      <c r="I909" s="12" t="str">
        <f t="shared" si="16"/>
        <v>January</v>
      </c>
      <c r="J909" s="24">
        <v>0.60902777777777772</v>
      </c>
      <c r="K909" s="19">
        <v>5</v>
      </c>
      <c r="L909" s="12">
        <v>46051</v>
      </c>
      <c r="M909" s="24">
        <v>0.98402777777777772</v>
      </c>
      <c r="N909" s="11">
        <v>9</v>
      </c>
      <c r="O909" s="11" t="s">
        <v>34</v>
      </c>
      <c r="P909" s="11" t="s">
        <v>35</v>
      </c>
      <c r="Q909" s="11"/>
      <c r="R909" s="11" t="s">
        <v>36</v>
      </c>
      <c r="S909" s="19">
        <v>35</v>
      </c>
      <c r="T909" s="11" t="s">
        <v>49</v>
      </c>
      <c r="U909" s="11" t="s">
        <v>38</v>
      </c>
      <c r="V909" s="11">
        <v>1</v>
      </c>
      <c r="W909" s="11" t="s">
        <v>62</v>
      </c>
      <c r="X909" s="11" t="s">
        <v>3334</v>
      </c>
      <c r="Y909" s="11" t="s">
        <v>109</v>
      </c>
      <c r="Z909" s="11" t="s">
        <v>53</v>
      </c>
      <c r="AA909" s="11" t="str">
        <f>IF(A909=" ", "Missing Value", " ")</f>
        <v xml:space="preserve"> </v>
      </c>
    </row>
    <row r="910" spans="1:27">
      <c r="A910" s="11" t="s">
        <v>3005</v>
      </c>
      <c r="B910" s="11" t="s">
        <v>3006</v>
      </c>
      <c r="C910" s="11" t="s">
        <v>27</v>
      </c>
      <c r="D910" s="19">
        <v>68</v>
      </c>
      <c r="E910" s="11" t="s">
        <v>149</v>
      </c>
      <c r="F910" s="11" t="s">
        <v>29</v>
      </c>
      <c r="G910" s="11" t="s">
        <v>30</v>
      </c>
      <c r="H910" s="12">
        <v>46082</v>
      </c>
      <c r="I910" s="12" t="str">
        <f t="shared" si="16"/>
        <v>March</v>
      </c>
      <c r="J910" s="24">
        <v>0.63958333333333328</v>
      </c>
      <c r="K910" s="19">
        <v>6</v>
      </c>
      <c r="L910" s="12">
        <v>46082</v>
      </c>
      <c r="M910" s="24">
        <v>0.84791666666666665</v>
      </c>
      <c r="N910" s="11">
        <v>5</v>
      </c>
      <c r="O910" s="11" t="s">
        <v>68</v>
      </c>
      <c r="P910" s="11" t="s">
        <v>35</v>
      </c>
      <c r="Q910" s="11"/>
      <c r="R910" s="11" t="s">
        <v>36</v>
      </c>
      <c r="S910" s="19">
        <v>40</v>
      </c>
      <c r="T910" s="11" t="s">
        <v>49</v>
      </c>
      <c r="U910" s="11" t="s">
        <v>164</v>
      </c>
      <c r="V910" s="11">
        <v>1</v>
      </c>
      <c r="W910" s="11" t="s">
        <v>39</v>
      </c>
      <c r="X910" s="11" t="s">
        <v>51</v>
      </c>
      <c r="Y910" s="11" t="s">
        <v>52</v>
      </c>
      <c r="Z910" s="11" t="s">
        <v>42</v>
      </c>
      <c r="AA910" s="11" t="str">
        <f>IF(A910=" ", "Missing Value", " ")</f>
        <v xml:space="preserve"> </v>
      </c>
    </row>
    <row r="911" spans="1:27">
      <c r="A911" s="11" t="s">
        <v>3007</v>
      </c>
      <c r="B911" s="11" t="s">
        <v>3008</v>
      </c>
      <c r="C911" s="11" t="s">
        <v>27</v>
      </c>
      <c r="D911" s="19">
        <v>4</v>
      </c>
      <c r="E911" s="11" t="s">
        <v>81</v>
      </c>
      <c r="F911" s="11" t="s">
        <v>82</v>
      </c>
      <c r="G911" s="11" t="s">
        <v>83</v>
      </c>
      <c r="H911" s="12">
        <v>46099</v>
      </c>
      <c r="I911" s="12" t="str">
        <f t="shared" si="16"/>
        <v>March</v>
      </c>
      <c r="J911" s="24">
        <v>0.50277777777777777</v>
      </c>
      <c r="K911" s="19">
        <v>8</v>
      </c>
      <c r="L911" s="12">
        <v>46099</v>
      </c>
      <c r="M911" s="24">
        <v>0.83611111111111114</v>
      </c>
      <c r="N911" s="11">
        <v>8</v>
      </c>
      <c r="O911" s="11" t="s">
        <v>68</v>
      </c>
      <c r="P911" s="11" t="s">
        <v>35</v>
      </c>
      <c r="Q911" s="11"/>
      <c r="R911" s="11" t="s">
        <v>36</v>
      </c>
      <c r="S911" s="19">
        <v>20</v>
      </c>
      <c r="T911" s="11" t="s">
        <v>49</v>
      </c>
      <c r="U911" s="11" t="s">
        <v>96</v>
      </c>
      <c r="V911" s="11">
        <v>1</v>
      </c>
      <c r="W911" s="11" t="s">
        <v>62</v>
      </c>
      <c r="X911" s="11" t="s">
        <v>51</v>
      </c>
      <c r="Y911" s="11" t="s">
        <v>52</v>
      </c>
      <c r="Z911" s="11" t="s">
        <v>42</v>
      </c>
      <c r="AA911" s="11" t="str">
        <f>IF(A911=" ", "Missing Value", " ")</f>
        <v xml:space="preserve"> </v>
      </c>
    </row>
    <row r="912" spans="1:27">
      <c r="A912" s="11" t="s">
        <v>3010</v>
      </c>
      <c r="B912" s="11" t="s">
        <v>3011</v>
      </c>
      <c r="C912" s="11" t="s">
        <v>27</v>
      </c>
      <c r="D912" s="19">
        <v>69</v>
      </c>
      <c r="E912" s="11" t="s">
        <v>149</v>
      </c>
      <c r="F912" s="11" t="s">
        <v>29</v>
      </c>
      <c r="G912" s="11" t="s">
        <v>58</v>
      </c>
      <c r="H912" s="12">
        <v>46167</v>
      </c>
      <c r="I912" s="12" t="str">
        <f t="shared" si="16"/>
        <v>May</v>
      </c>
      <c r="J912" s="24">
        <v>0.52013888888888893</v>
      </c>
      <c r="K912" s="19">
        <v>6</v>
      </c>
      <c r="L912" s="12">
        <v>46168</v>
      </c>
      <c r="M912" s="24">
        <v>0.10347222222222222</v>
      </c>
      <c r="N912" s="11">
        <v>14</v>
      </c>
      <c r="O912" s="11" t="s">
        <v>34</v>
      </c>
      <c r="P912" s="11" t="s">
        <v>35</v>
      </c>
      <c r="Q912" s="11"/>
      <c r="R912" s="11" t="s">
        <v>36</v>
      </c>
      <c r="S912" s="19">
        <v>40</v>
      </c>
      <c r="T912" s="11" t="s">
        <v>49</v>
      </c>
      <c r="U912" s="11" t="s">
        <v>164</v>
      </c>
      <c r="V912" s="11">
        <v>2</v>
      </c>
      <c r="W912" s="11" t="s">
        <v>62</v>
      </c>
      <c r="X912" s="11" t="s">
        <v>51</v>
      </c>
      <c r="Y912" s="11" t="s">
        <v>52</v>
      </c>
      <c r="Z912" s="11" t="s">
        <v>53</v>
      </c>
      <c r="AA912" s="11" t="s">
        <v>3234</v>
      </c>
    </row>
    <row r="913" spans="1:27">
      <c r="A913" s="11" t="s">
        <v>3013</v>
      </c>
      <c r="B913" s="11" t="s">
        <v>3014</v>
      </c>
      <c r="C913" s="11" t="s">
        <v>27</v>
      </c>
      <c r="D913" s="19">
        <v>64</v>
      </c>
      <c r="E913" s="11" t="s">
        <v>57</v>
      </c>
      <c r="F913" s="11" t="s">
        <v>29</v>
      </c>
      <c r="G913" s="11" t="s">
        <v>83</v>
      </c>
      <c r="H913" s="12">
        <v>46070</v>
      </c>
      <c r="I913" s="12" t="str">
        <f t="shared" si="16"/>
        <v>February</v>
      </c>
      <c r="J913" s="24">
        <v>0.29166666666666669</v>
      </c>
      <c r="K913" s="19">
        <v>3</v>
      </c>
      <c r="L913" s="12">
        <v>46070</v>
      </c>
      <c r="M913" s="24">
        <v>0.75</v>
      </c>
      <c r="N913" s="11">
        <v>11</v>
      </c>
      <c r="O913" s="11" t="s">
        <v>34</v>
      </c>
      <c r="P913" s="11" t="s">
        <v>35</v>
      </c>
      <c r="Q913" s="11"/>
      <c r="R913" s="11" t="s">
        <v>36</v>
      </c>
      <c r="S913" s="19">
        <v>15</v>
      </c>
      <c r="T913" s="11" t="s">
        <v>49</v>
      </c>
      <c r="U913" s="11" t="s">
        <v>164</v>
      </c>
      <c r="V913" s="11">
        <v>2</v>
      </c>
      <c r="W913" s="11" t="s">
        <v>39</v>
      </c>
      <c r="X913" s="11" t="s">
        <v>3334</v>
      </c>
      <c r="Y913" s="11" t="s">
        <v>52</v>
      </c>
      <c r="Z913" s="11" t="s">
        <v>71</v>
      </c>
      <c r="AA913" s="11" t="s">
        <v>3234</v>
      </c>
    </row>
    <row r="914" spans="1:27">
      <c r="A914" s="11" t="s">
        <v>3016</v>
      </c>
      <c r="B914" s="11" t="s">
        <v>3017</v>
      </c>
      <c r="C914" s="11" t="s">
        <v>27</v>
      </c>
      <c r="D914" s="19">
        <v>77</v>
      </c>
      <c r="E914" s="11" t="s">
        <v>81</v>
      </c>
      <c r="F914" s="11" t="s">
        <v>82</v>
      </c>
      <c r="G914" s="11" t="s">
        <v>83</v>
      </c>
      <c r="H914" s="12">
        <v>46163</v>
      </c>
      <c r="I914" s="12" t="str">
        <f t="shared" si="16"/>
        <v>May</v>
      </c>
      <c r="J914" s="24">
        <v>0.41805555555555557</v>
      </c>
      <c r="K914" s="19">
        <v>8</v>
      </c>
      <c r="L914" s="12">
        <v>46164</v>
      </c>
      <c r="M914" s="24">
        <v>8.4722222222222227E-2</v>
      </c>
      <c r="N914" s="11">
        <v>16</v>
      </c>
      <c r="O914" s="11" t="s">
        <v>34</v>
      </c>
      <c r="P914" s="11" t="s">
        <v>35</v>
      </c>
      <c r="Q914" s="11"/>
      <c r="R914" s="11" t="s">
        <v>36</v>
      </c>
      <c r="S914" s="19">
        <v>20</v>
      </c>
      <c r="T914" s="11" t="s">
        <v>37</v>
      </c>
      <c r="U914" s="11" t="s">
        <v>96</v>
      </c>
      <c r="V914" s="11">
        <v>1</v>
      </c>
      <c r="W914" s="11" t="s">
        <v>39</v>
      </c>
      <c r="X914" s="11" t="s">
        <v>3334</v>
      </c>
      <c r="Y914" s="11" t="s">
        <v>41</v>
      </c>
      <c r="Z914" s="11" t="s">
        <v>53</v>
      </c>
      <c r="AA914" s="11" t="str">
        <f>IF(A914=" ", "Missing Value", " ")</f>
        <v xml:space="preserve"> </v>
      </c>
    </row>
    <row r="915" spans="1:27">
      <c r="A915" s="11" t="s">
        <v>3020</v>
      </c>
      <c r="B915" s="11" t="s">
        <v>3021</v>
      </c>
      <c r="C915" s="11" t="s">
        <v>56</v>
      </c>
      <c r="D915" s="19">
        <v>35</v>
      </c>
      <c r="E915" s="11" t="s">
        <v>149</v>
      </c>
      <c r="F915" s="11" t="s">
        <v>29</v>
      </c>
      <c r="G915" s="11" t="s">
        <v>58</v>
      </c>
      <c r="H915" s="12">
        <v>46163</v>
      </c>
      <c r="I915" s="12" t="str">
        <f t="shared" si="16"/>
        <v>May</v>
      </c>
      <c r="J915" s="24">
        <v>0.68819444444444444</v>
      </c>
      <c r="K915" s="19">
        <v>6</v>
      </c>
      <c r="L915" s="12">
        <v>46164</v>
      </c>
      <c r="M915" s="24">
        <v>0.2298611111111111</v>
      </c>
      <c r="N915" s="11">
        <v>13</v>
      </c>
      <c r="O915" s="11" t="s">
        <v>34</v>
      </c>
      <c r="P915" s="11" t="s">
        <v>35</v>
      </c>
      <c r="Q915" s="11"/>
      <c r="R915" s="11" t="s">
        <v>36</v>
      </c>
      <c r="S915" s="19">
        <v>40</v>
      </c>
      <c r="T915" s="11" t="s">
        <v>49</v>
      </c>
      <c r="U915" s="11" t="s">
        <v>96</v>
      </c>
      <c r="V915" s="11">
        <v>5</v>
      </c>
      <c r="W915" s="11" t="s">
        <v>62</v>
      </c>
      <c r="X915" s="11" t="s">
        <v>51</v>
      </c>
      <c r="Y915" s="11" t="s">
        <v>109</v>
      </c>
      <c r="Z915" s="11" t="s">
        <v>42</v>
      </c>
      <c r="AA915" s="11" t="s">
        <v>3234</v>
      </c>
    </row>
    <row r="916" spans="1:27">
      <c r="A916" s="11" t="s">
        <v>3023</v>
      </c>
      <c r="B916" s="11" t="s">
        <v>3024</v>
      </c>
      <c r="C916" s="11" t="s">
        <v>27</v>
      </c>
      <c r="D916" s="19">
        <v>4</v>
      </c>
      <c r="E916" s="11" t="s">
        <v>92</v>
      </c>
      <c r="F916" s="11" t="s">
        <v>29</v>
      </c>
      <c r="G916" s="11" t="s">
        <v>83</v>
      </c>
      <c r="H916" s="12">
        <v>46178</v>
      </c>
      <c r="I916" s="12" t="str">
        <f t="shared" si="16"/>
        <v>June</v>
      </c>
      <c r="J916" s="24">
        <v>0.51527777777777772</v>
      </c>
      <c r="K916" s="19">
        <v>24</v>
      </c>
      <c r="L916" s="12">
        <v>46179</v>
      </c>
      <c r="M916" s="24">
        <v>0.47361111111111109</v>
      </c>
      <c r="N916" s="11">
        <v>23</v>
      </c>
      <c r="O916" s="11" t="s">
        <v>68</v>
      </c>
      <c r="P916" s="11" t="s">
        <v>35</v>
      </c>
      <c r="Q916" s="11"/>
      <c r="R916" s="11" t="s">
        <v>132</v>
      </c>
      <c r="S916" s="19">
        <v>50</v>
      </c>
      <c r="T916" s="11" t="s">
        <v>49</v>
      </c>
      <c r="U916" s="11" t="s">
        <v>96</v>
      </c>
      <c r="V916" s="11">
        <v>1</v>
      </c>
      <c r="W916" s="11" t="s">
        <v>70</v>
      </c>
      <c r="X916" s="11" t="s">
        <v>3325</v>
      </c>
      <c r="Y916" s="11" t="s">
        <v>41</v>
      </c>
      <c r="Z916" s="11" t="s">
        <v>71</v>
      </c>
      <c r="AA916" s="11" t="s">
        <v>3263</v>
      </c>
    </row>
    <row r="917" spans="1:27">
      <c r="A917" s="11" t="s">
        <v>3025</v>
      </c>
      <c r="B917" s="11" t="s">
        <v>3026</v>
      </c>
      <c r="C917" s="11" t="s">
        <v>56</v>
      </c>
      <c r="D917" s="19">
        <v>70</v>
      </c>
      <c r="E917" s="11" t="s">
        <v>28</v>
      </c>
      <c r="F917" s="11" t="s">
        <v>29</v>
      </c>
      <c r="G917" s="11" t="s">
        <v>83</v>
      </c>
      <c r="H917" s="12">
        <v>46104</v>
      </c>
      <c r="I917" s="12" t="str">
        <f t="shared" si="16"/>
        <v>March</v>
      </c>
      <c r="J917" s="24">
        <v>0.42291666666666666</v>
      </c>
      <c r="K917" s="19">
        <v>5</v>
      </c>
      <c r="L917" s="12">
        <v>46104</v>
      </c>
      <c r="M917" s="24">
        <v>0.96458333333333335</v>
      </c>
      <c r="N917" s="11">
        <v>13</v>
      </c>
      <c r="O917" s="11" t="s">
        <v>34</v>
      </c>
      <c r="P917" s="11" t="s">
        <v>35</v>
      </c>
      <c r="Q917" s="11"/>
      <c r="R917" s="11" t="s">
        <v>36</v>
      </c>
      <c r="S917" s="19">
        <v>35</v>
      </c>
      <c r="T917" s="11" t="s">
        <v>49</v>
      </c>
      <c r="U917" s="11" t="s">
        <v>38</v>
      </c>
      <c r="V917" s="11">
        <v>2</v>
      </c>
      <c r="W917" s="11" t="s">
        <v>70</v>
      </c>
      <c r="X917" s="11" t="s">
        <v>3325</v>
      </c>
      <c r="Y917" s="11" t="s">
        <v>41</v>
      </c>
      <c r="Z917" s="11" t="s">
        <v>42</v>
      </c>
      <c r="AA917" s="11" t="s">
        <v>3234</v>
      </c>
    </row>
    <row r="918" spans="1:27">
      <c r="A918" s="11" t="s">
        <v>3028</v>
      </c>
      <c r="B918" s="11" t="s">
        <v>3029</v>
      </c>
      <c r="C918" s="11" t="s">
        <v>56</v>
      </c>
      <c r="D918" s="19">
        <v>56</v>
      </c>
      <c r="E918" s="11" t="s">
        <v>57</v>
      </c>
      <c r="F918" s="11" t="s">
        <v>29</v>
      </c>
      <c r="G918" s="11" t="s">
        <v>58</v>
      </c>
      <c r="H918" s="12">
        <v>46042</v>
      </c>
      <c r="I918" s="12" t="str">
        <f t="shared" si="16"/>
        <v>January</v>
      </c>
      <c r="J918" s="24">
        <v>0.60069444444444442</v>
      </c>
      <c r="K918" s="19">
        <v>3</v>
      </c>
      <c r="L918" s="12">
        <v>46043</v>
      </c>
      <c r="M918" s="24">
        <v>1.7361111111111112E-2</v>
      </c>
      <c r="N918" s="11">
        <v>10</v>
      </c>
      <c r="O918" s="11" t="s">
        <v>34</v>
      </c>
      <c r="P918" s="11" t="s">
        <v>270</v>
      </c>
      <c r="Q918" s="11" t="s">
        <v>391</v>
      </c>
      <c r="R918" s="11" t="s">
        <v>36</v>
      </c>
      <c r="S918" s="19">
        <v>15</v>
      </c>
      <c r="T918" s="11" t="s">
        <v>49</v>
      </c>
      <c r="U918" s="11" t="s">
        <v>164</v>
      </c>
      <c r="V918" s="11">
        <v>2</v>
      </c>
      <c r="W918" s="11" t="s">
        <v>89</v>
      </c>
      <c r="X918" s="11" t="s">
        <v>3325</v>
      </c>
      <c r="Y918" s="11" t="s">
        <v>41</v>
      </c>
      <c r="Z918" s="11" t="s">
        <v>71</v>
      </c>
      <c r="AA918" s="11" t="s">
        <v>3288</v>
      </c>
    </row>
    <row r="919" spans="1:27">
      <c r="A919" s="11" t="s">
        <v>3031</v>
      </c>
      <c r="B919" s="11" t="s">
        <v>3032</v>
      </c>
      <c r="C919" s="11" t="s">
        <v>56</v>
      </c>
      <c r="D919" s="19">
        <v>74</v>
      </c>
      <c r="E919" s="11" t="s">
        <v>28</v>
      </c>
      <c r="F919" s="11" t="s">
        <v>29</v>
      </c>
      <c r="G919" s="11" t="s">
        <v>30</v>
      </c>
      <c r="H919" s="12">
        <v>46176</v>
      </c>
      <c r="I919" s="12" t="str">
        <f t="shared" si="16"/>
        <v>June</v>
      </c>
      <c r="J919" s="24">
        <v>0.41597222222222224</v>
      </c>
      <c r="K919" s="19">
        <v>5</v>
      </c>
      <c r="L919" s="12">
        <v>46176</v>
      </c>
      <c r="M919" s="24">
        <v>0.58263888888888893</v>
      </c>
      <c r="N919" s="11">
        <v>4</v>
      </c>
      <c r="O919" s="11" t="s">
        <v>68</v>
      </c>
      <c r="P919" s="11" t="s">
        <v>35</v>
      </c>
      <c r="Q919" s="11"/>
      <c r="R919" s="11" t="s">
        <v>36</v>
      </c>
      <c r="S919" s="19">
        <v>35</v>
      </c>
      <c r="T919" s="11" t="s">
        <v>49</v>
      </c>
      <c r="U919" s="11" t="s">
        <v>38</v>
      </c>
      <c r="V919" s="11">
        <v>3</v>
      </c>
      <c r="W919" s="11" t="s">
        <v>39</v>
      </c>
      <c r="X919" s="11" t="s">
        <v>51</v>
      </c>
      <c r="Y919" s="11" t="s">
        <v>109</v>
      </c>
      <c r="Z919" s="11" t="s">
        <v>71</v>
      </c>
      <c r="AA919" s="11" t="str">
        <f>IF(A919=" ", "Missing Value", " ")</f>
        <v xml:space="preserve"> </v>
      </c>
    </row>
    <row r="920" spans="1:27">
      <c r="A920" s="11" t="s">
        <v>3033</v>
      </c>
      <c r="B920" s="11" t="s">
        <v>3034</v>
      </c>
      <c r="C920" s="11" t="s">
        <v>56</v>
      </c>
      <c r="D920" s="19">
        <v>1</v>
      </c>
      <c r="E920" s="11" t="s">
        <v>57</v>
      </c>
      <c r="F920" s="11" t="s">
        <v>29</v>
      </c>
      <c r="G920" s="11" t="s">
        <v>168</v>
      </c>
      <c r="H920" s="12">
        <v>46158</v>
      </c>
      <c r="I920" s="12" t="str">
        <f t="shared" si="16"/>
        <v>May</v>
      </c>
      <c r="J920" s="24">
        <v>0.43819444444444444</v>
      </c>
      <c r="K920" s="19">
        <v>3</v>
      </c>
      <c r="L920" s="12">
        <v>46158</v>
      </c>
      <c r="M920" s="24">
        <v>0.52152777777777781</v>
      </c>
      <c r="N920" s="11">
        <v>2</v>
      </c>
      <c r="O920" s="11" t="s">
        <v>68</v>
      </c>
      <c r="P920" s="11" t="s">
        <v>35</v>
      </c>
      <c r="Q920" s="11"/>
      <c r="R920" s="11" t="s">
        <v>36</v>
      </c>
      <c r="S920" s="19">
        <v>15</v>
      </c>
      <c r="T920" s="11" t="s">
        <v>37</v>
      </c>
      <c r="U920" s="11" t="s">
        <v>164</v>
      </c>
      <c r="V920" s="11">
        <v>3</v>
      </c>
      <c r="W920" s="11" t="s">
        <v>62</v>
      </c>
      <c r="X920" s="11" t="s">
        <v>3325</v>
      </c>
      <c r="Y920" s="11" t="s">
        <v>109</v>
      </c>
      <c r="Z920" s="11" t="s">
        <v>53</v>
      </c>
      <c r="AA920" s="11" t="s">
        <v>3234</v>
      </c>
    </row>
    <row r="921" spans="1:27">
      <c r="A921" s="11" t="s">
        <v>3035</v>
      </c>
      <c r="B921" s="11" t="s">
        <v>3036</v>
      </c>
      <c r="C921" s="11" t="s">
        <v>27</v>
      </c>
      <c r="D921" s="19">
        <v>16</v>
      </c>
      <c r="E921" s="11" t="s">
        <v>28</v>
      </c>
      <c r="F921" s="11" t="s">
        <v>29</v>
      </c>
      <c r="G921" s="11" t="s">
        <v>58</v>
      </c>
      <c r="H921" s="12">
        <v>46090</v>
      </c>
      <c r="I921" s="12" t="str">
        <f t="shared" si="16"/>
        <v>March</v>
      </c>
      <c r="J921" s="24">
        <v>0.47013888888888888</v>
      </c>
      <c r="K921" s="19">
        <v>5</v>
      </c>
      <c r="L921" s="12">
        <v>46090</v>
      </c>
      <c r="M921" s="24">
        <v>0.63680555555555551</v>
      </c>
      <c r="N921" s="11">
        <v>4</v>
      </c>
      <c r="O921" s="11" t="s">
        <v>68</v>
      </c>
      <c r="P921" s="11" t="s">
        <v>35</v>
      </c>
      <c r="Q921" s="11"/>
      <c r="R921" s="11" t="s">
        <v>36</v>
      </c>
      <c r="S921" s="19">
        <v>35</v>
      </c>
      <c r="T921" s="11" t="s">
        <v>49</v>
      </c>
      <c r="U921" s="11" t="s">
        <v>164</v>
      </c>
      <c r="V921" s="11">
        <v>3</v>
      </c>
      <c r="W921" s="11" t="s">
        <v>62</v>
      </c>
      <c r="X921" s="11" t="s">
        <v>51</v>
      </c>
      <c r="Y921" s="11" t="s">
        <v>41</v>
      </c>
      <c r="Z921" s="11" t="s">
        <v>53</v>
      </c>
      <c r="AA921" s="11" t="s">
        <v>3234</v>
      </c>
    </row>
    <row r="922" spans="1:27">
      <c r="A922" s="11" t="s">
        <v>3038</v>
      </c>
      <c r="B922" s="11" t="s">
        <v>3039</v>
      </c>
      <c r="C922" s="11" t="s">
        <v>56</v>
      </c>
      <c r="D922" s="19">
        <v>68</v>
      </c>
      <c r="E922" s="11" t="s">
        <v>92</v>
      </c>
      <c r="F922" s="11" t="s">
        <v>29</v>
      </c>
      <c r="G922" s="11" t="s">
        <v>93</v>
      </c>
      <c r="H922" s="12">
        <v>46101</v>
      </c>
      <c r="I922" s="12" t="str">
        <f t="shared" si="16"/>
        <v>March</v>
      </c>
      <c r="J922" s="24">
        <v>0.5</v>
      </c>
      <c r="K922" s="19">
        <v>24</v>
      </c>
      <c r="L922" s="12">
        <v>46102</v>
      </c>
      <c r="M922" s="24">
        <v>0.83333333333333337</v>
      </c>
      <c r="N922" s="11">
        <v>32</v>
      </c>
      <c r="O922" s="11" t="s">
        <v>34</v>
      </c>
      <c r="P922" s="11" t="s">
        <v>35</v>
      </c>
      <c r="Q922" s="11"/>
      <c r="R922" s="11" t="s">
        <v>36</v>
      </c>
      <c r="S922" s="19">
        <v>50</v>
      </c>
      <c r="T922" s="11" t="s">
        <v>49</v>
      </c>
      <c r="U922" s="11" t="s">
        <v>164</v>
      </c>
      <c r="V922" s="11">
        <v>3</v>
      </c>
      <c r="W922" s="11" t="s">
        <v>39</v>
      </c>
      <c r="X922" s="11" t="s">
        <v>3333</v>
      </c>
      <c r="Y922" s="11" t="s">
        <v>109</v>
      </c>
      <c r="Z922" s="11" t="s">
        <v>53</v>
      </c>
      <c r="AA922" s="11" t="s">
        <v>3229</v>
      </c>
    </row>
    <row r="923" spans="1:27">
      <c r="A923" s="11" t="s">
        <v>3040</v>
      </c>
      <c r="B923" s="11" t="s">
        <v>3041</v>
      </c>
      <c r="C923" s="11" t="s">
        <v>56</v>
      </c>
      <c r="D923" s="19">
        <v>12</v>
      </c>
      <c r="E923" s="11" t="s">
        <v>57</v>
      </c>
      <c r="F923" s="11" t="s">
        <v>29</v>
      </c>
      <c r="G923" s="11" t="s">
        <v>168</v>
      </c>
      <c r="H923" s="12">
        <v>46079</v>
      </c>
      <c r="I923" s="12" t="str">
        <f t="shared" si="16"/>
        <v>February</v>
      </c>
      <c r="J923" s="24">
        <v>0.68541666666666667</v>
      </c>
      <c r="K923" s="19">
        <v>3</v>
      </c>
      <c r="L923" s="12">
        <v>46080</v>
      </c>
      <c r="M923" s="24">
        <v>1.8749999999999999E-2</v>
      </c>
      <c r="N923" s="11">
        <v>8</v>
      </c>
      <c r="O923" s="11" t="s">
        <v>34</v>
      </c>
      <c r="P923" s="11" t="s">
        <v>35</v>
      </c>
      <c r="Q923" s="11"/>
      <c r="R923" s="11" t="s">
        <v>36</v>
      </c>
      <c r="S923" s="19">
        <v>15</v>
      </c>
      <c r="T923" s="11" t="s">
        <v>37</v>
      </c>
      <c r="U923" s="11" t="s">
        <v>38</v>
      </c>
      <c r="V923" s="11">
        <v>4</v>
      </c>
      <c r="W923" s="11" t="s">
        <v>70</v>
      </c>
      <c r="X923" s="11" t="s">
        <v>51</v>
      </c>
      <c r="Y923" s="11" t="s">
        <v>52</v>
      </c>
      <c r="Z923" s="11" t="s">
        <v>71</v>
      </c>
      <c r="AA923" s="11" t="s">
        <v>3234</v>
      </c>
    </row>
    <row r="924" spans="1:27">
      <c r="A924" s="11" t="s">
        <v>3042</v>
      </c>
      <c r="B924" s="11" t="s">
        <v>3043</v>
      </c>
      <c r="C924" s="11" t="s">
        <v>27</v>
      </c>
      <c r="D924" s="19">
        <v>82</v>
      </c>
      <c r="E924" s="11" t="s">
        <v>57</v>
      </c>
      <c r="F924" s="11" t="s">
        <v>29</v>
      </c>
      <c r="G924" s="11" t="s">
        <v>58</v>
      </c>
      <c r="H924" s="12">
        <v>46194</v>
      </c>
      <c r="I924" s="12" t="str">
        <f t="shared" si="16"/>
        <v>June</v>
      </c>
      <c r="J924" s="24">
        <v>0.4</v>
      </c>
      <c r="K924" s="19">
        <v>3</v>
      </c>
      <c r="L924" s="12">
        <v>46194</v>
      </c>
      <c r="M924" s="24">
        <v>0.60833333333333328</v>
      </c>
      <c r="N924" s="11">
        <v>5</v>
      </c>
      <c r="O924" s="11" t="s">
        <v>34</v>
      </c>
      <c r="P924" s="11" t="s">
        <v>270</v>
      </c>
      <c r="Q924" s="11" t="s">
        <v>391</v>
      </c>
      <c r="R924" s="11" t="s">
        <v>36</v>
      </c>
      <c r="S924" s="19">
        <v>15</v>
      </c>
      <c r="T924" s="11" t="s">
        <v>49</v>
      </c>
      <c r="U924" s="11" t="s">
        <v>164</v>
      </c>
      <c r="V924" s="11">
        <v>2</v>
      </c>
      <c r="W924" s="11" t="s">
        <v>70</v>
      </c>
      <c r="X924" s="11" t="s">
        <v>3325</v>
      </c>
      <c r="Y924" s="11" t="s">
        <v>109</v>
      </c>
      <c r="Z924" s="11" t="s">
        <v>71</v>
      </c>
      <c r="AA924" s="11" t="s">
        <v>3288</v>
      </c>
    </row>
    <row r="925" spans="1:27">
      <c r="A925" s="11" t="s">
        <v>3044</v>
      </c>
      <c r="B925" s="11" t="s">
        <v>3045</v>
      </c>
      <c r="C925" s="11" t="s">
        <v>27</v>
      </c>
      <c r="D925" s="19">
        <v>33</v>
      </c>
      <c r="E925" s="11" t="s">
        <v>173</v>
      </c>
      <c r="F925" s="11" t="s">
        <v>29</v>
      </c>
      <c r="G925" s="11" t="s">
        <v>83</v>
      </c>
      <c r="H925" s="12">
        <v>46050</v>
      </c>
      <c r="I925" s="12" t="str">
        <f t="shared" si="16"/>
        <v>January</v>
      </c>
      <c r="J925" s="24">
        <v>0.70416666666666672</v>
      </c>
      <c r="K925" s="19">
        <v>4</v>
      </c>
      <c r="L925" s="12">
        <v>46051</v>
      </c>
      <c r="M925" s="24">
        <v>3.7499999999999999E-2</v>
      </c>
      <c r="N925" s="11">
        <v>8</v>
      </c>
      <c r="O925" s="11" t="s">
        <v>34</v>
      </c>
      <c r="P925" s="11" t="s">
        <v>35</v>
      </c>
      <c r="Q925" s="11"/>
      <c r="R925" s="11" t="s">
        <v>36</v>
      </c>
      <c r="S925" s="19">
        <v>25</v>
      </c>
      <c r="T925" s="11" t="s">
        <v>37</v>
      </c>
      <c r="U925" s="11" t="s">
        <v>96</v>
      </c>
      <c r="V925" s="11">
        <v>4</v>
      </c>
      <c r="W925" s="11" t="s">
        <v>89</v>
      </c>
      <c r="X925" s="11" t="s">
        <v>51</v>
      </c>
      <c r="Y925" s="11" t="s">
        <v>41</v>
      </c>
      <c r="Z925" s="11" t="s">
        <v>53</v>
      </c>
      <c r="AA925" s="11" t="s">
        <v>3234</v>
      </c>
    </row>
    <row r="926" spans="1:27">
      <c r="A926" s="11" t="s">
        <v>3046</v>
      </c>
      <c r="B926" s="11" t="s">
        <v>3047</v>
      </c>
      <c r="C926" s="11" t="s">
        <v>56</v>
      </c>
      <c r="D926" s="19">
        <v>34</v>
      </c>
      <c r="E926" s="11" t="s">
        <v>149</v>
      </c>
      <c r="F926" s="11" t="s">
        <v>29</v>
      </c>
      <c r="G926" s="11" t="s">
        <v>30</v>
      </c>
      <c r="H926" s="12">
        <v>46183</v>
      </c>
      <c r="I926" s="12" t="str">
        <f t="shared" si="16"/>
        <v>June</v>
      </c>
      <c r="J926" s="24">
        <v>0.4597222222222222</v>
      </c>
      <c r="K926" s="19">
        <v>6</v>
      </c>
      <c r="L926" s="12">
        <v>46183</v>
      </c>
      <c r="M926" s="24">
        <v>0.83472222222222225</v>
      </c>
      <c r="N926" s="11">
        <v>9</v>
      </c>
      <c r="O926" s="11" t="s">
        <v>34</v>
      </c>
      <c r="P926" s="11" t="s">
        <v>35</v>
      </c>
      <c r="Q926" s="11"/>
      <c r="R926" s="11" t="s">
        <v>36</v>
      </c>
      <c r="S926" s="19">
        <v>40</v>
      </c>
      <c r="T926" s="11" t="s">
        <v>37</v>
      </c>
      <c r="U926" s="11" t="s">
        <v>96</v>
      </c>
      <c r="V926" s="11">
        <v>2</v>
      </c>
      <c r="W926" s="11" t="s">
        <v>89</v>
      </c>
      <c r="X926" s="11" t="s">
        <v>51</v>
      </c>
      <c r="Y926" s="11" t="s">
        <v>109</v>
      </c>
      <c r="Z926" s="11" t="s">
        <v>71</v>
      </c>
      <c r="AA926" s="11" t="str">
        <f>IF(A926=" ", "Missing Value", " ")</f>
        <v xml:space="preserve"> </v>
      </c>
    </row>
    <row r="927" spans="1:27">
      <c r="A927" s="11" t="s">
        <v>3049</v>
      </c>
      <c r="B927" s="11" t="s">
        <v>3050</v>
      </c>
      <c r="C927" s="11" t="s">
        <v>56</v>
      </c>
      <c r="D927" s="19">
        <v>3</v>
      </c>
      <c r="E927" s="11" t="s">
        <v>57</v>
      </c>
      <c r="F927" s="11" t="s">
        <v>29</v>
      </c>
      <c r="G927" s="11" t="s">
        <v>58</v>
      </c>
      <c r="H927" s="12">
        <v>46131</v>
      </c>
      <c r="I927" s="12" t="str">
        <f t="shared" si="16"/>
        <v>April</v>
      </c>
      <c r="J927" s="24">
        <v>0.47569444444444442</v>
      </c>
      <c r="K927" s="19">
        <v>3</v>
      </c>
      <c r="L927" s="12">
        <v>46131</v>
      </c>
      <c r="M927" s="24">
        <v>0.60069444444444442</v>
      </c>
      <c r="N927" s="11">
        <v>3</v>
      </c>
      <c r="O927" s="11" t="s">
        <v>68</v>
      </c>
      <c r="P927" s="11" t="s">
        <v>35</v>
      </c>
      <c r="Q927" s="11"/>
      <c r="R927" s="11" t="s">
        <v>36</v>
      </c>
      <c r="S927" s="19">
        <v>15</v>
      </c>
      <c r="T927" s="11" t="s">
        <v>37</v>
      </c>
      <c r="U927" s="11" t="s">
        <v>96</v>
      </c>
      <c r="V927" s="11">
        <v>5</v>
      </c>
      <c r="W927" s="11" t="s">
        <v>70</v>
      </c>
      <c r="X927" s="11" t="s">
        <v>3334</v>
      </c>
      <c r="Y927" s="11" t="s">
        <v>41</v>
      </c>
      <c r="Z927" s="11" t="s">
        <v>42</v>
      </c>
      <c r="AA927" s="11"/>
    </row>
    <row r="928" spans="1:27">
      <c r="A928" s="11" t="s">
        <v>3052</v>
      </c>
      <c r="B928" s="11" t="s">
        <v>3053</v>
      </c>
      <c r="C928" s="11" t="s">
        <v>56</v>
      </c>
      <c r="D928" s="19">
        <v>6</v>
      </c>
      <c r="E928" s="11" t="s">
        <v>173</v>
      </c>
      <c r="F928" s="11" t="s">
        <v>29</v>
      </c>
      <c r="G928" s="11" t="s">
        <v>168</v>
      </c>
      <c r="H928" s="12">
        <v>46065</v>
      </c>
      <c r="I928" s="12" t="str">
        <f t="shared" si="16"/>
        <v>February</v>
      </c>
      <c r="J928" s="24">
        <v>0.625</v>
      </c>
      <c r="K928" s="19">
        <v>4</v>
      </c>
      <c r="L928" s="12">
        <v>46065</v>
      </c>
      <c r="M928" s="24">
        <v>0.83333333333333337</v>
      </c>
      <c r="N928" s="11">
        <v>5</v>
      </c>
      <c r="O928" s="11" t="s">
        <v>34</v>
      </c>
      <c r="P928" s="11" t="s">
        <v>35</v>
      </c>
      <c r="Q928" s="11"/>
      <c r="R928" s="11" t="s">
        <v>36</v>
      </c>
      <c r="S928" s="19">
        <v>25</v>
      </c>
      <c r="T928" s="11" t="s">
        <v>49</v>
      </c>
      <c r="U928" s="11" t="s">
        <v>164</v>
      </c>
      <c r="V928" s="11">
        <v>1</v>
      </c>
      <c r="W928" s="11" t="s">
        <v>62</v>
      </c>
      <c r="X928" s="11" t="s">
        <v>51</v>
      </c>
      <c r="Y928" s="11" t="s">
        <v>41</v>
      </c>
      <c r="Z928" s="11" t="s">
        <v>71</v>
      </c>
      <c r="AA928" s="11" t="s">
        <v>3234</v>
      </c>
    </row>
    <row r="929" spans="1:27">
      <c r="A929" s="11" t="s">
        <v>3054</v>
      </c>
      <c r="B929" s="11" t="s">
        <v>3055</v>
      </c>
      <c r="C929" s="11" t="s">
        <v>27</v>
      </c>
      <c r="D929" s="19">
        <v>15</v>
      </c>
      <c r="E929" s="11" t="s">
        <v>81</v>
      </c>
      <c r="F929" s="11" t="s">
        <v>82</v>
      </c>
      <c r="G929" s="11" t="s">
        <v>83</v>
      </c>
      <c r="H929" s="12">
        <v>46180</v>
      </c>
      <c r="I929" s="12" t="str">
        <f t="shared" si="16"/>
        <v>June</v>
      </c>
      <c r="J929" s="24">
        <v>0.42986111111111114</v>
      </c>
      <c r="K929" s="19">
        <v>8</v>
      </c>
      <c r="L929" s="12">
        <v>46180</v>
      </c>
      <c r="M929" s="24">
        <v>0.80486111111111114</v>
      </c>
      <c r="N929" s="11">
        <v>9</v>
      </c>
      <c r="O929" s="11" t="s">
        <v>34</v>
      </c>
      <c r="P929" s="11" t="s">
        <v>35</v>
      </c>
      <c r="Q929" s="11"/>
      <c r="R929" s="11" t="s">
        <v>36</v>
      </c>
      <c r="S929" s="19">
        <v>20</v>
      </c>
      <c r="T929" s="11" t="s">
        <v>49</v>
      </c>
      <c r="U929" s="11" t="s">
        <v>96</v>
      </c>
      <c r="V929" s="11">
        <v>5</v>
      </c>
      <c r="W929" s="11" t="s">
        <v>39</v>
      </c>
      <c r="X929" s="11" t="s">
        <v>3334</v>
      </c>
      <c r="Y929" s="11" t="s">
        <v>52</v>
      </c>
      <c r="Z929" s="11" t="s">
        <v>42</v>
      </c>
      <c r="AA929" s="11" t="str">
        <f>IF(A929=" ", "Missing Value", " ")</f>
        <v xml:space="preserve"> </v>
      </c>
    </row>
    <row r="930" spans="1:27">
      <c r="A930" s="11" t="s">
        <v>3056</v>
      </c>
      <c r="B930" s="11" t="s">
        <v>3057</v>
      </c>
      <c r="C930" s="11" t="s">
        <v>56</v>
      </c>
      <c r="D930" s="19">
        <v>32</v>
      </c>
      <c r="E930" s="11" t="s">
        <v>92</v>
      </c>
      <c r="F930" s="11" t="s">
        <v>29</v>
      </c>
      <c r="G930" s="11" t="s">
        <v>168</v>
      </c>
      <c r="H930" s="12">
        <v>46193</v>
      </c>
      <c r="I930" s="12" t="str">
        <f t="shared" si="16"/>
        <v>June</v>
      </c>
      <c r="J930" s="24">
        <v>0.67638888888888893</v>
      </c>
      <c r="K930" s="19">
        <v>24</v>
      </c>
      <c r="L930" s="12">
        <v>46194</v>
      </c>
      <c r="M930" s="24">
        <v>0.96805555555555556</v>
      </c>
      <c r="N930" s="11">
        <v>31</v>
      </c>
      <c r="O930" s="11" t="s">
        <v>34</v>
      </c>
      <c r="P930" s="11" t="s">
        <v>35</v>
      </c>
      <c r="Q930" s="11"/>
      <c r="R930" s="11" t="s">
        <v>132</v>
      </c>
      <c r="S930" s="19">
        <v>50</v>
      </c>
      <c r="T930" s="11" t="s">
        <v>49</v>
      </c>
      <c r="U930" s="11" t="s">
        <v>38</v>
      </c>
      <c r="V930" s="11">
        <v>2</v>
      </c>
      <c r="W930" s="11" t="s">
        <v>39</v>
      </c>
      <c r="X930" s="11" t="s">
        <v>3325</v>
      </c>
      <c r="Y930" s="11" t="s">
        <v>41</v>
      </c>
      <c r="Z930" s="11" t="s">
        <v>71</v>
      </c>
      <c r="AA930" s="11" t="s">
        <v>3267</v>
      </c>
    </row>
    <row r="931" spans="1:27">
      <c r="A931" s="11" t="s">
        <v>3058</v>
      </c>
      <c r="B931" s="11" t="s">
        <v>3059</v>
      </c>
      <c r="C931" s="11" t="s">
        <v>27</v>
      </c>
      <c r="D931" s="19">
        <v>52</v>
      </c>
      <c r="E931" s="11" t="s">
        <v>173</v>
      </c>
      <c r="F931" s="11" t="s">
        <v>29</v>
      </c>
      <c r="G931" s="11" t="s">
        <v>168</v>
      </c>
      <c r="H931" s="12">
        <v>46098</v>
      </c>
      <c r="I931" s="12" t="str">
        <f t="shared" si="16"/>
        <v>March</v>
      </c>
      <c r="J931" s="24">
        <v>0.39652777777777776</v>
      </c>
      <c r="K931" s="19">
        <v>4</v>
      </c>
      <c r="L931" s="12">
        <v>46098</v>
      </c>
      <c r="M931" s="24">
        <v>0.68819444444444444</v>
      </c>
      <c r="N931" s="11">
        <v>7</v>
      </c>
      <c r="O931" s="11" t="s">
        <v>34</v>
      </c>
      <c r="P931" s="11" t="s">
        <v>35</v>
      </c>
      <c r="Q931" s="11"/>
      <c r="R931" s="11" t="s">
        <v>36</v>
      </c>
      <c r="S931" s="19"/>
      <c r="T931" s="11" t="s">
        <v>49</v>
      </c>
      <c r="U931" s="11" t="s">
        <v>164</v>
      </c>
      <c r="V931" s="11">
        <v>5</v>
      </c>
      <c r="W931" s="11" t="s">
        <v>89</v>
      </c>
      <c r="X931" s="11" t="s">
        <v>51</v>
      </c>
      <c r="Y931" s="11" t="s">
        <v>52</v>
      </c>
      <c r="Z931" s="11" t="s">
        <v>53</v>
      </c>
      <c r="AA931" s="11" t="s">
        <v>3234</v>
      </c>
    </row>
    <row r="932" spans="1:27">
      <c r="A932" s="11" t="s">
        <v>3060</v>
      </c>
      <c r="B932" s="11" t="s">
        <v>3061</v>
      </c>
      <c r="C932" s="11" t="s">
        <v>56</v>
      </c>
      <c r="D932" s="19">
        <v>78</v>
      </c>
      <c r="E932" s="11" t="s">
        <v>149</v>
      </c>
      <c r="F932" s="11" t="s">
        <v>29</v>
      </c>
      <c r="G932" s="11" t="s">
        <v>30</v>
      </c>
      <c r="H932" s="12">
        <v>46162</v>
      </c>
      <c r="I932" s="12" t="str">
        <f t="shared" si="16"/>
        <v>May</v>
      </c>
      <c r="J932" s="24">
        <v>0.44166666666666665</v>
      </c>
      <c r="K932" s="19">
        <v>6</v>
      </c>
      <c r="L932" s="12">
        <v>46163</v>
      </c>
      <c r="M932" s="24">
        <v>2.5000000000000001E-2</v>
      </c>
      <c r="N932" s="11">
        <v>14</v>
      </c>
      <c r="O932" s="11" t="s">
        <v>34</v>
      </c>
      <c r="P932" s="11" t="s">
        <v>35</v>
      </c>
      <c r="Q932" s="11"/>
      <c r="R932" s="11" t="s">
        <v>36</v>
      </c>
      <c r="S932" s="19">
        <v>40</v>
      </c>
      <c r="T932" s="11" t="s">
        <v>37</v>
      </c>
      <c r="U932" s="11" t="s">
        <v>164</v>
      </c>
      <c r="V932" s="11">
        <v>1</v>
      </c>
      <c r="W932" s="11" t="s">
        <v>89</v>
      </c>
      <c r="X932" s="11" t="s">
        <v>51</v>
      </c>
      <c r="Y932" s="11" t="s">
        <v>109</v>
      </c>
      <c r="Z932" s="11" t="s">
        <v>42</v>
      </c>
      <c r="AA932" s="11" t="str">
        <f>IF(A932=" ", "Missing Value", " ")</f>
        <v xml:space="preserve"> </v>
      </c>
    </row>
    <row r="933" spans="1:27">
      <c r="A933" s="11" t="s">
        <v>3063</v>
      </c>
      <c r="B933" s="11" t="s">
        <v>3064</v>
      </c>
      <c r="C933" s="11" t="s">
        <v>56</v>
      </c>
      <c r="D933" s="19">
        <v>49</v>
      </c>
      <c r="E933" s="11" t="s">
        <v>92</v>
      </c>
      <c r="F933" s="11" t="s">
        <v>29</v>
      </c>
      <c r="G933" s="11" t="s">
        <v>93</v>
      </c>
      <c r="H933" s="12">
        <v>46135</v>
      </c>
      <c r="I933" s="12" t="str">
        <f t="shared" si="16"/>
        <v>April</v>
      </c>
      <c r="J933" s="24">
        <v>0.30138888888888887</v>
      </c>
      <c r="K933" s="19">
        <v>24</v>
      </c>
      <c r="L933" s="12">
        <v>46136</v>
      </c>
      <c r="M933" s="24">
        <v>0.30138888888888887</v>
      </c>
      <c r="N933" s="11">
        <v>24</v>
      </c>
      <c r="O933" s="11" t="s">
        <v>68</v>
      </c>
      <c r="P933" s="11" t="s">
        <v>35</v>
      </c>
      <c r="Q933" s="11"/>
      <c r="R933" s="11" t="s">
        <v>36</v>
      </c>
      <c r="S933" s="19">
        <v>50</v>
      </c>
      <c r="T933" s="11" t="s">
        <v>37</v>
      </c>
      <c r="U933" s="11" t="s">
        <v>164</v>
      </c>
      <c r="V933" s="11">
        <v>1</v>
      </c>
      <c r="W933" s="11" t="s">
        <v>89</v>
      </c>
      <c r="X933" s="11" t="s">
        <v>51</v>
      </c>
      <c r="Y933" s="11" t="s">
        <v>109</v>
      </c>
      <c r="Z933" s="11" t="s">
        <v>53</v>
      </c>
      <c r="AA933" s="11" t="s">
        <v>3229</v>
      </c>
    </row>
    <row r="934" spans="1:27">
      <c r="A934" s="11" t="s">
        <v>3065</v>
      </c>
      <c r="B934" s="11" t="s">
        <v>3066</v>
      </c>
      <c r="C934" s="11" t="s">
        <v>56</v>
      </c>
      <c r="D934" s="19">
        <v>38</v>
      </c>
      <c r="E934" s="11" t="s">
        <v>28</v>
      </c>
      <c r="F934" s="11" t="s">
        <v>29</v>
      </c>
      <c r="G934" s="11" t="s">
        <v>30</v>
      </c>
      <c r="H934" s="12">
        <v>46148</v>
      </c>
      <c r="I934" s="12" t="str">
        <f t="shared" si="16"/>
        <v>May</v>
      </c>
      <c r="J934" s="24">
        <v>0.4284722222222222</v>
      </c>
      <c r="K934" s="19">
        <v>5</v>
      </c>
      <c r="L934" s="12">
        <v>46148</v>
      </c>
      <c r="M934" s="24">
        <v>0.59513888888888888</v>
      </c>
      <c r="N934" s="11">
        <v>4</v>
      </c>
      <c r="O934" s="11" t="s">
        <v>68</v>
      </c>
      <c r="P934" s="11" t="s">
        <v>35</v>
      </c>
      <c r="Q934" s="11"/>
      <c r="R934" s="11" t="s">
        <v>36</v>
      </c>
      <c r="S934" s="19">
        <v>35</v>
      </c>
      <c r="T934" s="11" t="s">
        <v>37</v>
      </c>
      <c r="U934" s="11" t="s">
        <v>38</v>
      </c>
      <c r="V934" s="11">
        <v>1</v>
      </c>
      <c r="W934" s="11" t="s">
        <v>39</v>
      </c>
      <c r="X934" s="11" t="s">
        <v>3334</v>
      </c>
      <c r="Y934" s="11" t="s">
        <v>52</v>
      </c>
      <c r="Z934" s="11" t="s">
        <v>71</v>
      </c>
      <c r="AA934" s="11" t="str">
        <f>IF(A934=" ", "Missing Value", " ")</f>
        <v xml:space="preserve"> </v>
      </c>
    </row>
    <row r="935" spans="1:27">
      <c r="A935" s="11" t="s">
        <v>3067</v>
      </c>
      <c r="B935" s="11" t="s">
        <v>3068</v>
      </c>
      <c r="C935" s="11" t="s">
        <v>56</v>
      </c>
      <c r="D935" s="19">
        <v>8</v>
      </c>
      <c r="E935" s="11" t="s">
        <v>173</v>
      </c>
      <c r="F935" s="11" t="s">
        <v>29</v>
      </c>
      <c r="G935" s="11" t="s">
        <v>58</v>
      </c>
      <c r="H935" s="12">
        <v>46100</v>
      </c>
      <c r="I935" s="12" t="str">
        <f t="shared" si="16"/>
        <v>March</v>
      </c>
      <c r="J935" s="24">
        <v>0.40833333333333333</v>
      </c>
      <c r="K935" s="19">
        <v>4</v>
      </c>
      <c r="L935" s="12">
        <v>46100</v>
      </c>
      <c r="M935" s="24">
        <v>0.57499999999999996</v>
      </c>
      <c r="N935" s="11">
        <v>4</v>
      </c>
      <c r="O935" s="11" t="s">
        <v>68</v>
      </c>
      <c r="P935" s="11" t="s">
        <v>35</v>
      </c>
      <c r="Q935" s="11"/>
      <c r="R935" s="11" t="s">
        <v>132</v>
      </c>
      <c r="S935" s="19">
        <v>25</v>
      </c>
      <c r="T935" s="11" t="s">
        <v>49</v>
      </c>
      <c r="U935" s="11" t="s">
        <v>38</v>
      </c>
      <c r="V935" s="11">
        <v>1</v>
      </c>
      <c r="W935" s="11" t="s">
        <v>70</v>
      </c>
      <c r="X935" s="11" t="s">
        <v>3334</v>
      </c>
      <c r="Y935" s="11" t="s">
        <v>109</v>
      </c>
      <c r="Z935" s="11" t="s">
        <v>71</v>
      </c>
      <c r="AA935" s="11" t="s">
        <v>3264</v>
      </c>
    </row>
    <row r="936" spans="1:27">
      <c r="A936" s="11" t="s">
        <v>3070</v>
      </c>
      <c r="B936" s="11" t="s">
        <v>3071</v>
      </c>
      <c r="C936" s="11" t="s">
        <v>56</v>
      </c>
      <c r="D936" s="19">
        <v>62</v>
      </c>
      <c r="E936" s="11" t="s">
        <v>92</v>
      </c>
      <c r="F936" s="11" t="s">
        <v>29</v>
      </c>
      <c r="G936" s="11" t="s">
        <v>168</v>
      </c>
      <c r="H936" s="12">
        <v>46054</v>
      </c>
      <c r="I936" s="12" t="str">
        <f t="shared" si="16"/>
        <v>February</v>
      </c>
      <c r="J936" s="24">
        <v>0.55555555555555558</v>
      </c>
      <c r="K936" s="19">
        <v>24</v>
      </c>
      <c r="L936" s="12">
        <v>46055</v>
      </c>
      <c r="M936" s="24">
        <v>0.55555555555555558</v>
      </c>
      <c r="N936" s="11">
        <v>24</v>
      </c>
      <c r="O936" s="11" t="s">
        <v>68</v>
      </c>
      <c r="P936" s="11" t="s">
        <v>35</v>
      </c>
      <c r="Q936" s="11"/>
      <c r="R936" s="11" t="s">
        <v>36</v>
      </c>
      <c r="S936" s="19">
        <v>50</v>
      </c>
      <c r="T936" s="11" t="s">
        <v>49</v>
      </c>
      <c r="U936" s="11" t="s">
        <v>96</v>
      </c>
      <c r="V936" s="11">
        <v>2</v>
      </c>
      <c r="W936" s="11" t="s">
        <v>89</v>
      </c>
      <c r="X936" s="11" t="s">
        <v>3333</v>
      </c>
      <c r="Y936" s="11" t="s">
        <v>109</v>
      </c>
      <c r="Z936" s="11" t="s">
        <v>53</v>
      </c>
      <c r="AA936" s="11" t="s">
        <v>3235</v>
      </c>
    </row>
    <row r="937" spans="1:27">
      <c r="A937" s="11" t="s">
        <v>3072</v>
      </c>
      <c r="B937" s="11" t="s">
        <v>3073</v>
      </c>
      <c r="C937" s="11" t="s">
        <v>56</v>
      </c>
      <c r="D937" s="19">
        <v>48</v>
      </c>
      <c r="E937" s="11" t="s">
        <v>57</v>
      </c>
      <c r="F937" s="11" t="s">
        <v>29</v>
      </c>
      <c r="G937" s="11" t="s">
        <v>30</v>
      </c>
      <c r="H937" s="12">
        <v>46141</v>
      </c>
      <c r="I937" s="12" t="str">
        <f t="shared" si="16"/>
        <v>April</v>
      </c>
      <c r="J937" s="24">
        <v>0.45624999999999999</v>
      </c>
      <c r="K937" s="19">
        <v>3</v>
      </c>
      <c r="L937" s="12">
        <v>46141</v>
      </c>
      <c r="M937" s="24">
        <v>0.6645833333333333</v>
      </c>
      <c r="N937" s="11">
        <v>5</v>
      </c>
      <c r="O937" s="11" t="s">
        <v>34</v>
      </c>
      <c r="P937" s="11" t="s">
        <v>35</v>
      </c>
      <c r="Q937" s="11"/>
      <c r="R937" s="11" t="s">
        <v>36</v>
      </c>
      <c r="S937" s="19">
        <v>15</v>
      </c>
      <c r="T937" s="11" t="s">
        <v>49</v>
      </c>
      <c r="U937" s="11" t="s">
        <v>164</v>
      </c>
      <c r="V937" s="11">
        <v>4</v>
      </c>
      <c r="W937" s="11" t="s">
        <v>62</v>
      </c>
      <c r="X937" s="11" t="s">
        <v>51</v>
      </c>
      <c r="Y937" s="11" t="s">
        <v>41</v>
      </c>
      <c r="Z937" s="11" t="s">
        <v>53</v>
      </c>
      <c r="AA937" s="11" t="s">
        <v>3234</v>
      </c>
    </row>
    <row r="938" spans="1:27">
      <c r="A938" s="11" t="s">
        <v>3075</v>
      </c>
      <c r="B938" s="11" t="s">
        <v>3076</v>
      </c>
      <c r="C938" s="11" t="s">
        <v>27</v>
      </c>
      <c r="D938" s="19">
        <v>80</v>
      </c>
      <c r="E938" s="11" t="s">
        <v>92</v>
      </c>
      <c r="F938" s="11" t="s">
        <v>29</v>
      </c>
      <c r="G938" s="11" t="s">
        <v>93</v>
      </c>
      <c r="H938" s="12">
        <v>46162</v>
      </c>
      <c r="I938" s="12" t="str">
        <f t="shared" si="16"/>
        <v>May</v>
      </c>
      <c r="J938" s="24">
        <v>0.3611111111111111</v>
      </c>
      <c r="K938" s="19">
        <v>24</v>
      </c>
      <c r="L938" s="12">
        <v>46163</v>
      </c>
      <c r="M938" s="24">
        <v>0.40277777777777779</v>
      </c>
      <c r="N938" s="11">
        <v>25</v>
      </c>
      <c r="O938" s="11" t="s">
        <v>34</v>
      </c>
      <c r="P938" s="11" t="s">
        <v>35</v>
      </c>
      <c r="Q938" s="11"/>
      <c r="R938" s="11" t="s">
        <v>36</v>
      </c>
      <c r="S938" s="19">
        <v>50</v>
      </c>
      <c r="T938" s="11" t="s">
        <v>37</v>
      </c>
      <c r="U938" s="11" t="s">
        <v>38</v>
      </c>
      <c r="V938" s="11">
        <v>4</v>
      </c>
      <c r="W938" s="11" t="s">
        <v>39</v>
      </c>
      <c r="X938" s="11" t="s">
        <v>3334</v>
      </c>
      <c r="Y938" s="11" t="s">
        <v>109</v>
      </c>
      <c r="Z938" s="11" t="s">
        <v>42</v>
      </c>
      <c r="AA938" s="11" t="str">
        <f>IF(A938=" ", "Missing Value", " ")</f>
        <v xml:space="preserve"> </v>
      </c>
    </row>
    <row r="939" spans="1:27">
      <c r="A939" s="11" t="s">
        <v>3078</v>
      </c>
      <c r="B939" s="11" t="s">
        <v>3079</v>
      </c>
      <c r="C939" s="11" t="s">
        <v>27</v>
      </c>
      <c r="D939" s="19">
        <v>37</v>
      </c>
      <c r="E939" s="11" t="s">
        <v>149</v>
      </c>
      <c r="F939" s="11" t="s">
        <v>29</v>
      </c>
      <c r="G939" s="11" t="s">
        <v>83</v>
      </c>
      <c r="H939" s="12">
        <v>46198</v>
      </c>
      <c r="I939" s="12" t="str">
        <f t="shared" si="16"/>
        <v>June</v>
      </c>
      <c r="J939" s="24">
        <v>0.5541666666666667</v>
      </c>
      <c r="K939" s="19">
        <v>6</v>
      </c>
      <c r="L939" s="12">
        <v>46198</v>
      </c>
      <c r="M939" s="24">
        <v>0.76249999999999996</v>
      </c>
      <c r="N939" s="11">
        <v>5</v>
      </c>
      <c r="O939" s="11" t="s">
        <v>68</v>
      </c>
      <c r="P939" s="11" t="s">
        <v>35</v>
      </c>
      <c r="Q939" s="11"/>
      <c r="R939" s="11" t="s">
        <v>36</v>
      </c>
      <c r="S939" s="19">
        <v>40</v>
      </c>
      <c r="T939" s="11" t="s">
        <v>37</v>
      </c>
      <c r="U939" s="11" t="s">
        <v>38</v>
      </c>
      <c r="V939" s="11">
        <v>4</v>
      </c>
      <c r="W939" s="11" t="s">
        <v>70</v>
      </c>
      <c r="X939" s="11" t="s">
        <v>3334</v>
      </c>
      <c r="Y939" s="11" t="s">
        <v>109</v>
      </c>
      <c r="Z939" s="11" t="s">
        <v>53</v>
      </c>
      <c r="AA939" s="11" t="s">
        <v>3234</v>
      </c>
    </row>
    <row r="940" spans="1:27">
      <c r="A940" s="11" t="s">
        <v>3080</v>
      </c>
      <c r="B940" s="11" t="s">
        <v>3081</v>
      </c>
      <c r="C940" s="11" t="s">
        <v>56</v>
      </c>
      <c r="D940" s="19">
        <v>13</v>
      </c>
      <c r="E940" s="11" t="s">
        <v>28</v>
      </c>
      <c r="F940" s="11" t="s">
        <v>29</v>
      </c>
      <c r="G940" s="11" t="s">
        <v>30</v>
      </c>
      <c r="H940" s="12">
        <v>46117</v>
      </c>
      <c r="I940" s="12" t="str">
        <f t="shared" si="16"/>
        <v>April</v>
      </c>
      <c r="J940" s="24">
        <v>0.57708333333333328</v>
      </c>
      <c r="K940" s="19">
        <v>5</v>
      </c>
      <c r="L940" s="12">
        <v>46117</v>
      </c>
      <c r="M940" s="24">
        <v>0.86875000000000002</v>
      </c>
      <c r="N940" s="11">
        <v>7</v>
      </c>
      <c r="O940" s="11" t="s">
        <v>34</v>
      </c>
      <c r="P940" s="11" t="s">
        <v>35</v>
      </c>
      <c r="Q940" s="11"/>
      <c r="R940" s="11" t="s">
        <v>36</v>
      </c>
      <c r="S940" s="19">
        <v>35</v>
      </c>
      <c r="T940" s="11" t="s">
        <v>49</v>
      </c>
      <c r="U940" s="11" t="s">
        <v>96</v>
      </c>
      <c r="V940" s="11">
        <v>1</v>
      </c>
      <c r="W940" s="11" t="s">
        <v>62</v>
      </c>
      <c r="X940" s="11" t="s">
        <v>51</v>
      </c>
      <c r="Y940" s="11" t="s">
        <v>41</v>
      </c>
      <c r="Z940" s="11" t="s">
        <v>53</v>
      </c>
      <c r="AA940" s="11" t="str">
        <f>IF(A940=" ", "Missing Value", " ")</f>
        <v xml:space="preserve"> </v>
      </c>
    </row>
    <row r="941" spans="1:27">
      <c r="A941" s="11" t="s">
        <v>3083</v>
      </c>
      <c r="B941" s="11" t="s">
        <v>3084</v>
      </c>
      <c r="C941" s="11" t="s">
        <v>56</v>
      </c>
      <c r="D941" s="19">
        <v>12</v>
      </c>
      <c r="E941" s="11" t="s">
        <v>173</v>
      </c>
      <c r="F941" s="11" t="s">
        <v>29</v>
      </c>
      <c r="G941" s="11" t="s">
        <v>168</v>
      </c>
      <c r="H941" s="12">
        <v>46142</v>
      </c>
      <c r="I941" s="12" t="str">
        <f t="shared" si="16"/>
        <v>April</v>
      </c>
      <c r="J941" s="24">
        <v>0.3215277777777778</v>
      </c>
      <c r="K941" s="19">
        <v>4</v>
      </c>
      <c r="L941" s="12">
        <v>46142</v>
      </c>
      <c r="M941" s="24">
        <v>0.4465277777777778</v>
      </c>
      <c r="N941" s="11">
        <v>3</v>
      </c>
      <c r="O941" s="11" t="s">
        <v>68</v>
      </c>
      <c r="P941" s="11" t="s">
        <v>35</v>
      </c>
      <c r="Q941" s="11"/>
      <c r="R941" s="11" t="s">
        <v>36</v>
      </c>
      <c r="S941" s="19">
        <v>25</v>
      </c>
      <c r="T941" s="11" t="s">
        <v>37</v>
      </c>
      <c r="U941" s="11" t="s">
        <v>164</v>
      </c>
      <c r="V941" s="11">
        <v>2</v>
      </c>
      <c r="W941" s="11" t="s">
        <v>70</v>
      </c>
      <c r="X941" s="11" t="s">
        <v>3333</v>
      </c>
      <c r="Y941" s="11" t="s">
        <v>109</v>
      </c>
      <c r="Z941" s="11" t="s">
        <v>53</v>
      </c>
      <c r="AA941" s="11" t="s">
        <v>3234</v>
      </c>
    </row>
    <row r="942" spans="1:27">
      <c r="A942" s="11" t="s">
        <v>3085</v>
      </c>
      <c r="B942" s="11" t="s">
        <v>3086</v>
      </c>
      <c r="C942" s="11" t="s">
        <v>27</v>
      </c>
      <c r="D942" s="19">
        <v>9</v>
      </c>
      <c r="E942" s="11" t="s">
        <v>81</v>
      </c>
      <c r="F942" s="11" t="s">
        <v>82</v>
      </c>
      <c r="G942" s="11" t="s">
        <v>83</v>
      </c>
      <c r="H942" s="12">
        <v>46168</v>
      </c>
      <c r="I942" s="12" t="str">
        <f t="shared" si="16"/>
        <v>May</v>
      </c>
      <c r="J942" s="24">
        <v>0.6694444444444444</v>
      </c>
      <c r="K942" s="19">
        <v>8</v>
      </c>
      <c r="L942" s="12">
        <v>46169</v>
      </c>
      <c r="M942" s="24">
        <v>4.4444444444444446E-2</v>
      </c>
      <c r="N942" s="11">
        <v>9</v>
      </c>
      <c r="O942" s="11" t="s">
        <v>34</v>
      </c>
      <c r="P942" s="11" t="s">
        <v>270</v>
      </c>
      <c r="Q942" s="11" t="s">
        <v>620</v>
      </c>
      <c r="R942" s="11" t="s">
        <v>36</v>
      </c>
      <c r="S942" s="19">
        <v>20</v>
      </c>
      <c r="T942" s="11" t="s">
        <v>49</v>
      </c>
      <c r="U942" s="11" t="s">
        <v>96</v>
      </c>
      <c r="V942" s="11">
        <v>4</v>
      </c>
      <c r="W942" s="11" t="s">
        <v>89</v>
      </c>
      <c r="X942" s="11" t="s">
        <v>3333</v>
      </c>
      <c r="Y942" s="11" t="s">
        <v>52</v>
      </c>
      <c r="Z942" s="11" t="s">
        <v>71</v>
      </c>
      <c r="AA942" s="11" t="s">
        <v>3251</v>
      </c>
    </row>
    <row r="943" spans="1:27">
      <c r="A943" s="11" t="s">
        <v>3087</v>
      </c>
      <c r="B943" s="11" t="s">
        <v>2960</v>
      </c>
      <c r="C943" s="11" t="s">
        <v>56</v>
      </c>
      <c r="D943" s="19">
        <v>13</v>
      </c>
      <c r="E943" s="11" t="s">
        <v>28</v>
      </c>
      <c r="F943" s="11" t="s">
        <v>29</v>
      </c>
      <c r="G943" s="11" t="s">
        <v>58</v>
      </c>
      <c r="H943" s="12">
        <v>46144</v>
      </c>
      <c r="I943" s="12" t="str">
        <f t="shared" si="16"/>
        <v>May</v>
      </c>
      <c r="J943" s="24">
        <v>0.35902777777777778</v>
      </c>
      <c r="K943" s="19">
        <v>5</v>
      </c>
      <c r="L943" s="12">
        <v>46144</v>
      </c>
      <c r="M943" s="24">
        <v>0.69236111111111109</v>
      </c>
      <c r="N943" s="11">
        <v>8</v>
      </c>
      <c r="O943" s="11" t="s">
        <v>34</v>
      </c>
      <c r="P943" s="11" t="s">
        <v>35</v>
      </c>
      <c r="Q943" s="11"/>
      <c r="R943" s="11" t="s">
        <v>36</v>
      </c>
      <c r="S943" s="19">
        <v>35</v>
      </c>
      <c r="T943" s="11" t="s">
        <v>49</v>
      </c>
      <c r="U943" s="11" t="s">
        <v>164</v>
      </c>
      <c r="V943" s="11">
        <v>4</v>
      </c>
      <c r="W943" s="11" t="s">
        <v>62</v>
      </c>
      <c r="X943" s="11" t="s">
        <v>51</v>
      </c>
      <c r="Y943" s="11" t="s">
        <v>41</v>
      </c>
      <c r="Z943" s="11" t="s">
        <v>53</v>
      </c>
      <c r="AA943" s="11" t="s">
        <v>3243</v>
      </c>
    </row>
    <row r="944" spans="1:27">
      <c r="A944" s="11" t="s">
        <v>3089</v>
      </c>
      <c r="B944" s="11" t="s">
        <v>3090</v>
      </c>
      <c r="C944" s="11" t="s">
        <v>27</v>
      </c>
      <c r="D944" s="19">
        <v>9</v>
      </c>
      <c r="E944" s="11" t="s">
        <v>81</v>
      </c>
      <c r="F944" s="11" t="s">
        <v>82</v>
      </c>
      <c r="G944" s="11" t="s">
        <v>83</v>
      </c>
      <c r="H944" s="12">
        <v>46056</v>
      </c>
      <c r="I944" s="12" t="str">
        <f t="shared" si="16"/>
        <v>February</v>
      </c>
      <c r="J944" s="24">
        <v>0.42708333333333331</v>
      </c>
      <c r="K944" s="19">
        <v>8</v>
      </c>
      <c r="L944" s="12">
        <v>46057</v>
      </c>
      <c r="M944" s="24">
        <v>1.0416666666666666E-2</v>
      </c>
      <c r="N944" s="11">
        <v>14</v>
      </c>
      <c r="O944" s="11" t="s">
        <v>34</v>
      </c>
      <c r="P944" s="11" t="s">
        <v>35</v>
      </c>
      <c r="Q944" s="11"/>
      <c r="R944" s="11" t="s">
        <v>36</v>
      </c>
      <c r="S944" s="19">
        <v>20</v>
      </c>
      <c r="T944" s="11" t="s">
        <v>49</v>
      </c>
      <c r="U944" s="11" t="s">
        <v>96</v>
      </c>
      <c r="V944" s="11">
        <v>3</v>
      </c>
      <c r="W944" s="11" t="s">
        <v>39</v>
      </c>
      <c r="X944" s="11" t="s">
        <v>3325</v>
      </c>
      <c r="Y944" s="11" t="s">
        <v>41</v>
      </c>
      <c r="Z944" s="11" t="s">
        <v>42</v>
      </c>
      <c r="AA944" s="11" t="str">
        <f>IF(A944=" ", "Missing Value", " ")</f>
        <v xml:space="preserve"> </v>
      </c>
    </row>
    <row r="945" spans="1:27">
      <c r="A945" s="11" t="s">
        <v>3092</v>
      </c>
      <c r="B945" s="11" t="s">
        <v>3093</v>
      </c>
      <c r="C945" s="11" t="s">
        <v>56</v>
      </c>
      <c r="D945" s="19">
        <v>40</v>
      </c>
      <c r="E945" s="11" t="s">
        <v>81</v>
      </c>
      <c r="F945" s="11" t="s">
        <v>82</v>
      </c>
      <c r="G945" s="11" t="s">
        <v>168</v>
      </c>
      <c r="H945" s="12">
        <v>46051</v>
      </c>
      <c r="I945" s="12" t="str">
        <f t="shared" si="16"/>
        <v>January</v>
      </c>
      <c r="J945" s="24">
        <v>0.47708333333333336</v>
      </c>
      <c r="K945" s="19">
        <v>8</v>
      </c>
      <c r="L945" s="12">
        <v>46052</v>
      </c>
      <c r="M945" s="24">
        <v>1.8749999999999999E-2</v>
      </c>
      <c r="N945" s="11">
        <v>13</v>
      </c>
      <c r="O945" s="11" t="s">
        <v>34</v>
      </c>
      <c r="P945" s="11" t="s">
        <v>35</v>
      </c>
      <c r="Q945" s="11"/>
      <c r="R945" s="11" t="s">
        <v>36</v>
      </c>
      <c r="S945" s="19">
        <v>20</v>
      </c>
      <c r="T945" s="11" t="s">
        <v>49</v>
      </c>
      <c r="U945" s="11" t="s">
        <v>164</v>
      </c>
      <c r="V945" s="11">
        <v>1</v>
      </c>
      <c r="W945" s="11" t="s">
        <v>89</v>
      </c>
      <c r="X945" s="11" t="s">
        <v>3334</v>
      </c>
      <c r="Y945" s="11" t="s">
        <v>41</v>
      </c>
      <c r="Z945" s="11" t="s">
        <v>53</v>
      </c>
      <c r="AA945" s="11" t="s">
        <v>3234</v>
      </c>
    </row>
    <row r="946" spans="1:27">
      <c r="A946" s="11" t="s">
        <v>3094</v>
      </c>
      <c r="B946" s="11" t="s">
        <v>3095</v>
      </c>
      <c r="C946" s="11" t="s">
        <v>27</v>
      </c>
      <c r="D946" s="19">
        <v>81</v>
      </c>
      <c r="E946" s="11" t="s">
        <v>57</v>
      </c>
      <c r="F946" s="11" t="s">
        <v>29</v>
      </c>
      <c r="G946" s="11" t="s">
        <v>58</v>
      </c>
      <c r="H946" s="12">
        <v>46195</v>
      </c>
      <c r="I946" s="12" t="str">
        <f t="shared" si="16"/>
        <v>June</v>
      </c>
      <c r="J946" s="24">
        <v>0.47361111111111109</v>
      </c>
      <c r="K946" s="19">
        <v>3</v>
      </c>
      <c r="L946" s="12">
        <v>46195</v>
      </c>
      <c r="M946" s="24">
        <v>0.72361111111111109</v>
      </c>
      <c r="N946" s="11">
        <v>6</v>
      </c>
      <c r="O946" s="11" t="s">
        <v>34</v>
      </c>
      <c r="P946" s="11" t="s">
        <v>35</v>
      </c>
      <c r="Q946" s="11"/>
      <c r="R946" s="11" t="s">
        <v>36</v>
      </c>
      <c r="S946" s="19">
        <v>15</v>
      </c>
      <c r="T946" s="11" t="s">
        <v>37</v>
      </c>
      <c r="U946" s="11" t="s">
        <v>96</v>
      </c>
      <c r="V946" s="11">
        <v>3</v>
      </c>
      <c r="W946" s="11" t="s">
        <v>70</v>
      </c>
      <c r="X946" s="11" t="s">
        <v>3334</v>
      </c>
      <c r="Y946" s="11" t="s">
        <v>109</v>
      </c>
      <c r="Z946" s="11" t="s">
        <v>53</v>
      </c>
      <c r="AA946" s="11"/>
    </row>
    <row r="947" spans="1:27">
      <c r="A947" s="11" t="s">
        <v>3096</v>
      </c>
      <c r="B947" s="11" t="s">
        <v>3097</v>
      </c>
      <c r="C947" s="11" t="s">
        <v>27</v>
      </c>
      <c r="D947" s="19">
        <v>59</v>
      </c>
      <c r="E947" s="11" t="s">
        <v>92</v>
      </c>
      <c r="F947" s="11" t="s">
        <v>29</v>
      </c>
      <c r="G947" s="11" t="s">
        <v>93</v>
      </c>
      <c r="H947" s="12">
        <v>46064</v>
      </c>
      <c r="I947" s="12" t="str">
        <f t="shared" si="16"/>
        <v>February</v>
      </c>
      <c r="J947" s="24">
        <v>0.63263888888888886</v>
      </c>
      <c r="K947" s="19">
        <v>24</v>
      </c>
      <c r="L947" s="12">
        <v>46065</v>
      </c>
      <c r="M947" s="24">
        <v>0.9243055555555556</v>
      </c>
      <c r="N947" s="11">
        <v>31</v>
      </c>
      <c r="O947" s="11" t="s">
        <v>34</v>
      </c>
      <c r="P947" s="11" t="s">
        <v>35</v>
      </c>
      <c r="Q947" s="11"/>
      <c r="R947" s="11" t="s">
        <v>132</v>
      </c>
      <c r="S947" s="19">
        <v>50</v>
      </c>
      <c r="T947" s="11" t="s">
        <v>49</v>
      </c>
      <c r="U947" s="11" t="s">
        <v>96</v>
      </c>
      <c r="V947" s="11">
        <v>1</v>
      </c>
      <c r="W947" s="11" t="s">
        <v>62</v>
      </c>
      <c r="X947" s="11" t="s">
        <v>51</v>
      </c>
      <c r="Y947" s="11" t="s">
        <v>109</v>
      </c>
      <c r="Z947" s="11" t="s">
        <v>53</v>
      </c>
      <c r="AA947" s="11" t="s">
        <v>3262</v>
      </c>
    </row>
    <row r="948" spans="1:27">
      <c r="A948" s="11" t="s">
        <v>3099</v>
      </c>
      <c r="B948" s="11" t="s">
        <v>3100</v>
      </c>
      <c r="C948" s="11" t="s">
        <v>27</v>
      </c>
      <c r="D948" s="19">
        <v>85</v>
      </c>
      <c r="E948" s="11" t="s">
        <v>92</v>
      </c>
      <c r="F948" s="11" t="s">
        <v>29</v>
      </c>
      <c r="G948" s="11" t="s">
        <v>93</v>
      </c>
      <c r="H948" s="12">
        <v>46085</v>
      </c>
      <c r="I948" s="12" t="str">
        <f t="shared" si="16"/>
        <v>March</v>
      </c>
      <c r="J948" s="24">
        <v>0.61111111111111116</v>
      </c>
      <c r="K948" s="19">
        <v>24</v>
      </c>
      <c r="L948" s="12">
        <v>46086</v>
      </c>
      <c r="M948" s="24">
        <v>0.73611111111111116</v>
      </c>
      <c r="N948" s="11">
        <v>27</v>
      </c>
      <c r="O948" s="11" t="s">
        <v>34</v>
      </c>
      <c r="P948" s="11" t="s">
        <v>35</v>
      </c>
      <c r="Q948" s="11"/>
      <c r="R948" s="11" t="s">
        <v>36</v>
      </c>
      <c r="S948" s="19">
        <v>50</v>
      </c>
      <c r="T948" s="11" t="s">
        <v>49</v>
      </c>
      <c r="U948" s="11" t="s">
        <v>164</v>
      </c>
      <c r="V948" s="11">
        <v>5</v>
      </c>
      <c r="W948" s="11" t="s">
        <v>39</v>
      </c>
      <c r="X948" s="11" t="s">
        <v>3333</v>
      </c>
      <c r="Y948" s="11" t="s">
        <v>41</v>
      </c>
      <c r="Z948" s="11" t="s">
        <v>71</v>
      </c>
      <c r="AA948" s="11" t="str">
        <f>IF(A948=" ", "Missing Value", " ")</f>
        <v xml:space="preserve"> </v>
      </c>
    </row>
    <row r="949" spans="1:27">
      <c r="A949" s="11" t="s">
        <v>3101</v>
      </c>
      <c r="B949" s="11" t="s">
        <v>3102</v>
      </c>
      <c r="C949" s="11" t="s">
        <v>27</v>
      </c>
      <c r="D949" s="19">
        <v>22</v>
      </c>
      <c r="E949" s="11" t="s">
        <v>173</v>
      </c>
      <c r="F949" s="11" t="s">
        <v>29</v>
      </c>
      <c r="G949" s="11" t="s">
        <v>168</v>
      </c>
      <c r="H949" s="12">
        <v>46049</v>
      </c>
      <c r="I949" s="12" t="str">
        <f t="shared" si="16"/>
        <v>January</v>
      </c>
      <c r="J949" s="24">
        <v>0.70625000000000004</v>
      </c>
      <c r="K949" s="19">
        <v>4</v>
      </c>
      <c r="L949" s="12">
        <v>46049</v>
      </c>
      <c r="M949" s="24">
        <v>0.87291666666666667</v>
      </c>
      <c r="N949" s="11">
        <v>4</v>
      </c>
      <c r="O949" s="11" t="s">
        <v>68</v>
      </c>
      <c r="P949" s="11" t="s">
        <v>35</v>
      </c>
      <c r="Q949" s="11"/>
      <c r="R949" s="11" t="s">
        <v>36</v>
      </c>
      <c r="S949" s="19">
        <v>25</v>
      </c>
      <c r="T949" s="11" t="s">
        <v>49</v>
      </c>
      <c r="U949" s="11" t="s">
        <v>96</v>
      </c>
      <c r="V949" s="11">
        <v>5</v>
      </c>
      <c r="W949" s="11" t="s">
        <v>39</v>
      </c>
      <c r="X949" s="11" t="s">
        <v>3325</v>
      </c>
      <c r="Y949" s="11" t="s">
        <v>41</v>
      </c>
      <c r="Z949" s="11" t="s">
        <v>71</v>
      </c>
      <c r="AA949" s="11" t="s">
        <v>3234</v>
      </c>
    </row>
    <row r="950" spans="1:27">
      <c r="A950" s="11" t="s">
        <v>3104</v>
      </c>
      <c r="B950" s="11" t="s">
        <v>3105</v>
      </c>
      <c r="C950" s="11" t="s">
        <v>27</v>
      </c>
      <c r="D950" s="19">
        <v>67</v>
      </c>
      <c r="E950" s="11" t="s">
        <v>92</v>
      </c>
      <c r="F950" s="11" t="s">
        <v>29</v>
      </c>
      <c r="G950" s="11" t="s">
        <v>30</v>
      </c>
      <c r="H950" s="12">
        <v>46153</v>
      </c>
      <c r="I950" s="12" t="str">
        <f t="shared" si="16"/>
        <v>May</v>
      </c>
      <c r="J950" s="24">
        <v>0.4201388888888889</v>
      </c>
      <c r="K950" s="19">
        <v>24</v>
      </c>
      <c r="L950" s="12">
        <v>46154</v>
      </c>
      <c r="M950" s="24">
        <v>0.58680555555555558</v>
      </c>
      <c r="N950" s="11">
        <v>28</v>
      </c>
      <c r="O950" s="11" t="s">
        <v>34</v>
      </c>
      <c r="P950" s="11" t="s">
        <v>35</v>
      </c>
      <c r="Q950" s="11"/>
      <c r="R950" s="11" t="s">
        <v>36</v>
      </c>
      <c r="S950" s="19">
        <v>50</v>
      </c>
      <c r="T950" s="11" t="s">
        <v>49</v>
      </c>
      <c r="U950" s="11" t="s">
        <v>164</v>
      </c>
      <c r="V950" s="11">
        <v>5</v>
      </c>
      <c r="W950" s="11" t="s">
        <v>70</v>
      </c>
      <c r="X950" s="11" t="s">
        <v>3325</v>
      </c>
      <c r="Y950" s="11" t="s">
        <v>109</v>
      </c>
      <c r="Z950" s="11" t="s">
        <v>42</v>
      </c>
      <c r="AA950" s="11" t="s">
        <v>3234</v>
      </c>
    </row>
    <row r="951" spans="1:27">
      <c r="A951" s="11" t="s">
        <v>3106</v>
      </c>
      <c r="B951" s="11" t="s">
        <v>3107</v>
      </c>
      <c r="C951" s="11" t="s">
        <v>27</v>
      </c>
      <c r="D951" s="19">
        <v>29</v>
      </c>
      <c r="E951" s="11" t="s">
        <v>149</v>
      </c>
      <c r="F951" s="11" t="s">
        <v>29</v>
      </c>
      <c r="G951" s="11" t="s">
        <v>30</v>
      </c>
      <c r="H951" s="12">
        <v>46024</v>
      </c>
      <c r="I951" s="12" t="str">
        <f t="shared" si="16"/>
        <v>January</v>
      </c>
      <c r="J951" s="24">
        <v>0.70138888888888884</v>
      </c>
      <c r="K951" s="19">
        <v>6</v>
      </c>
      <c r="L951" s="12">
        <v>46025</v>
      </c>
      <c r="M951" s="24">
        <v>0.24305555555555555</v>
      </c>
      <c r="N951" s="11">
        <v>13</v>
      </c>
      <c r="O951" s="11" t="s">
        <v>34</v>
      </c>
      <c r="P951" s="11" t="s">
        <v>35</v>
      </c>
      <c r="Q951" s="11"/>
      <c r="R951" s="11" t="s">
        <v>36</v>
      </c>
      <c r="S951" s="19">
        <v>40</v>
      </c>
      <c r="T951" s="11" t="s">
        <v>37</v>
      </c>
      <c r="U951" s="11" t="s">
        <v>164</v>
      </c>
      <c r="V951" s="11">
        <v>3</v>
      </c>
      <c r="W951" s="11" t="s">
        <v>89</v>
      </c>
      <c r="X951" s="11" t="s">
        <v>51</v>
      </c>
      <c r="Y951" s="11" t="s">
        <v>41</v>
      </c>
      <c r="Z951" s="11" t="s">
        <v>53</v>
      </c>
      <c r="AA951" s="11" t="str">
        <f>IF(A951=" ", "Missing Value", " ")</f>
        <v xml:space="preserve"> </v>
      </c>
    </row>
    <row r="952" spans="1:27">
      <c r="A952" s="11" t="s">
        <v>3108</v>
      </c>
      <c r="B952" s="11" t="s">
        <v>3109</v>
      </c>
      <c r="C952" s="11" t="s">
        <v>56</v>
      </c>
      <c r="D952" s="19">
        <v>56</v>
      </c>
      <c r="E952" s="11" t="s">
        <v>149</v>
      </c>
      <c r="F952" s="11" t="s">
        <v>29</v>
      </c>
      <c r="G952" s="11" t="s">
        <v>83</v>
      </c>
      <c r="H952" s="12">
        <v>46190</v>
      </c>
      <c r="I952" s="12" t="str">
        <f t="shared" si="16"/>
        <v>June</v>
      </c>
      <c r="J952" s="24">
        <v>0.60902777777777772</v>
      </c>
      <c r="K952" s="19">
        <v>6</v>
      </c>
      <c r="L952" s="12">
        <v>46190</v>
      </c>
      <c r="M952" s="24">
        <v>0.98402777777777772</v>
      </c>
      <c r="N952" s="11">
        <v>9</v>
      </c>
      <c r="O952" s="11" t="s">
        <v>34</v>
      </c>
      <c r="P952" s="11" t="s">
        <v>35</v>
      </c>
      <c r="Q952" s="11"/>
      <c r="R952" s="11" t="s">
        <v>36</v>
      </c>
      <c r="S952" s="19">
        <v>40</v>
      </c>
      <c r="T952" s="11" t="s">
        <v>49</v>
      </c>
      <c r="U952" s="11" t="s">
        <v>96</v>
      </c>
      <c r="V952" s="11">
        <v>2</v>
      </c>
      <c r="W952" s="11" t="s">
        <v>62</v>
      </c>
      <c r="X952" s="11" t="s">
        <v>3334</v>
      </c>
      <c r="Y952" s="11" t="s">
        <v>52</v>
      </c>
      <c r="Z952" s="11" t="s">
        <v>71</v>
      </c>
      <c r="AA952" s="11" t="s">
        <v>3234</v>
      </c>
    </row>
    <row r="953" spans="1:27">
      <c r="A953" s="11" t="s">
        <v>3110</v>
      </c>
      <c r="B953" s="11" t="s">
        <v>3111</v>
      </c>
      <c r="C953" s="11" t="s">
        <v>27</v>
      </c>
      <c r="D953" s="19">
        <v>72</v>
      </c>
      <c r="E953" s="11" t="s">
        <v>81</v>
      </c>
      <c r="F953" s="11" t="s">
        <v>82</v>
      </c>
      <c r="G953" s="11" t="s">
        <v>83</v>
      </c>
      <c r="H953" s="12">
        <v>46182</v>
      </c>
      <c r="I953" s="12" t="str">
        <f t="shared" si="16"/>
        <v>June</v>
      </c>
      <c r="J953" s="24">
        <v>0.34583333333333333</v>
      </c>
      <c r="K953" s="19">
        <v>8</v>
      </c>
      <c r="L953" s="12">
        <v>46182</v>
      </c>
      <c r="M953" s="24">
        <v>0.88749999999999996</v>
      </c>
      <c r="N953" s="11">
        <v>13</v>
      </c>
      <c r="O953" s="11" t="s">
        <v>34</v>
      </c>
      <c r="P953" s="11" t="s">
        <v>35</v>
      </c>
      <c r="Q953" s="11"/>
      <c r="R953" s="11" t="s">
        <v>36</v>
      </c>
      <c r="S953" s="19">
        <v>20</v>
      </c>
      <c r="T953" s="11" t="s">
        <v>49</v>
      </c>
      <c r="U953" s="11" t="s">
        <v>38</v>
      </c>
      <c r="V953" s="11">
        <v>1</v>
      </c>
      <c r="W953" s="11" t="s">
        <v>39</v>
      </c>
      <c r="X953" s="11" t="s">
        <v>3333</v>
      </c>
      <c r="Y953" s="11" t="s">
        <v>109</v>
      </c>
      <c r="Z953" s="11" t="s">
        <v>53</v>
      </c>
      <c r="AA953" s="11" t="str">
        <f>IF(A953=" ", "Missing Value", " ")</f>
        <v xml:space="preserve"> </v>
      </c>
    </row>
    <row r="954" spans="1:27">
      <c r="A954" s="11" t="s">
        <v>3112</v>
      </c>
      <c r="B954" s="11" t="s">
        <v>3113</v>
      </c>
      <c r="C954" s="11" t="s">
        <v>27</v>
      </c>
      <c r="D954" s="19">
        <v>68</v>
      </c>
      <c r="E954" s="11" t="s">
        <v>149</v>
      </c>
      <c r="F954" s="11" t="s">
        <v>29</v>
      </c>
      <c r="G954" s="11" t="s">
        <v>30</v>
      </c>
      <c r="H954" s="12">
        <v>46200</v>
      </c>
      <c r="I954" s="12" t="str">
        <f t="shared" si="16"/>
        <v>June</v>
      </c>
      <c r="J954" s="24">
        <v>0.6430555555555556</v>
      </c>
      <c r="K954" s="19">
        <v>6</v>
      </c>
      <c r="L954" s="12">
        <v>46200</v>
      </c>
      <c r="M954" s="24">
        <v>0.97638888888888886</v>
      </c>
      <c r="N954" s="11">
        <v>8</v>
      </c>
      <c r="O954" s="11" t="s">
        <v>34</v>
      </c>
      <c r="P954" s="11" t="s">
        <v>35</v>
      </c>
      <c r="Q954" s="11"/>
      <c r="R954" s="11" t="s">
        <v>36</v>
      </c>
      <c r="S954" s="19">
        <v>40</v>
      </c>
      <c r="T954" s="11" t="s">
        <v>49</v>
      </c>
      <c r="U954" s="11" t="s">
        <v>164</v>
      </c>
      <c r="V954" s="11">
        <v>4</v>
      </c>
      <c r="W954" s="11" t="s">
        <v>70</v>
      </c>
      <c r="X954" s="11" t="s">
        <v>3325</v>
      </c>
      <c r="Y954" s="11" t="s">
        <v>109</v>
      </c>
      <c r="Z954" s="11" t="s">
        <v>53</v>
      </c>
      <c r="AA954" s="11" t="str">
        <f>IF(A954=" ", "Missing Value", " ")</f>
        <v xml:space="preserve"> </v>
      </c>
    </row>
    <row r="955" spans="1:27">
      <c r="A955" s="11" t="s">
        <v>3116</v>
      </c>
      <c r="B955" s="11" t="s">
        <v>3117</v>
      </c>
      <c r="C955" s="11" t="s">
        <v>56</v>
      </c>
      <c r="D955" s="19">
        <v>24</v>
      </c>
      <c r="E955" s="11" t="s">
        <v>57</v>
      </c>
      <c r="F955" s="11" t="s">
        <v>29</v>
      </c>
      <c r="G955" s="11" t="s">
        <v>58</v>
      </c>
      <c r="H955" s="12">
        <v>46043</v>
      </c>
      <c r="I955" s="12" t="str">
        <f t="shared" si="16"/>
        <v>January</v>
      </c>
      <c r="J955" s="24">
        <v>0.42222222222222222</v>
      </c>
      <c r="K955" s="19">
        <v>3</v>
      </c>
      <c r="L955" s="12">
        <v>46043</v>
      </c>
      <c r="M955" s="24">
        <v>0.75555555555555554</v>
      </c>
      <c r="N955" s="11">
        <v>8</v>
      </c>
      <c r="O955" s="11" t="s">
        <v>34</v>
      </c>
      <c r="P955" s="11" t="s">
        <v>35</v>
      </c>
      <c r="Q955" s="11"/>
      <c r="R955" s="11" t="s">
        <v>36</v>
      </c>
      <c r="S955" s="19">
        <v>15</v>
      </c>
      <c r="T955" s="11" t="s">
        <v>37</v>
      </c>
      <c r="U955" s="11" t="s">
        <v>96</v>
      </c>
      <c r="V955" s="11">
        <v>5</v>
      </c>
      <c r="W955" s="11" t="s">
        <v>89</v>
      </c>
      <c r="X955" s="11" t="s">
        <v>51</v>
      </c>
      <c r="Y955" s="11" t="s">
        <v>41</v>
      </c>
      <c r="Z955" s="11" t="s">
        <v>53</v>
      </c>
      <c r="AA955" s="11"/>
    </row>
    <row r="956" spans="1:27">
      <c r="A956" s="11" t="s">
        <v>3119</v>
      </c>
      <c r="B956" s="11" t="s">
        <v>3120</v>
      </c>
      <c r="C956" s="11" t="s">
        <v>27</v>
      </c>
      <c r="D956" s="19">
        <v>42</v>
      </c>
      <c r="E956" s="11" t="s">
        <v>173</v>
      </c>
      <c r="F956" s="11" t="s">
        <v>29</v>
      </c>
      <c r="G956" s="11" t="s">
        <v>168</v>
      </c>
      <c r="H956" s="12">
        <v>46109</v>
      </c>
      <c r="I956" s="12" t="str">
        <f t="shared" si="16"/>
        <v>March</v>
      </c>
      <c r="J956" s="24">
        <v>0.37986111111111109</v>
      </c>
      <c r="K956" s="19">
        <v>4</v>
      </c>
      <c r="L956" s="12">
        <v>46109</v>
      </c>
      <c r="M956" s="24">
        <v>0.54652777777777772</v>
      </c>
      <c r="N956" s="11">
        <v>4</v>
      </c>
      <c r="O956" s="11" t="s">
        <v>68</v>
      </c>
      <c r="P956" s="11" t="s">
        <v>35</v>
      </c>
      <c r="Q956" s="11"/>
      <c r="R956" s="11" t="s">
        <v>36</v>
      </c>
      <c r="S956" s="19">
        <v>25</v>
      </c>
      <c r="T956" s="11" t="s">
        <v>49</v>
      </c>
      <c r="U956" s="11" t="s">
        <v>164</v>
      </c>
      <c r="V956" s="11">
        <v>4</v>
      </c>
      <c r="W956" s="11" t="s">
        <v>89</v>
      </c>
      <c r="X956" s="11" t="s">
        <v>51</v>
      </c>
      <c r="Y956" s="11" t="s">
        <v>52</v>
      </c>
      <c r="Z956" s="11" t="s">
        <v>53</v>
      </c>
      <c r="AA956" s="11" t="s">
        <v>3234</v>
      </c>
    </row>
    <row r="957" spans="1:27">
      <c r="A957" s="11" t="s">
        <v>3121</v>
      </c>
      <c r="B957" s="11" t="s">
        <v>3122</v>
      </c>
      <c r="C957" s="11" t="s">
        <v>56</v>
      </c>
      <c r="D957" s="19">
        <v>56</v>
      </c>
      <c r="E957" s="11" t="s">
        <v>57</v>
      </c>
      <c r="F957" s="11" t="s">
        <v>29</v>
      </c>
      <c r="G957" s="11" t="s">
        <v>58</v>
      </c>
      <c r="H957" s="12">
        <v>46203</v>
      </c>
      <c r="I957" s="12" t="str">
        <f t="shared" si="16"/>
        <v>June</v>
      </c>
      <c r="J957" s="24">
        <v>0.3215277777777778</v>
      </c>
      <c r="K957" s="19">
        <v>3</v>
      </c>
      <c r="L957" s="12">
        <v>46203</v>
      </c>
      <c r="M957" s="24">
        <v>0.77986111111111112</v>
      </c>
      <c r="N957" s="11">
        <v>11</v>
      </c>
      <c r="O957" s="11" t="s">
        <v>34</v>
      </c>
      <c r="P957" s="11" t="s">
        <v>35</v>
      </c>
      <c r="Q957" s="11"/>
      <c r="R957" s="11" t="s">
        <v>36</v>
      </c>
      <c r="S957" s="19">
        <v>15</v>
      </c>
      <c r="T957" s="11" t="s">
        <v>37</v>
      </c>
      <c r="U957" s="11" t="s">
        <v>96</v>
      </c>
      <c r="V957" s="11">
        <v>2</v>
      </c>
      <c r="W957" s="11" t="s">
        <v>89</v>
      </c>
      <c r="X957" s="11" t="s">
        <v>3325</v>
      </c>
      <c r="Y957" s="11" t="s">
        <v>52</v>
      </c>
      <c r="Z957" s="11" t="s">
        <v>71</v>
      </c>
      <c r="AA957" s="11"/>
    </row>
    <row r="958" spans="1:27">
      <c r="A958" s="11" t="s">
        <v>3124</v>
      </c>
      <c r="B958" s="11" t="s">
        <v>3125</v>
      </c>
      <c r="C958" s="11" t="s">
        <v>56</v>
      </c>
      <c r="D958" s="19">
        <v>78</v>
      </c>
      <c r="E958" s="11" t="s">
        <v>149</v>
      </c>
      <c r="F958" s="11" t="s">
        <v>29</v>
      </c>
      <c r="G958" s="11" t="s">
        <v>30</v>
      </c>
      <c r="H958" s="12">
        <v>46107</v>
      </c>
      <c r="I958" s="12" t="str">
        <f t="shared" si="16"/>
        <v>March</v>
      </c>
      <c r="J958" s="24">
        <v>0.65694444444444444</v>
      </c>
      <c r="K958" s="19">
        <v>6</v>
      </c>
      <c r="L958" s="12">
        <v>46108</v>
      </c>
      <c r="M958" s="24">
        <v>0.15694444444444444</v>
      </c>
      <c r="N958" s="11">
        <v>12</v>
      </c>
      <c r="O958" s="11" t="s">
        <v>34</v>
      </c>
      <c r="P958" s="11" t="s">
        <v>35</v>
      </c>
      <c r="Q958" s="11"/>
      <c r="R958" s="11" t="s">
        <v>36</v>
      </c>
      <c r="S958" s="19">
        <v>40</v>
      </c>
      <c r="T958" s="11" t="s">
        <v>37</v>
      </c>
      <c r="U958" s="11" t="s">
        <v>38</v>
      </c>
      <c r="V958" s="11">
        <v>4</v>
      </c>
      <c r="W958" s="11" t="s">
        <v>89</v>
      </c>
      <c r="X958" s="11" t="s">
        <v>3325</v>
      </c>
      <c r="Y958" s="11" t="s">
        <v>52</v>
      </c>
      <c r="Z958" s="11" t="s">
        <v>71</v>
      </c>
      <c r="AA958" s="11" t="str">
        <f>IF(A958=" ", "Missing Value", " ")</f>
        <v xml:space="preserve"> </v>
      </c>
    </row>
    <row r="959" spans="1:27">
      <c r="A959" s="11" t="s">
        <v>3127</v>
      </c>
      <c r="B959" s="11" t="s">
        <v>3128</v>
      </c>
      <c r="C959" s="11" t="s">
        <v>27</v>
      </c>
      <c r="D959" s="19">
        <v>37</v>
      </c>
      <c r="E959" s="11" t="s">
        <v>149</v>
      </c>
      <c r="F959" s="11" t="s">
        <v>29</v>
      </c>
      <c r="G959" s="11" t="s">
        <v>30</v>
      </c>
      <c r="H959" s="12">
        <v>46110</v>
      </c>
      <c r="I959" s="12" t="str">
        <f t="shared" si="16"/>
        <v>March</v>
      </c>
      <c r="J959" s="24">
        <v>0.29652777777777778</v>
      </c>
      <c r="K959" s="19">
        <v>6</v>
      </c>
      <c r="L959" s="12">
        <v>46110</v>
      </c>
      <c r="M959" s="24">
        <v>0.67152777777777772</v>
      </c>
      <c r="N959" s="11">
        <v>9</v>
      </c>
      <c r="O959" s="11" t="s">
        <v>34</v>
      </c>
      <c r="P959" s="11" t="s">
        <v>35</v>
      </c>
      <c r="Q959" s="11"/>
      <c r="R959" s="11" t="s">
        <v>36</v>
      </c>
      <c r="S959" s="19">
        <v>40</v>
      </c>
      <c r="T959" s="11" t="s">
        <v>49</v>
      </c>
      <c r="U959" s="11" t="s">
        <v>38</v>
      </c>
      <c r="V959" s="11">
        <v>3</v>
      </c>
      <c r="W959" s="11" t="s">
        <v>62</v>
      </c>
      <c r="X959" s="11" t="s">
        <v>3325</v>
      </c>
      <c r="Y959" s="11" t="s">
        <v>41</v>
      </c>
      <c r="Z959" s="11" t="s">
        <v>71</v>
      </c>
      <c r="AA959" s="11" t="str">
        <f>IF(A959=" ", "Missing Value", " ")</f>
        <v xml:space="preserve"> </v>
      </c>
    </row>
    <row r="960" spans="1:27">
      <c r="A960" s="11" t="s">
        <v>3129</v>
      </c>
      <c r="B960" s="11" t="s">
        <v>3130</v>
      </c>
      <c r="C960" s="11" t="s">
        <v>27</v>
      </c>
      <c r="D960" s="19">
        <v>24</v>
      </c>
      <c r="E960" s="11" t="s">
        <v>28</v>
      </c>
      <c r="F960" s="11" t="s">
        <v>29</v>
      </c>
      <c r="G960" s="11" t="s">
        <v>30</v>
      </c>
      <c r="H960" s="12">
        <v>46053</v>
      </c>
      <c r="I960" s="12" t="str">
        <f t="shared" si="16"/>
        <v>January</v>
      </c>
      <c r="J960" s="24">
        <v>0.58888888888888891</v>
      </c>
      <c r="K960" s="19">
        <v>5</v>
      </c>
      <c r="L960" s="12">
        <v>46053</v>
      </c>
      <c r="M960" s="24">
        <v>0.88055555555555554</v>
      </c>
      <c r="N960" s="11">
        <v>7</v>
      </c>
      <c r="O960" s="11" t="s">
        <v>34</v>
      </c>
      <c r="P960" s="11" t="s">
        <v>35</v>
      </c>
      <c r="Q960" s="11"/>
      <c r="R960" s="11" t="s">
        <v>36</v>
      </c>
      <c r="S960" s="19">
        <v>35</v>
      </c>
      <c r="T960" s="11" t="s">
        <v>49</v>
      </c>
      <c r="U960" s="11" t="s">
        <v>96</v>
      </c>
      <c r="V960" s="11">
        <v>2</v>
      </c>
      <c r="W960" s="11" t="s">
        <v>70</v>
      </c>
      <c r="X960" s="11" t="s">
        <v>51</v>
      </c>
      <c r="Y960" s="11" t="s">
        <v>41</v>
      </c>
      <c r="Z960" s="11" t="s">
        <v>53</v>
      </c>
      <c r="AA960" s="11" t="str">
        <f>IF(A960=" ", "Missing Value", " ")</f>
        <v xml:space="preserve"> </v>
      </c>
    </row>
    <row r="961" spans="1:33">
      <c r="A961" s="11" t="s">
        <v>3131</v>
      </c>
      <c r="B961" s="11" t="s">
        <v>3132</v>
      </c>
      <c r="C961" s="11" t="s">
        <v>56</v>
      </c>
      <c r="D961" s="19">
        <v>6</v>
      </c>
      <c r="E961" s="11" t="s">
        <v>149</v>
      </c>
      <c r="F961" s="11" t="s">
        <v>29</v>
      </c>
      <c r="G961" s="11" t="s">
        <v>93</v>
      </c>
      <c r="H961" s="12">
        <v>46166</v>
      </c>
      <c r="I961" s="12" t="str">
        <f t="shared" si="16"/>
        <v>May</v>
      </c>
      <c r="J961" s="24">
        <v>0.59791666666666665</v>
      </c>
      <c r="K961" s="19">
        <v>6</v>
      </c>
      <c r="L961" s="12">
        <v>46166</v>
      </c>
      <c r="M961" s="24">
        <v>0.97291666666666665</v>
      </c>
      <c r="N961" s="11">
        <v>9</v>
      </c>
      <c r="O961" s="11" t="s">
        <v>34</v>
      </c>
      <c r="P961" s="11" t="s">
        <v>35</v>
      </c>
      <c r="Q961" s="11"/>
      <c r="R961" s="11" t="s">
        <v>36</v>
      </c>
      <c r="S961" s="19">
        <v>40</v>
      </c>
      <c r="T961" s="11" t="s">
        <v>37</v>
      </c>
      <c r="U961" s="11" t="s">
        <v>164</v>
      </c>
      <c r="V961" s="11">
        <v>2</v>
      </c>
      <c r="W961" s="11" t="s">
        <v>62</v>
      </c>
      <c r="X961" s="11" t="s">
        <v>3334</v>
      </c>
      <c r="Y961" s="11" t="s">
        <v>109</v>
      </c>
      <c r="Z961" s="11" t="s">
        <v>71</v>
      </c>
      <c r="AA961" s="11" t="s">
        <v>3234</v>
      </c>
    </row>
    <row r="962" spans="1:33">
      <c r="A962" s="11" t="s">
        <v>3133</v>
      </c>
      <c r="B962" s="11" t="s">
        <v>3134</v>
      </c>
      <c r="C962" s="11" t="s">
        <v>56</v>
      </c>
      <c r="D962" s="19">
        <v>33</v>
      </c>
      <c r="E962" s="11" t="s">
        <v>28</v>
      </c>
      <c r="F962" s="11" t="s">
        <v>29</v>
      </c>
      <c r="G962" s="11" t="s">
        <v>30</v>
      </c>
      <c r="H962" s="12">
        <v>46038</v>
      </c>
      <c r="I962" s="12" t="str">
        <f t="shared" ref="I962:I1001" si="17">TEXT(H962, "mmmm")</f>
        <v>January</v>
      </c>
      <c r="J962" s="24">
        <v>0.49027777777777776</v>
      </c>
      <c r="K962" s="19">
        <v>5</v>
      </c>
      <c r="L962" s="12">
        <v>46038</v>
      </c>
      <c r="M962" s="24">
        <v>0.99027777777777781</v>
      </c>
      <c r="N962" s="11">
        <v>12</v>
      </c>
      <c r="O962" s="11" t="s">
        <v>34</v>
      </c>
      <c r="P962" s="11" t="s">
        <v>35</v>
      </c>
      <c r="Q962" s="11"/>
      <c r="R962" s="11" t="s">
        <v>36</v>
      </c>
      <c r="S962" s="19">
        <v>35</v>
      </c>
      <c r="T962" s="11" t="s">
        <v>49</v>
      </c>
      <c r="U962" s="11" t="s">
        <v>164</v>
      </c>
      <c r="V962" s="11">
        <v>3</v>
      </c>
      <c r="W962" s="11" t="s">
        <v>70</v>
      </c>
      <c r="X962" s="11" t="s">
        <v>3334</v>
      </c>
      <c r="Y962" s="11" t="s">
        <v>109</v>
      </c>
      <c r="Z962" s="11" t="s">
        <v>42</v>
      </c>
      <c r="AA962" s="11" t="str">
        <f>IF(A962=" ", "Missing Value", " ")</f>
        <v xml:space="preserve"> </v>
      </c>
    </row>
    <row r="963" spans="1:33">
      <c r="A963" s="11" t="s">
        <v>3135</v>
      </c>
      <c r="B963" s="11" t="s">
        <v>3136</v>
      </c>
      <c r="C963" s="11" t="s">
        <v>56</v>
      </c>
      <c r="D963" s="19">
        <v>57</v>
      </c>
      <c r="E963" s="11" t="s">
        <v>92</v>
      </c>
      <c r="F963" s="11" t="s">
        <v>29</v>
      </c>
      <c r="G963" s="11" t="s">
        <v>93</v>
      </c>
      <c r="H963" s="12">
        <v>46151</v>
      </c>
      <c r="I963" s="12" t="str">
        <f t="shared" si="17"/>
        <v>May</v>
      </c>
      <c r="J963" s="24">
        <v>0.48819444444444443</v>
      </c>
      <c r="K963" s="19">
        <v>24</v>
      </c>
      <c r="L963" s="12">
        <v>46152</v>
      </c>
      <c r="M963" s="24">
        <v>0.52986111111111112</v>
      </c>
      <c r="N963" s="11">
        <v>25</v>
      </c>
      <c r="O963" s="11" t="s">
        <v>34</v>
      </c>
      <c r="P963" s="11" t="s">
        <v>35</v>
      </c>
      <c r="Q963" s="11"/>
      <c r="R963" s="11" t="s">
        <v>36</v>
      </c>
      <c r="S963" s="19">
        <v>50</v>
      </c>
      <c r="T963" s="11" t="s">
        <v>49</v>
      </c>
      <c r="U963" s="11" t="s">
        <v>164</v>
      </c>
      <c r="V963" s="11">
        <v>5</v>
      </c>
      <c r="W963" s="11" t="s">
        <v>70</v>
      </c>
      <c r="X963" s="11" t="s">
        <v>51</v>
      </c>
      <c r="Y963" s="11" t="s">
        <v>41</v>
      </c>
      <c r="Z963" s="11" t="s">
        <v>53</v>
      </c>
      <c r="AA963" s="11" t="s">
        <v>3229</v>
      </c>
    </row>
    <row r="964" spans="1:33">
      <c r="A964" s="11" t="s">
        <v>3137</v>
      </c>
      <c r="B964" s="11" t="s">
        <v>3138</v>
      </c>
      <c r="C964" s="11" t="s">
        <v>27</v>
      </c>
      <c r="D964" s="19">
        <v>37</v>
      </c>
      <c r="E964" s="11" t="s">
        <v>28</v>
      </c>
      <c r="F964" s="11" t="s">
        <v>29</v>
      </c>
      <c r="G964" s="11" t="s">
        <v>93</v>
      </c>
      <c r="H964" s="12">
        <v>46029</v>
      </c>
      <c r="I964" s="12" t="str">
        <f t="shared" si="17"/>
        <v>January</v>
      </c>
      <c r="J964" s="24">
        <v>0.7006944444444444</v>
      </c>
      <c r="K964" s="19">
        <v>5</v>
      </c>
      <c r="L964" s="12">
        <v>46030</v>
      </c>
      <c r="M964" s="24">
        <v>0.20069444444444445</v>
      </c>
      <c r="N964" s="11">
        <v>12</v>
      </c>
      <c r="O964" s="11" t="s">
        <v>34</v>
      </c>
      <c r="P964" s="11" t="s">
        <v>35</v>
      </c>
      <c r="Q964" s="11"/>
      <c r="R964" s="11" t="s">
        <v>36</v>
      </c>
      <c r="S964" s="19">
        <v>35</v>
      </c>
      <c r="T964" s="11" t="s">
        <v>37</v>
      </c>
      <c r="U964" s="11" t="s">
        <v>164</v>
      </c>
      <c r="V964" s="11">
        <v>1</v>
      </c>
      <c r="W964" s="11" t="s">
        <v>39</v>
      </c>
      <c r="X964" s="11" t="s">
        <v>3325</v>
      </c>
      <c r="Y964" s="11" t="s">
        <v>41</v>
      </c>
      <c r="Z964" s="11" t="s">
        <v>71</v>
      </c>
      <c r="AA964" s="11" t="s">
        <v>3234</v>
      </c>
    </row>
    <row r="965" spans="1:33">
      <c r="A965" s="11" t="s">
        <v>3140</v>
      </c>
      <c r="B965" s="11" t="s">
        <v>3141</v>
      </c>
      <c r="C965" s="11" t="s">
        <v>56</v>
      </c>
      <c r="D965" s="19">
        <v>14</v>
      </c>
      <c r="E965" s="11" t="s">
        <v>173</v>
      </c>
      <c r="F965" s="11" t="s">
        <v>29</v>
      </c>
      <c r="G965" s="11" t="s">
        <v>93</v>
      </c>
      <c r="H965" s="12">
        <v>46189</v>
      </c>
      <c r="I965" s="12" t="str">
        <f t="shared" si="17"/>
        <v>June</v>
      </c>
      <c r="J965" s="24">
        <v>0.42222222222222222</v>
      </c>
      <c r="K965" s="19">
        <v>4</v>
      </c>
      <c r="L965" s="12">
        <v>46189</v>
      </c>
      <c r="M965" s="24">
        <v>0.88055555555555554</v>
      </c>
      <c r="N965" s="11">
        <v>11</v>
      </c>
      <c r="O965" s="11" t="s">
        <v>34</v>
      </c>
      <c r="P965" s="11" t="s">
        <v>35</v>
      </c>
      <c r="Q965" s="11"/>
      <c r="R965" s="11" t="s">
        <v>36</v>
      </c>
      <c r="S965" s="19">
        <v>25</v>
      </c>
      <c r="T965" s="11" t="s">
        <v>49</v>
      </c>
      <c r="U965" s="11" t="s">
        <v>164</v>
      </c>
      <c r="V965" s="11">
        <v>2</v>
      </c>
      <c r="W965" s="11" t="s">
        <v>89</v>
      </c>
      <c r="X965" s="11" t="s">
        <v>3333</v>
      </c>
      <c r="Y965" s="11" t="s">
        <v>109</v>
      </c>
      <c r="Z965" s="11" t="s">
        <v>71</v>
      </c>
      <c r="AA965" s="11" t="s">
        <v>3234</v>
      </c>
    </row>
    <row r="966" spans="1:33">
      <c r="A966" s="11" t="s">
        <v>3142</v>
      </c>
      <c r="B966" s="11" t="s">
        <v>3143</v>
      </c>
      <c r="C966" s="11" t="s">
        <v>27</v>
      </c>
      <c r="D966" s="19">
        <v>1</v>
      </c>
      <c r="E966" s="11" t="s">
        <v>149</v>
      </c>
      <c r="F966" s="11" t="s">
        <v>29</v>
      </c>
      <c r="G966" s="11" t="s">
        <v>58</v>
      </c>
      <c r="H966" s="12">
        <v>46128</v>
      </c>
      <c r="I966" s="12" t="str">
        <f t="shared" si="17"/>
        <v>April</v>
      </c>
      <c r="J966" s="24">
        <v>0.60624999999999996</v>
      </c>
      <c r="K966" s="19">
        <v>6</v>
      </c>
      <c r="L966" s="12">
        <v>46128</v>
      </c>
      <c r="M966" s="24">
        <v>0.98124999999999996</v>
      </c>
      <c r="N966" s="11">
        <v>9</v>
      </c>
      <c r="O966" s="11" t="s">
        <v>34</v>
      </c>
      <c r="P966" s="11" t="s">
        <v>35</v>
      </c>
      <c r="Q966" s="11"/>
      <c r="R966" s="11" t="s">
        <v>36</v>
      </c>
      <c r="S966" s="19">
        <v>40</v>
      </c>
      <c r="T966" s="11" t="s">
        <v>49</v>
      </c>
      <c r="U966" s="11" t="s">
        <v>38</v>
      </c>
      <c r="V966" s="11">
        <v>2</v>
      </c>
      <c r="W966" s="11" t="s">
        <v>89</v>
      </c>
      <c r="X966" s="11" t="s">
        <v>51</v>
      </c>
      <c r="Y966" s="11" t="s">
        <v>41</v>
      </c>
      <c r="Z966" s="11" t="s">
        <v>71</v>
      </c>
      <c r="AA966" s="11" t="s">
        <v>3234</v>
      </c>
    </row>
    <row r="967" spans="1:33">
      <c r="A967" s="11" t="s">
        <v>3144</v>
      </c>
      <c r="B967" s="11" t="s">
        <v>3145</v>
      </c>
      <c r="C967" s="11" t="s">
        <v>56</v>
      </c>
      <c r="D967" s="19">
        <v>86</v>
      </c>
      <c r="E967" s="11" t="s">
        <v>173</v>
      </c>
      <c r="F967" s="11" t="s">
        <v>29</v>
      </c>
      <c r="G967" s="11" t="s">
        <v>168</v>
      </c>
      <c r="H967" s="12">
        <v>46156</v>
      </c>
      <c r="I967" s="12" t="str">
        <f t="shared" si="17"/>
        <v>May</v>
      </c>
      <c r="J967" s="24">
        <v>0.69305555555555554</v>
      </c>
      <c r="K967" s="19">
        <v>4</v>
      </c>
      <c r="L967" s="12">
        <v>46156</v>
      </c>
      <c r="M967" s="24">
        <v>0.85972222222222228</v>
      </c>
      <c r="N967" s="11">
        <v>4</v>
      </c>
      <c r="O967" s="11" t="s">
        <v>68</v>
      </c>
      <c r="P967" s="11" t="s">
        <v>35</v>
      </c>
      <c r="Q967" s="11"/>
      <c r="R967" s="11" t="s">
        <v>36</v>
      </c>
      <c r="S967" s="19">
        <v>25</v>
      </c>
      <c r="T967" s="11" t="s">
        <v>49</v>
      </c>
      <c r="U967" s="11" t="s">
        <v>96</v>
      </c>
      <c r="V967" s="11">
        <v>4</v>
      </c>
      <c r="W967" s="11" t="s">
        <v>62</v>
      </c>
      <c r="X967" s="11" t="s">
        <v>51</v>
      </c>
      <c r="Y967" s="11" t="s">
        <v>41</v>
      </c>
      <c r="Z967" s="11" t="s">
        <v>53</v>
      </c>
      <c r="AA967" s="11" t="s">
        <v>3234</v>
      </c>
    </row>
    <row r="968" spans="1:33">
      <c r="A968" s="11" t="s">
        <v>3147</v>
      </c>
      <c r="B968" s="11" t="s">
        <v>3148</v>
      </c>
      <c r="C968" s="11" t="s">
        <v>27</v>
      </c>
      <c r="D968" s="19">
        <v>44</v>
      </c>
      <c r="E968" s="11" t="s">
        <v>57</v>
      </c>
      <c r="F968" s="11" t="s">
        <v>29</v>
      </c>
      <c r="G968" s="11" t="s">
        <v>30</v>
      </c>
      <c r="H968" s="12">
        <v>46065</v>
      </c>
      <c r="I968" s="12" t="str">
        <f t="shared" si="17"/>
        <v>February</v>
      </c>
      <c r="J968" s="24">
        <v>0.35902777777777778</v>
      </c>
      <c r="K968" s="19">
        <v>3</v>
      </c>
      <c r="L968" s="12">
        <v>46065</v>
      </c>
      <c r="M968" s="24">
        <v>0.77569444444444446</v>
      </c>
      <c r="N968" s="11">
        <v>10</v>
      </c>
      <c r="O968" s="11" t="s">
        <v>34</v>
      </c>
      <c r="P968" s="11" t="s">
        <v>35</v>
      </c>
      <c r="Q968" s="11"/>
      <c r="R968" s="11" t="s">
        <v>36</v>
      </c>
      <c r="S968" s="19">
        <v>15</v>
      </c>
      <c r="T968" s="11" t="s">
        <v>49</v>
      </c>
      <c r="U968" s="11" t="s">
        <v>164</v>
      </c>
      <c r="V968" s="11">
        <v>4</v>
      </c>
      <c r="W968" s="11" t="s">
        <v>62</v>
      </c>
      <c r="X968" s="11" t="s">
        <v>3325</v>
      </c>
      <c r="Y968" s="11" t="s">
        <v>52</v>
      </c>
      <c r="Z968" s="11" t="s">
        <v>42</v>
      </c>
      <c r="AA968" s="11" t="s">
        <v>3234</v>
      </c>
    </row>
    <row r="969" spans="1:33">
      <c r="A969" s="11" t="s">
        <v>3149</v>
      </c>
      <c r="B969" s="11" t="s">
        <v>3150</v>
      </c>
      <c r="C969" s="11" t="s">
        <v>56</v>
      </c>
      <c r="D969" s="19">
        <v>61</v>
      </c>
      <c r="E969" s="11" t="s">
        <v>92</v>
      </c>
      <c r="F969" s="11" t="s">
        <v>29</v>
      </c>
      <c r="G969" s="11" t="s">
        <v>93</v>
      </c>
      <c r="H969" s="12">
        <v>46093</v>
      </c>
      <c r="I969" s="12" t="str">
        <f t="shared" si="17"/>
        <v>March</v>
      </c>
      <c r="J969" s="24">
        <v>0.44374999999999998</v>
      </c>
      <c r="K969" s="19">
        <v>24</v>
      </c>
      <c r="L969" s="12">
        <v>46094</v>
      </c>
      <c r="M969" s="24">
        <v>0.44374999999999998</v>
      </c>
      <c r="N969" s="11">
        <v>24</v>
      </c>
      <c r="O969" s="11" t="s">
        <v>68</v>
      </c>
      <c r="P969" s="11" t="s">
        <v>35</v>
      </c>
      <c r="Q969" s="11"/>
      <c r="R969" s="11" t="s">
        <v>132</v>
      </c>
      <c r="S969" s="19">
        <v>50</v>
      </c>
      <c r="T969" s="11" t="s">
        <v>49</v>
      </c>
      <c r="U969" s="11" t="s">
        <v>38</v>
      </c>
      <c r="V969" s="11">
        <v>1</v>
      </c>
      <c r="W969" s="11" t="s">
        <v>39</v>
      </c>
      <c r="X969" s="11" t="s">
        <v>3333</v>
      </c>
      <c r="Y969" s="11" t="s">
        <v>52</v>
      </c>
      <c r="Z969" s="11" t="s">
        <v>71</v>
      </c>
      <c r="AA969" s="11" t="s">
        <v>3261</v>
      </c>
    </row>
    <row r="970" spans="1:33">
      <c r="A970" s="11" t="s">
        <v>3151</v>
      </c>
      <c r="B970" s="11" t="s">
        <v>3152</v>
      </c>
      <c r="C970" s="11" t="s">
        <v>56</v>
      </c>
      <c r="D970" s="19">
        <v>86</v>
      </c>
      <c r="E970" s="11" t="s">
        <v>92</v>
      </c>
      <c r="F970" s="11" t="s">
        <v>29</v>
      </c>
      <c r="G970" s="11" t="s">
        <v>168</v>
      </c>
      <c r="H970" s="12">
        <v>46066</v>
      </c>
      <c r="I970" s="12" t="str">
        <f t="shared" si="17"/>
        <v>February</v>
      </c>
      <c r="J970" s="24">
        <v>0.59722222222222221</v>
      </c>
      <c r="K970" s="19">
        <v>24</v>
      </c>
      <c r="L970" s="12">
        <v>46067</v>
      </c>
      <c r="M970" s="24">
        <v>0.59722222222222221</v>
      </c>
      <c r="N970" s="11">
        <v>24</v>
      </c>
      <c r="O970" s="11" t="s">
        <v>68</v>
      </c>
      <c r="P970" s="11" t="s">
        <v>35</v>
      </c>
      <c r="Q970" s="11"/>
      <c r="R970" s="11" t="s">
        <v>36</v>
      </c>
      <c r="S970" s="19">
        <v>50</v>
      </c>
      <c r="T970" s="11" t="s">
        <v>37</v>
      </c>
      <c r="U970" s="11" t="s">
        <v>96</v>
      </c>
      <c r="V970" s="11">
        <v>1</v>
      </c>
      <c r="W970" s="11" t="s">
        <v>70</v>
      </c>
      <c r="X970" s="11" t="s">
        <v>3334</v>
      </c>
      <c r="Y970" s="11" t="s">
        <v>52</v>
      </c>
      <c r="Z970" s="11" t="s">
        <v>71</v>
      </c>
      <c r="AA970" s="11" t="s">
        <v>3235</v>
      </c>
    </row>
    <row r="971" spans="1:33">
      <c r="A971" s="11" t="s">
        <v>3153</v>
      </c>
      <c r="B971" s="11" t="s">
        <v>3154</v>
      </c>
      <c r="C971" s="11" t="s">
        <v>27</v>
      </c>
      <c r="D971" s="19">
        <v>57</v>
      </c>
      <c r="E971" s="11" t="s">
        <v>81</v>
      </c>
      <c r="F971" s="11" t="s">
        <v>82</v>
      </c>
      <c r="G971" s="11" t="s">
        <v>93</v>
      </c>
      <c r="H971" s="12">
        <v>46082</v>
      </c>
      <c r="I971" s="12" t="str">
        <f t="shared" si="17"/>
        <v>March</v>
      </c>
      <c r="J971" s="24">
        <v>0.65277777777777779</v>
      </c>
      <c r="K971" s="19">
        <v>8</v>
      </c>
      <c r="L971" s="12">
        <v>46082</v>
      </c>
      <c r="M971" s="24">
        <v>0.98611111111111116</v>
      </c>
      <c r="N971" s="11">
        <v>8</v>
      </c>
      <c r="O971" s="11" t="s">
        <v>68</v>
      </c>
      <c r="P971" s="11" t="s">
        <v>35</v>
      </c>
      <c r="Q971" s="11"/>
      <c r="R971" s="11" t="s">
        <v>36</v>
      </c>
      <c r="S971" s="19">
        <v>20</v>
      </c>
      <c r="T971" s="11" t="s">
        <v>49</v>
      </c>
      <c r="U971" s="11" t="s">
        <v>164</v>
      </c>
      <c r="V971" s="11">
        <v>5</v>
      </c>
      <c r="W971" s="11" t="s">
        <v>39</v>
      </c>
      <c r="X971" s="11" t="s">
        <v>3325</v>
      </c>
      <c r="Y971" s="11" t="s">
        <v>109</v>
      </c>
      <c r="Z971" s="11" t="s">
        <v>53</v>
      </c>
      <c r="AA971" s="11" t="s">
        <v>3234</v>
      </c>
      <c r="AG971">
        <f>AVERAGE(N:N)</f>
        <v>12.464</v>
      </c>
    </row>
    <row r="972" spans="1:33">
      <c r="A972" s="11" t="s">
        <v>3155</v>
      </c>
      <c r="B972" s="11" t="s">
        <v>3156</v>
      </c>
      <c r="C972" s="11" t="s">
        <v>56</v>
      </c>
      <c r="D972" s="19">
        <v>23</v>
      </c>
      <c r="E972" s="11" t="s">
        <v>81</v>
      </c>
      <c r="F972" s="11" t="s">
        <v>82</v>
      </c>
      <c r="G972" s="11" t="s">
        <v>168</v>
      </c>
      <c r="H972" s="12">
        <v>46125</v>
      </c>
      <c r="I972" s="12" t="str">
        <f t="shared" si="17"/>
        <v>April</v>
      </c>
      <c r="J972" s="24">
        <v>0.30625000000000002</v>
      </c>
      <c r="K972" s="19">
        <v>8</v>
      </c>
      <c r="L972" s="12">
        <v>46125</v>
      </c>
      <c r="M972" s="24">
        <v>0.72291666666666665</v>
      </c>
      <c r="N972" s="11">
        <v>10</v>
      </c>
      <c r="O972" s="11" t="s">
        <v>34</v>
      </c>
      <c r="P972" s="11" t="s">
        <v>35</v>
      </c>
      <c r="Q972" s="11"/>
      <c r="R972" s="11" t="s">
        <v>36</v>
      </c>
      <c r="S972" s="19">
        <v>20</v>
      </c>
      <c r="T972" s="11" t="s">
        <v>49</v>
      </c>
      <c r="U972" s="11" t="s">
        <v>96</v>
      </c>
      <c r="V972" s="11">
        <v>4</v>
      </c>
      <c r="W972" s="11" t="s">
        <v>39</v>
      </c>
      <c r="X972" s="11" t="s">
        <v>3333</v>
      </c>
      <c r="Y972" s="11" t="s">
        <v>41</v>
      </c>
      <c r="Z972" s="11" t="s">
        <v>71</v>
      </c>
      <c r="AA972" s="11" t="s">
        <v>3234</v>
      </c>
      <c r="AG972">
        <f>AVERAGE(V:V)</f>
        <v>2.9159999999999999</v>
      </c>
    </row>
    <row r="973" spans="1:33">
      <c r="A973" s="11" t="s">
        <v>3157</v>
      </c>
      <c r="B973" s="11" t="s">
        <v>3158</v>
      </c>
      <c r="C973" s="11" t="s">
        <v>27</v>
      </c>
      <c r="D973" s="19">
        <v>45</v>
      </c>
      <c r="E973" s="11" t="s">
        <v>92</v>
      </c>
      <c r="F973" s="11" t="s">
        <v>29</v>
      </c>
      <c r="G973" s="11" t="s">
        <v>83</v>
      </c>
      <c r="H973" s="12">
        <v>46099</v>
      </c>
      <c r="I973" s="12" t="str">
        <f t="shared" si="17"/>
        <v>March</v>
      </c>
      <c r="J973" s="24">
        <v>0.43402777777777779</v>
      </c>
      <c r="K973" s="19">
        <v>24</v>
      </c>
      <c r="L973" s="12">
        <v>46100</v>
      </c>
      <c r="M973" s="24">
        <v>0.60069444444444442</v>
      </c>
      <c r="N973" s="11">
        <v>28</v>
      </c>
      <c r="O973" s="11" t="s">
        <v>34</v>
      </c>
      <c r="P973" s="11" t="s">
        <v>270</v>
      </c>
      <c r="Q973" s="11" t="s">
        <v>271</v>
      </c>
      <c r="R973" s="11" t="s">
        <v>36</v>
      </c>
      <c r="S973" s="19">
        <v>50</v>
      </c>
      <c r="T973" s="11" t="s">
        <v>37</v>
      </c>
      <c r="U973" s="11" t="s">
        <v>164</v>
      </c>
      <c r="V973" s="11">
        <v>5</v>
      </c>
      <c r="W973" s="11" t="s">
        <v>89</v>
      </c>
      <c r="X973" s="11" t="s">
        <v>3334</v>
      </c>
      <c r="Y973" s="11" t="s">
        <v>109</v>
      </c>
      <c r="Z973" s="11" t="s">
        <v>42</v>
      </c>
      <c r="AA973" s="11" t="s">
        <v>3254</v>
      </c>
    </row>
    <row r="974" spans="1:33">
      <c r="A974" s="11" t="s">
        <v>3159</v>
      </c>
      <c r="B974" s="11" t="s">
        <v>3160</v>
      </c>
      <c r="C974" s="11" t="s">
        <v>56</v>
      </c>
      <c r="D974" s="19">
        <v>12</v>
      </c>
      <c r="E974" s="11" t="s">
        <v>92</v>
      </c>
      <c r="F974" s="11" t="s">
        <v>29</v>
      </c>
      <c r="G974" s="11" t="s">
        <v>93</v>
      </c>
      <c r="H974" s="12">
        <v>46110</v>
      </c>
      <c r="I974" s="12" t="str">
        <f t="shared" si="17"/>
        <v>March</v>
      </c>
      <c r="J974" s="24">
        <v>0.40902777777777777</v>
      </c>
      <c r="K974" s="19">
        <v>24</v>
      </c>
      <c r="L974" s="12">
        <v>46111</v>
      </c>
      <c r="M974" s="24">
        <v>0.53402777777777777</v>
      </c>
      <c r="N974" s="11">
        <v>27</v>
      </c>
      <c r="O974" s="11" t="s">
        <v>34</v>
      </c>
      <c r="P974" s="11" t="s">
        <v>35</v>
      </c>
      <c r="Q974" s="11"/>
      <c r="R974" s="11" t="s">
        <v>36</v>
      </c>
      <c r="S974" s="19">
        <v>50</v>
      </c>
      <c r="T974" s="11" t="s">
        <v>49</v>
      </c>
      <c r="U974" s="11" t="s">
        <v>38</v>
      </c>
      <c r="V974" s="11">
        <v>5</v>
      </c>
      <c r="W974" s="11" t="s">
        <v>89</v>
      </c>
      <c r="X974" s="11" t="s">
        <v>3334</v>
      </c>
      <c r="Y974" s="11" t="s">
        <v>109</v>
      </c>
      <c r="Z974" s="11" t="s">
        <v>53</v>
      </c>
      <c r="AA974" s="11" t="s">
        <v>3232</v>
      </c>
    </row>
    <row r="975" spans="1:33">
      <c r="A975" s="11" t="s">
        <v>3162</v>
      </c>
      <c r="B975" s="11" t="s">
        <v>3163</v>
      </c>
      <c r="C975" s="11" t="s">
        <v>56</v>
      </c>
      <c r="D975" s="19">
        <v>69</v>
      </c>
      <c r="E975" s="11" t="s">
        <v>92</v>
      </c>
      <c r="F975" s="11" t="s">
        <v>29</v>
      </c>
      <c r="G975" s="11" t="s">
        <v>93</v>
      </c>
      <c r="H975" s="12">
        <v>46178</v>
      </c>
      <c r="I975" s="12" t="str">
        <f t="shared" si="17"/>
        <v>June</v>
      </c>
      <c r="J975" s="24">
        <v>0.61250000000000004</v>
      </c>
      <c r="K975" s="19">
        <v>24</v>
      </c>
      <c r="L975" s="12">
        <v>46179</v>
      </c>
      <c r="M975" s="24">
        <v>0.8208333333333333</v>
      </c>
      <c r="N975" s="11">
        <v>29</v>
      </c>
      <c r="O975" s="11" t="s">
        <v>34</v>
      </c>
      <c r="P975" s="11" t="s">
        <v>35</v>
      </c>
      <c r="Q975" s="11"/>
      <c r="R975" s="11" t="s">
        <v>36</v>
      </c>
      <c r="S975" s="19">
        <v>50</v>
      </c>
      <c r="T975" s="11" t="s">
        <v>49</v>
      </c>
      <c r="U975" s="11" t="s">
        <v>96</v>
      </c>
      <c r="V975" s="11">
        <v>4</v>
      </c>
      <c r="W975" s="11" t="s">
        <v>70</v>
      </c>
      <c r="X975" s="11" t="s">
        <v>3333</v>
      </c>
      <c r="Y975" s="11" t="s">
        <v>41</v>
      </c>
      <c r="Z975" s="11" t="s">
        <v>71</v>
      </c>
      <c r="AA975" s="11" t="s">
        <v>3229</v>
      </c>
    </row>
    <row r="976" spans="1:33">
      <c r="A976" s="11" t="s">
        <v>3164</v>
      </c>
      <c r="B976" s="11" t="s">
        <v>3165</v>
      </c>
      <c r="C976" s="11" t="s">
        <v>56</v>
      </c>
      <c r="D976" s="19">
        <v>60</v>
      </c>
      <c r="E976" s="11" t="s">
        <v>81</v>
      </c>
      <c r="F976" s="11" t="s">
        <v>82</v>
      </c>
      <c r="G976" s="11" t="s">
        <v>83</v>
      </c>
      <c r="H976" s="12">
        <v>46146</v>
      </c>
      <c r="I976" s="12" t="str">
        <f t="shared" si="17"/>
        <v>May</v>
      </c>
      <c r="J976" s="24">
        <v>0.70694444444444449</v>
      </c>
      <c r="K976" s="19">
        <v>8</v>
      </c>
      <c r="L976" s="12">
        <v>46146</v>
      </c>
      <c r="M976" s="24">
        <v>0.99861111111111112</v>
      </c>
      <c r="N976" s="11">
        <v>7</v>
      </c>
      <c r="O976" s="11" t="s">
        <v>68</v>
      </c>
      <c r="P976" s="11" t="s">
        <v>35</v>
      </c>
      <c r="Q976" s="11"/>
      <c r="R976" s="11" t="s">
        <v>36</v>
      </c>
      <c r="S976" s="19">
        <v>20</v>
      </c>
      <c r="T976" s="11" t="s">
        <v>49</v>
      </c>
      <c r="U976" s="11" t="s">
        <v>96</v>
      </c>
      <c r="V976" s="11">
        <v>1</v>
      </c>
      <c r="W976" s="11" t="s">
        <v>70</v>
      </c>
      <c r="X976" s="11" t="s">
        <v>3333</v>
      </c>
      <c r="Y976" s="11" t="s">
        <v>52</v>
      </c>
      <c r="Z976" s="11" t="s">
        <v>42</v>
      </c>
      <c r="AA976" s="11" t="str">
        <f>IF(A976=" ", "Missing Value", " ")</f>
        <v xml:space="preserve"> </v>
      </c>
    </row>
    <row r="977" spans="1:27">
      <c r="A977" s="11" t="s">
        <v>3167</v>
      </c>
      <c r="B977" s="11" t="s">
        <v>3168</v>
      </c>
      <c r="C977" s="11" t="s">
        <v>27</v>
      </c>
      <c r="D977" s="19">
        <v>74</v>
      </c>
      <c r="E977" s="11" t="s">
        <v>92</v>
      </c>
      <c r="F977" s="11" t="s">
        <v>29</v>
      </c>
      <c r="G977" s="11" t="s">
        <v>93</v>
      </c>
      <c r="H977" s="12">
        <v>46041</v>
      </c>
      <c r="I977" s="12" t="str">
        <f t="shared" si="17"/>
        <v>January</v>
      </c>
      <c r="J977" s="24">
        <v>0.68472222222222223</v>
      </c>
      <c r="K977" s="19">
        <v>24</v>
      </c>
      <c r="L977" s="12">
        <v>46042</v>
      </c>
      <c r="M977" s="24">
        <v>0.7680555555555556</v>
      </c>
      <c r="N977" s="11">
        <v>26</v>
      </c>
      <c r="O977" s="11" t="s">
        <v>34</v>
      </c>
      <c r="P977" s="11" t="s">
        <v>35</v>
      </c>
      <c r="Q977" s="11"/>
      <c r="R977" s="11" t="s">
        <v>132</v>
      </c>
      <c r="S977" s="19">
        <v>50</v>
      </c>
      <c r="T977" s="11" t="s">
        <v>49</v>
      </c>
      <c r="U977" s="11" t="s">
        <v>96</v>
      </c>
      <c r="V977" s="11">
        <v>2</v>
      </c>
      <c r="W977" s="11" t="s">
        <v>89</v>
      </c>
      <c r="X977" s="11" t="s">
        <v>3333</v>
      </c>
      <c r="Y977" s="11" t="s">
        <v>41</v>
      </c>
      <c r="Z977" s="11" t="s">
        <v>42</v>
      </c>
      <c r="AA977" s="11" t="s">
        <v>3262</v>
      </c>
    </row>
    <row r="978" spans="1:27">
      <c r="A978" s="11" t="s">
        <v>3169</v>
      </c>
      <c r="B978" s="11" t="s">
        <v>3170</v>
      </c>
      <c r="C978" s="11" t="s">
        <v>27</v>
      </c>
      <c r="D978" s="19">
        <v>86</v>
      </c>
      <c r="E978" s="11" t="s">
        <v>149</v>
      </c>
      <c r="F978" s="11" t="s">
        <v>29</v>
      </c>
      <c r="G978" s="11" t="s">
        <v>30</v>
      </c>
      <c r="H978" s="12">
        <v>46061</v>
      </c>
      <c r="I978" s="12" t="str">
        <f t="shared" si="17"/>
        <v>February</v>
      </c>
      <c r="J978" s="24">
        <v>0.54722222222222228</v>
      </c>
      <c r="K978" s="19">
        <v>6</v>
      </c>
      <c r="L978" s="12">
        <v>46061</v>
      </c>
      <c r="M978" s="24">
        <v>0.75555555555555554</v>
      </c>
      <c r="N978" s="11">
        <v>5</v>
      </c>
      <c r="O978" s="11" t="s">
        <v>68</v>
      </c>
      <c r="P978" s="11" t="s">
        <v>35</v>
      </c>
      <c r="Q978" s="11"/>
      <c r="R978" s="11" t="s">
        <v>132</v>
      </c>
      <c r="S978" s="19">
        <v>40</v>
      </c>
      <c r="T978" s="11" t="s">
        <v>49</v>
      </c>
      <c r="U978" s="11" t="s">
        <v>38</v>
      </c>
      <c r="V978" s="11">
        <v>4</v>
      </c>
      <c r="W978" s="11" t="s">
        <v>39</v>
      </c>
      <c r="X978" s="11" t="s">
        <v>3333</v>
      </c>
      <c r="Y978" s="11" t="s">
        <v>41</v>
      </c>
      <c r="Z978" s="11" t="s">
        <v>42</v>
      </c>
      <c r="AA978" s="11" t="s">
        <v>3262</v>
      </c>
    </row>
    <row r="979" spans="1:27">
      <c r="A979" s="11" t="s">
        <v>3172</v>
      </c>
      <c r="B979" s="11" t="s">
        <v>3173</v>
      </c>
      <c r="C979" s="11" t="s">
        <v>56</v>
      </c>
      <c r="D979" s="19">
        <v>87</v>
      </c>
      <c r="E979" s="11" t="s">
        <v>81</v>
      </c>
      <c r="F979" s="11" t="s">
        <v>82</v>
      </c>
      <c r="G979" s="11" t="s">
        <v>83</v>
      </c>
      <c r="H979" s="12">
        <v>46052</v>
      </c>
      <c r="I979" s="12" t="str">
        <f t="shared" si="17"/>
        <v>January</v>
      </c>
      <c r="J979" s="24">
        <v>0.32430555555555557</v>
      </c>
      <c r="K979" s="19">
        <v>8</v>
      </c>
      <c r="L979" s="12">
        <v>46052</v>
      </c>
      <c r="M979" s="24">
        <v>0.74097222222222225</v>
      </c>
      <c r="N979" s="11">
        <v>10</v>
      </c>
      <c r="O979" s="11" t="s">
        <v>34</v>
      </c>
      <c r="P979" s="11" t="s">
        <v>35</v>
      </c>
      <c r="Q979" s="11"/>
      <c r="R979" s="11" t="s">
        <v>36</v>
      </c>
      <c r="S979" s="19">
        <v>20</v>
      </c>
      <c r="T979" s="11" t="s">
        <v>49</v>
      </c>
      <c r="U979" s="11" t="s">
        <v>164</v>
      </c>
      <c r="V979" s="11">
        <v>1</v>
      </c>
      <c r="W979" s="11" t="s">
        <v>89</v>
      </c>
      <c r="X979" s="11" t="s">
        <v>51</v>
      </c>
      <c r="Y979" s="11" t="s">
        <v>41</v>
      </c>
      <c r="Z979" s="11" t="s">
        <v>71</v>
      </c>
      <c r="AA979" s="11"/>
    </row>
    <row r="980" spans="1:27">
      <c r="A980" s="11" t="s">
        <v>3175</v>
      </c>
      <c r="B980" s="11" t="s">
        <v>3176</v>
      </c>
      <c r="C980" s="11" t="s">
        <v>27</v>
      </c>
      <c r="D980" s="19">
        <v>48</v>
      </c>
      <c r="E980" s="11" t="s">
        <v>92</v>
      </c>
      <c r="F980" s="11" t="s">
        <v>29</v>
      </c>
      <c r="G980" s="11" t="s">
        <v>93</v>
      </c>
      <c r="H980" s="12">
        <v>46119</v>
      </c>
      <c r="I980" s="12" t="str">
        <f t="shared" si="17"/>
        <v>April</v>
      </c>
      <c r="J980" s="24">
        <v>0.38263888888888886</v>
      </c>
      <c r="K980" s="19">
        <v>24</v>
      </c>
      <c r="L980" s="12">
        <v>46120</v>
      </c>
      <c r="M980" s="24">
        <v>0.59097222222222223</v>
      </c>
      <c r="N980" s="11">
        <v>29</v>
      </c>
      <c r="O980" s="11" t="s">
        <v>34</v>
      </c>
      <c r="P980" s="11" t="s">
        <v>35</v>
      </c>
      <c r="Q980" s="11"/>
      <c r="R980" s="11" t="s">
        <v>36</v>
      </c>
      <c r="S980" s="19">
        <v>50</v>
      </c>
      <c r="T980" s="11" t="s">
        <v>37</v>
      </c>
      <c r="U980" s="11" t="s">
        <v>38</v>
      </c>
      <c r="V980" s="11">
        <v>3</v>
      </c>
      <c r="W980" s="11" t="s">
        <v>70</v>
      </c>
      <c r="X980" s="11" t="s">
        <v>3333</v>
      </c>
      <c r="Y980" s="11" t="s">
        <v>109</v>
      </c>
      <c r="Z980" s="11" t="s">
        <v>53</v>
      </c>
      <c r="AA980" s="11" t="str">
        <f>IF(A980=" ", "Missing Value", " ")</f>
        <v xml:space="preserve"> </v>
      </c>
    </row>
    <row r="981" spans="1:27">
      <c r="A981" s="11" t="s">
        <v>3178</v>
      </c>
      <c r="B981" s="11" t="s">
        <v>3179</v>
      </c>
      <c r="C981" s="11" t="s">
        <v>27</v>
      </c>
      <c r="D981" s="19">
        <v>68</v>
      </c>
      <c r="E981" s="11" t="s">
        <v>28</v>
      </c>
      <c r="F981" s="11" t="s">
        <v>29</v>
      </c>
      <c r="G981" s="11" t="s">
        <v>58</v>
      </c>
      <c r="H981" s="12">
        <v>46029</v>
      </c>
      <c r="I981" s="12" t="str">
        <f t="shared" si="17"/>
        <v>January</v>
      </c>
      <c r="J981" s="24">
        <v>0.68402777777777779</v>
      </c>
      <c r="K981" s="19">
        <v>5</v>
      </c>
      <c r="L981" s="12">
        <v>46030</v>
      </c>
      <c r="M981" s="24">
        <v>5.9027777777777776E-2</v>
      </c>
      <c r="N981" s="11">
        <v>9</v>
      </c>
      <c r="O981" s="11" t="s">
        <v>34</v>
      </c>
      <c r="P981" s="11" t="s">
        <v>35</v>
      </c>
      <c r="Q981" s="11"/>
      <c r="R981" s="11" t="s">
        <v>36</v>
      </c>
      <c r="S981" s="19">
        <v>35</v>
      </c>
      <c r="T981" s="11" t="s">
        <v>49</v>
      </c>
      <c r="U981" s="11" t="s">
        <v>38</v>
      </c>
      <c r="V981" s="11">
        <v>4</v>
      </c>
      <c r="W981" s="11" t="s">
        <v>39</v>
      </c>
      <c r="X981" s="11" t="s">
        <v>3334</v>
      </c>
      <c r="Y981" s="11" t="s">
        <v>41</v>
      </c>
      <c r="Z981" s="11" t="s">
        <v>42</v>
      </c>
      <c r="AA981" s="11" t="s">
        <v>3234</v>
      </c>
    </row>
    <row r="982" spans="1:27">
      <c r="A982" s="11" t="s">
        <v>3181</v>
      </c>
      <c r="B982" s="11" t="s">
        <v>3182</v>
      </c>
      <c r="C982" s="11" t="s">
        <v>27</v>
      </c>
      <c r="D982" s="19">
        <v>1</v>
      </c>
      <c r="E982" s="11" t="s">
        <v>57</v>
      </c>
      <c r="F982" s="11" t="s">
        <v>29</v>
      </c>
      <c r="G982" s="11" t="s">
        <v>58</v>
      </c>
      <c r="H982" s="12">
        <v>46157</v>
      </c>
      <c r="I982" s="12" t="str">
        <f t="shared" si="17"/>
        <v>May</v>
      </c>
      <c r="J982" s="24">
        <v>0.51527777777777772</v>
      </c>
      <c r="K982" s="19">
        <v>3</v>
      </c>
      <c r="L982" s="12">
        <v>46157</v>
      </c>
      <c r="M982" s="24">
        <v>0.93194444444444446</v>
      </c>
      <c r="N982" s="11">
        <v>10</v>
      </c>
      <c r="O982" s="11" t="s">
        <v>34</v>
      </c>
      <c r="P982" s="11" t="s">
        <v>35</v>
      </c>
      <c r="Q982" s="11"/>
      <c r="R982" s="11" t="s">
        <v>36</v>
      </c>
      <c r="S982" s="19">
        <v>15</v>
      </c>
      <c r="T982" s="11" t="s">
        <v>49</v>
      </c>
      <c r="U982" s="11" t="s">
        <v>96</v>
      </c>
      <c r="V982" s="11">
        <v>4</v>
      </c>
      <c r="W982" s="11" t="s">
        <v>89</v>
      </c>
      <c r="X982" s="11" t="s">
        <v>3333</v>
      </c>
      <c r="Y982" s="11" t="s">
        <v>52</v>
      </c>
      <c r="Z982" s="11" t="s">
        <v>71</v>
      </c>
      <c r="AA982" s="11"/>
    </row>
    <row r="983" spans="1:27">
      <c r="A983" s="11" t="s">
        <v>3183</v>
      </c>
      <c r="B983" s="11" t="s">
        <v>3184</v>
      </c>
      <c r="C983" s="11" t="s">
        <v>56</v>
      </c>
      <c r="D983" s="19">
        <v>69</v>
      </c>
      <c r="E983" s="11" t="s">
        <v>57</v>
      </c>
      <c r="F983" s="11" t="s">
        <v>29</v>
      </c>
      <c r="G983" s="11" t="s">
        <v>168</v>
      </c>
      <c r="H983" s="12">
        <v>46202</v>
      </c>
      <c r="I983" s="12" t="str">
        <f t="shared" si="17"/>
        <v>June</v>
      </c>
      <c r="J983" s="24">
        <v>0.42499999999999999</v>
      </c>
      <c r="K983" s="19">
        <v>3</v>
      </c>
      <c r="L983" s="12">
        <v>46202</v>
      </c>
      <c r="M983" s="24">
        <v>0.6333333333333333</v>
      </c>
      <c r="N983" s="11">
        <v>5</v>
      </c>
      <c r="O983" s="11" t="s">
        <v>34</v>
      </c>
      <c r="P983" s="11" t="s">
        <v>35</v>
      </c>
      <c r="Q983" s="11"/>
      <c r="R983" s="11" t="s">
        <v>36</v>
      </c>
      <c r="S983" s="19">
        <v>15</v>
      </c>
      <c r="T983" s="11" t="s">
        <v>49</v>
      </c>
      <c r="U983" s="11" t="s">
        <v>96</v>
      </c>
      <c r="V983" s="11">
        <v>3</v>
      </c>
      <c r="W983" s="11" t="s">
        <v>62</v>
      </c>
      <c r="X983" s="11" t="s">
        <v>3334</v>
      </c>
      <c r="Y983" s="11" t="s">
        <v>52</v>
      </c>
      <c r="Z983" s="11" t="s">
        <v>71</v>
      </c>
      <c r="AA983" s="11" t="s">
        <v>3234</v>
      </c>
    </row>
    <row r="984" spans="1:27">
      <c r="A984" s="11" t="s">
        <v>3186</v>
      </c>
      <c r="B984" s="11" t="s">
        <v>3187</v>
      </c>
      <c r="C984" s="11" t="s">
        <v>56</v>
      </c>
      <c r="D984" s="19">
        <v>68</v>
      </c>
      <c r="E984" s="11" t="s">
        <v>173</v>
      </c>
      <c r="F984" s="11" t="s">
        <v>29</v>
      </c>
      <c r="G984" s="11" t="s">
        <v>168</v>
      </c>
      <c r="H984" s="12">
        <v>46096</v>
      </c>
      <c r="I984" s="12" t="str">
        <f t="shared" si="17"/>
        <v>March</v>
      </c>
      <c r="J984" s="24">
        <v>0.36458333333333331</v>
      </c>
      <c r="K984" s="19">
        <v>4</v>
      </c>
      <c r="L984" s="12">
        <v>46096</v>
      </c>
      <c r="M984" s="24">
        <v>0.61458333333333337</v>
      </c>
      <c r="N984" s="11">
        <v>6</v>
      </c>
      <c r="O984" s="11" t="s">
        <v>34</v>
      </c>
      <c r="P984" s="11" t="s">
        <v>35</v>
      </c>
      <c r="Q984" s="11"/>
      <c r="R984" s="11" t="s">
        <v>36</v>
      </c>
      <c r="S984" s="19">
        <v>25</v>
      </c>
      <c r="T984" s="11" t="s">
        <v>37</v>
      </c>
      <c r="U984" s="11" t="s">
        <v>164</v>
      </c>
      <c r="V984" s="11">
        <v>1</v>
      </c>
      <c r="W984" s="11" t="s">
        <v>89</v>
      </c>
      <c r="X984" s="11" t="s">
        <v>3333</v>
      </c>
      <c r="Y984" s="11" t="s">
        <v>52</v>
      </c>
      <c r="Z984" s="11" t="s">
        <v>71</v>
      </c>
      <c r="AA984" s="11" t="s">
        <v>3234</v>
      </c>
    </row>
    <row r="985" spans="1:27">
      <c r="A985" s="11" t="s">
        <v>3189</v>
      </c>
      <c r="B985" s="11" t="s">
        <v>3190</v>
      </c>
      <c r="C985" s="11" t="s">
        <v>56</v>
      </c>
      <c r="D985" s="19">
        <v>53</v>
      </c>
      <c r="E985" s="11" t="s">
        <v>57</v>
      </c>
      <c r="F985" s="11" t="s">
        <v>29</v>
      </c>
      <c r="G985" s="11" t="s">
        <v>58</v>
      </c>
      <c r="H985" s="12">
        <v>46155</v>
      </c>
      <c r="I985" s="12" t="str">
        <f t="shared" si="17"/>
        <v>May</v>
      </c>
      <c r="J985" s="24">
        <v>0.69930555555555551</v>
      </c>
      <c r="K985" s="19">
        <v>3</v>
      </c>
      <c r="L985" s="12">
        <v>46155</v>
      </c>
      <c r="M985" s="24">
        <v>0.82430555555555551</v>
      </c>
      <c r="N985" s="11">
        <v>3</v>
      </c>
      <c r="O985" s="11" t="s">
        <v>68</v>
      </c>
      <c r="P985" s="11" t="s">
        <v>35</v>
      </c>
      <c r="Q985" s="11"/>
      <c r="R985" s="11" t="s">
        <v>36</v>
      </c>
      <c r="S985" s="19">
        <v>15</v>
      </c>
      <c r="T985" s="11" t="s">
        <v>37</v>
      </c>
      <c r="U985" s="11" t="s">
        <v>96</v>
      </c>
      <c r="V985" s="11">
        <v>1</v>
      </c>
      <c r="W985" s="11" t="s">
        <v>62</v>
      </c>
      <c r="X985" s="11" t="s">
        <v>3325</v>
      </c>
      <c r="Y985" s="11" t="s">
        <v>109</v>
      </c>
      <c r="Z985" s="11" t="s">
        <v>42</v>
      </c>
      <c r="AA985" s="11"/>
    </row>
    <row r="986" spans="1:27">
      <c r="A986" s="11" t="s">
        <v>3191</v>
      </c>
      <c r="B986" s="11" t="s">
        <v>3192</v>
      </c>
      <c r="C986" s="11" t="s">
        <v>27</v>
      </c>
      <c r="D986" s="19">
        <v>32</v>
      </c>
      <c r="E986" s="11" t="s">
        <v>92</v>
      </c>
      <c r="F986" s="11" t="s">
        <v>29</v>
      </c>
      <c r="G986" s="11" t="s">
        <v>83</v>
      </c>
      <c r="H986" s="12">
        <v>46146</v>
      </c>
      <c r="I986" s="12" t="str">
        <f t="shared" si="17"/>
        <v>May</v>
      </c>
      <c r="J986" s="24">
        <v>0.61527777777777781</v>
      </c>
      <c r="K986" s="19">
        <v>24</v>
      </c>
      <c r="L986" s="12">
        <v>46147</v>
      </c>
      <c r="M986" s="24">
        <v>0.65694444444444444</v>
      </c>
      <c r="N986" s="11">
        <v>25</v>
      </c>
      <c r="O986" s="11" t="s">
        <v>34</v>
      </c>
      <c r="P986" s="11" t="s">
        <v>35</v>
      </c>
      <c r="Q986" s="11"/>
      <c r="R986" s="11" t="s">
        <v>36</v>
      </c>
      <c r="S986" s="19">
        <v>50</v>
      </c>
      <c r="T986" s="11" t="s">
        <v>37</v>
      </c>
      <c r="U986" s="11" t="s">
        <v>96</v>
      </c>
      <c r="V986" s="11">
        <v>3</v>
      </c>
      <c r="W986" s="11" t="s">
        <v>39</v>
      </c>
      <c r="X986" s="11" t="s">
        <v>3325</v>
      </c>
      <c r="Y986" s="11" t="s">
        <v>109</v>
      </c>
      <c r="Z986" s="11" t="s">
        <v>42</v>
      </c>
      <c r="AA986" s="11" t="s">
        <v>3234</v>
      </c>
    </row>
    <row r="987" spans="1:27">
      <c r="A987" s="11" t="s">
        <v>3193</v>
      </c>
      <c r="B987" s="11" t="s">
        <v>3194</v>
      </c>
      <c r="C987" s="11" t="s">
        <v>27</v>
      </c>
      <c r="D987" s="19">
        <v>11</v>
      </c>
      <c r="E987" s="11" t="s">
        <v>81</v>
      </c>
      <c r="F987" s="11" t="s">
        <v>82</v>
      </c>
      <c r="G987" s="11" t="s">
        <v>83</v>
      </c>
      <c r="H987" s="12">
        <v>46137</v>
      </c>
      <c r="I987" s="12" t="str">
        <f t="shared" si="17"/>
        <v>April</v>
      </c>
      <c r="J987" s="24">
        <v>0.45763888888888887</v>
      </c>
      <c r="K987" s="19">
        <v>8</v>
      </c>
      <c r="L987" s="12">
        <v>46137</v>
      </c>
      <c r="M987" s="24">
        <v>0.74930555555555556</v>
      </c>
      <c r="N987" s="11">
        <v>7</v>
      </c>
      <c r="O987" s="11" t="s">
        <v>68</v>
      </c>
      <c r="P987" s="11" t="s">
        <v>35</v>
      </c>
      <c r="Q987" s="11"/>
      <c r="R987" s="11" t="s">
        <v>36</v>
      </c>
      <c r="S987" s="19">
        <v>20</v>
      </c>
      <c r="T987" s="11" t="s">
        <v>49</v>
      </c>
      <c r="U987" s="11" t="s">
        <v>164</v>
      </c>
      <c r="V987" s="11">
        <v>2</v>
      </c>
      <c r="W987" s="11" t="s">
        <v>70</v>
      </c>
      <c r="X987" s="11" t="s">
        <v>3333</v>
      </c>
      <c r="Y987" s="11" t="s">
        <v>52</v>
      </c>
      <c r="Z987" s="11" t="s">
        <v>71</v>
      </c>
      <c r="AA987" s="11" t="str">
        <f>IF(A987=" ", "Missing Value", " ")</f>
        <v xml:space="preserve"> </v>
      </c>
    </row>
    <row r="988" spans="1:27">
      <c r="A988" s="11" t="s">
        <v>3195</v>
      </c>
      <c r="B988" s="11" t="s">
        <v>3196</v>
      </c>
      <c r="C988" s="11" t="s">
        <v>56</v>
      </c>
      <c r="D988" s="19">
        <v>53</v>
      </c>
      <c r="E988" s="11" t="s">
        <v>173</v>
      </c>
      <c r="F988" s="11" t="s">
        <v>29</v>
      </c>
      <c r="G988" s="11" t="s">
        <v>168</v>
      </c>
      <c r="H988" s="12">
        <v>46184</v>
      </c>
      <c r="I988" s="12" t="str">
        <f t="shared" si="17"/>
        <v>June</v>
      </c>
      <c r="J988" s="24">
        <v>0.52013888888888893</v>
      </c>
      <c r="K988" s="19">
        <v>4</v>
      </c>
      <c r="L988" s="12">
        <v>46184</v>
      </c>
      <c r="M988" s="24">
        <v>0.97847222222222219</v>
      </c>
      <c r="N988" s="11">
        <v>11</v>
      </c>
      <c r="O988" s="11" t="s">
        <v>34</v>
      </c>
      <c r="P988" s="11" t="s">
        <v>35</v>
      </c>
      <c r="Q988" s="11"/>
      <c r="R988" s="11" t="s">
        <v>36</v>
      </c>
      <c r="S988" s="19">
        <v>25</v>
      </c>
      <c r="T988" s="11" t="s">
        <v>37</v>
      </c>
      <c r="U988" s="11" t="s">
        <v>96</v>
      </c>
      <c r="V988" s="11">
        <v>1</v>
      </c>
      <c r="W988" s="11" t="s">
        <v>70</v>
      </c>
      <c r="X988" s="11" t="s">
        <v>3333</v>
      </c>
      <c r="Y988" s="11" t="s">
        <v>41</v>
      </c>
      <c r="Z988" s="11" t="s">
        <v>53</v>
      </c>
      <c r="AA988" s="11" t="s">
        <v>3234</v>
      </c>
    </row>
    <row r="989" spans="1:27">
      <c r="A989" s="11" t="s">
        <v>3197</v>
      </c>
      <c r="B989" s="11" t="s">
        <v>679</v>
      </c>
      <c r="C989" s="11" t="s">
        <v>27</v>
      </c>
      <c r="D989" s="19">
        <v>40</v>
      </c>
      <c r="E989" s="11" t="s">
        <v>28</v>
      </c>
      <c r="F989" s="11" t="s">
        <v>29</v>
      </c>
      <c r="G989" s="11" t="s">
        <v>168</v>
      </c>
      <c r="H989" s="12">
        <v>46115</v>
      </c>
      <c r="I989" s="12" t="str">
        <f t="shared" si="17"/>
        <v>April</v>
      </c>
      <c r="J989" s="24">
        <v>0.41249999999999998</v>
      </c>
      <c r="K989" s="19">
        <v>5</v>
      </c>
      <c r="L989" s="12">
        <v>46115</v>
      </c>
      <c r="M989" s="24">
        <v>0.74583333333333335</v>
      </c>
      <c r="N989" s="11">
        <v>8</v>
      </c>
      <c r="O989" s="11" t="s">
        <v>34</v>
      </c>
      <c r="P989" s="11" t="s">
        <v>35</v>
      </c>
      <c r="Q989" s="11"/>
      <c r="R989" s="11" t="s">
        <v>36</v>
      </c>
      <c r="S989" s="19">
        <v>35</v>
      </c>
      <c r="T989" s="11" t="s">
        <v>37</v>
      </c>
      <c r="U989" s="11" t="s">
        <v>38</v>
      </c>
      <c r="V989" s="11">
        <v>4</v>
      </c>
      <c r="W989" s="11" t="s">
        <v>89</v>
      </c>
      <c r="X989" s="11" t="s">
        <v>3334</v>
      </c>
      <c r="Y989" s="11" t="s">
        <v>109</v>
      </c>
      <c r="Z989" s="11" t="s">
        <v>42</v>
      </c>
      <c r="AA989" s="11" t="s">
        <v>3243</v>
      </c>
    </row>
    <row r="990" spans="1:27">
      <c r="A990" s="11" t="s">
        <v>3198</v>
      </c>
      <c r="B990" s="11" t="s">
        <v>3199</v>
      </c>
      <c r="C990" s="11" t="s">
        <v>27</v>
      </c>
      <c r="D990" s="19">
        <v>8</v>
      </c>
      <c r="E990" s="11" t="s">
        <v>173</v>
      </c>
      <c r="F990" s="11" t="s">
        <v>29</v>
      </c>
      <c r="G990" s="11" t="s">
        <v>168</v>
      </c>
      <c r="H990" s="12">
        <v>46142</v>
      </c>
      <c r="I990" s="12" t="str">
        <f t="shared" si="17"/>
        <v>April</v>
      </c>
      <c r="J990" s="24">
        <v>0.33750000000000002</v>
      </c>
      <c r="K990" s="19">
        <v>4</v>
      </c>
      <c r="L990" s="12">
        <v>46142</v>
      </c>
      <c r="M990" s="24">
        <v>0.71250000000000002</v>
      </c>
      <c r="N990" s="11">
        <v>9</v>
      </c>
      <c r="O990" s="11" t="s">
        <v>34</v>
      </c>
      <c r="P990" s="11" t="s">
        <v>35</v>
      </c>
      <c r="Q990" s="11"/>
      <c r="R990" s="11" t="s">
        <v>36</v>
      </c>
      <c r="S990" s="19">
        <v>25</v>
      </c>
      <c r="T990" s="11" t="s">
        <v>49</v>
      </c>
      <c r="U990" s="11" t="s">
        <v>96</v>
      </c>
      <c r="V990" s="11">
        <v>5</v>
      </c>
      <c r="W990" s="11" t="s">
        <v>70</v>
      </c>
      <c r="X990" s="11" t="s">
        <v>3334</v>
      </c>
      <c r="Y990" s="11" t="s">
        <v>109</v>
      </c>
      <c r="Z990" s="11" t="s">
        <v>42</v>
      </c>
      <c r="AA990" s="11" t="s">
        <v>3234</v>
      </c>
    </row>
    <row r="991" spans="1:27">
      <c r="A991" s="11" t="s">
        <v>3200</v>
      </c>
      <c r="B991" s="11" t="s">
        <v>3201</v>
      </c>
      <c r="C991" s="11" t="s">
        <v>56</v>
      </c>
      <c r="D991" s="19">
        <v>14</v>
      </c>
      <c r="E991" s="11" t="s">
        <v>149</v>
      </c>
      <c r="F991" s="11" t="s">
        <v>29</v>
      </c>
      <c r="G991" s="11" t="s">
        <v>83</v>
      </c>
      <c r="H991" s="12">
        <v>46037</v>
      </c>
      <c r="I991" s="12" t="str">
        <f t="shared" si="17"/>
        <v>January</v>
      </c>
      <c r="J991" s="24">
        <v>0.53263888888888888</v>
      </c>
      <c r="K991" s="19">
        <v>6</v>
      </c>
      <c r="L991" s="12">
        <v>46038</v>
      </c>
      <c r="M991" s="24">
        <v>3.2638888888888891E-2</v>
      </c>
      <c r="N991" s="11">
        <v>12</v>
      </c>
      <c r="O991" s="11" t="s">
        <v>34</v>
      </c>
      <c r="P991" s="11" t="s">
        <v>35</v>
      </c>
      <c r="Q991" s="11"/>
      <c r="R991" s="11" t="s">
        <v>36</v>
      </c>
      <c r="S991" s="19">
        <v>40</v>
      </c>
      <c r="T991" s="11" t="s">
        <v>49</v>
      </c>
      <c r="U991" s="11" t="s">
        <v>164</v>
      </c>
      <c r="V991" s="11">
        <v>3</v>
      </c>
      <c r="W991" s="11" t="s">
        <v>62</v>
      </c>
      <c r="X991" s="11" t="s">
        <v>51</v>
      </c>
      <c r="Y991" s="11" t="s">
        <v>109</v>
      </c>
      <c r="Z991" s="11" t="s">
        <v>71</v>
      </c>
      <c r="AA991" s="11" t="s">
        <v>3234</v>
      </c>
    </row>
    <row r="992" spans="1:27">
      <c r="A992" s="11" t="s">
        <v>3203</v>
      </c>
      <c r="B992" s="11" t="s">
        <v>3204</v>
      </c>
      <c r="C992" s="11" t="s">
        <v>56</v>
      </c>
      <c r="D992" s="19">
        <v>47</v>
      </c>
      <c r="E992" s="11" t="s">
        <v>28</v>
      </c>
      <c r="F992" s="11" t="s">
        <v>29</v>
      </c>
      <c r="G992" s="11" t="s">
        <v>30</v>
      </c>
      <c r="H992" s="12">
        <v>46074</v>
      </c>
      <c r="I992" s="12" t="str">
        <f t="shared" si="17"/>
        <v>February</v>
      </c>
      <c r="J992" s="24">
        <v>0.46180555555555558</v>
      </c>
      <c r="K992" s="19">
        <v>5</v>
      </c>
      <c r="L992" s="12">
        <v>46074</v>
      </c>
      <c r="M992" s="24">
        <v>0.71180555555555558</v>
      </c>
      <c r="N992" s="11">
        <v>6</v>
      </c>
      <c r="O992" s="11" t="s">
        <v>34</v>
      </c>
      <c r="P992" s="11" t="s">
        <v>35</v>
      </c>
      <c r="Q992" s="11"/>
      <c r="R992" s="11" t="s">
        <v>36</v>
      </c>
      <c r="S992" s="19">
        <v>35</v>
      </c>
      <c r="T992" s="11" t="s">
        <v>49</v>
      </c>
      <c r="U992" s="11" t="s">
        <v>96</v>
      </c>
      <c r="V992" s="11">
        <v>5</v>
      </c>
      <c r="W992" s="11" t="s">
        <v>62</v>
      </c>
      <c r="X992" s="11" t="s">
        <v>51</v>
      </c>
      <c r="Y992" s="11" t="s">
        <v>109</v>
      </c>
      <c r="Z992" s="11" t="s">
        <v>42</v>
      </c>
      <c r="AA992" s="11" t="str">
        <f>IF(A992=" ", "Missing Value", " ")</f>
        <v xml:space="preserve"> </v>
      </c>
    </row>
    <row r="993" spans="1:27">
      <c r="A993" s="11" t="s">
        <v>3205</v>
      </c>
      <c r="B993" s="11" t="s">
        <v>3206</v>
      </c>
      <c r="C993" s="11" t="s">
        <v>27</v>
      </c>
      <c r="D993" s="19">
        <v>25</v>
      </c>
      <c r="E993" s="11" t="s">
        <v>28</v>
      </c>
      <c r="F993" s="11" t="s">
        <v>29</v>
      </c>
      <c r="G993" s="11" t="s">
        <v>30</v>
      </c>
      <c r="H993" s="12">
        <v>46122</v>
      </c>
      <c r="I993" s="12" t="str">
        <f t="shared" si="17"/>
        <v>April</v>
      </c>
      <c r="J993" s="24">
        <v>0.47222222222222221</v>
      </c>
      <c r="K993" s="19">
        <v>5</v>
      </c>
      <c r="L993" s="12">
        <v>46123</v>
      </c>
      <c r="M993" s="24">
        <v>1.3888888888888888E-2</v>
      </c>
      <c r="N993" s="11">
        <v>13</v>
      </c>
      <c r="O993" s="11" t="s">
        <v>34</v>
      </c>
      <c r="P993" s="11" t="s">
        <v>35</v>
      </c>
      <c r="Q993" s="11"/>
      <c r="R993" s="11" t="s">
        <v>36</v>
      </c>
      <c r="S993" s="19">
        <v>35</v>
      </c>
      <c r="T993" s="11" t="s">
        <v>37</v>
      </c>
      <c r="U993" s="11" t="s">
        <v>38</v>
      </c>
      <c r="V993" s="11">
        <v>3</v>
      </c>
      <c r="W993" s="11" t="s">
        <v>70</v>
      </c>
      <c r="X993" s="11" t="s">
        <v>51</v>
      </c>
      <c r="Y993" s="11" t="s">
        <v>41</v>
      </c>
      <c r="Z993" s="11" t="s">
        <v>71</v>
      </c>
      <c r="AA993" s="11" t="str">
        <f>IF(A993=" ", "Missing Value", " ")</f>
        <v xml:space="preserve"> </v>
      </c>
    </row>
    <row r="994" spans="1:27">
      <c r="A994" s="11" t="s">
        <v>3207</v>
      </c>
      <c r="B994" s="11" t="s">
        <v>3208</v>
      </c>
      <c r="C994" s="11" t="s">
        <v>56</v>
      </c>
      <c r="D994" s="19">
        <v>84</v>
      </c>
      <c r="E994" s="11" t="s">
        <v>57</v>
      </c>
      <c r="F994" s="11" t="s">
        <v>29</v>
      </c>
      <c r="G994" s="11" t="s">
        <v>58</v>
      </c>
      <c r="H994" s="12">
        <v>46147</v>
      </c>
      <c r="I994" s="12" t="str">
        <f t="shared" si="17"/>
        <v>May</v>
      </c>
      <c r="J994" s="24">
        <v>0.32083333333333336</v>
      </c>
      <c r="K994" s="19">
        <v>3</v>
      </c>
      <c r="L994" s="12">
        <v>46147</v>
      </c>
      <c r="M994" s="24">
        <v>0.52916666666666667</v>
      </c>
      <c r="N994" s="11">
        <v>5</v>
      </c>
      <c r="O994" s="11" t="s">
        <v>34</v>
      </c>
      <c r="P994" s="11" t="s">
        <v>35</v>
      </c>
      <c r="Q994" s="11"/>
      <c r="R994" s="11" t="s">
        <v>36</v>
      </c>
      <c r="S994" s="19">
        <v>15</v>
      </c>
      <c r="T994" s="11" t="s">
        <v>37</v>
      </c>
      <c r="U994" s="11" t="s">
        <v>96</v>
      </c>
      <c r="V994" s="11">
        <v>3</v>
      </c>
      <c r="W994" s="11" t="s">
        <v>62</v>
      </c>
      <c r="X994" s="11" t="s">
        <v>3333</v>
      </c>
      <c r="Y994" s="11" t="s">
        <v>41</v>
      </c>
      <c r="Z994" s="11" t="s">
        <v>53</v>
      </c>
      <c r="AA994" s="11"/>
    </row>
    <row r="995" spans="1:27">
      <c r="A995" s="11" t="s">
        <v>3209</v>
      </c>
      <c r="B995" s="11" t="s">
        <v>3210</v>
      </c>
      <c r="C995" s="11" t="s">
        <v>56</v>
      </c>
      <c r="D995" s="19">
        <v>36</v>
      </c>
      <c r="E995" s="11" t="s">
        <v>92</v>
      </c>
      <c r="F995" s="11" t="s">
        <v>29</v>
      </c>
      <c r="G995" s="11" t="s">
        <v>93</v>
      </c>
      <c r="H995" s="12">
        <v>46098</v>
      </c>
      <c r="I995" s="12" t="str">
        <f t="shared" si="17"/>
        <v>March</v>
      </c>
      <c r="J995" s="24">
        <v>0.51736111111111116</v>
      </c>
      <c r="K995" s="19">
        <v>24</v>
      </c>
      <c r="L995" s="12">
        <v>46099</v>
      </c>
      <c r="M995" s="24">
        <v>0.60069444444444442</v>
      </c>
      <c r="N995" s="11">
        <v>26</v>
      </c>
      <c r="O995" s="11" t="s">
        <v>34</v>
      </c>
      <c r="P995" s="11" t="s">
        <v>35</v>
      </c>
      <c r="Q995" s="11"/>
      <c r="R995" s="11" t="s">
        <v>36</v>
      </c>
      <c r="S995" s="19">
        <v>50</v>
      </c>
      <c r="T995" s="11" t="s">
        <v>49</v>
      </c>
      <c r="U995" s="11" t="s">
        <v>164</v>
      </c>
      <c r="V995" s="11">
        <v>1</v>
      </c>
      <c r="W995" s="11" t="s">
        <v>70</v>
      </c>
      <c r="X995" s="11" t="s">
        <v>3325</v>
      </c>
      <c r="Y995" s="11" t="s">
        <v>41</v>
      </c>
      <c r="Z995" s="11" t="s">
        <v>53</v>
      </c>
      <c r="AA995" s="11" t="s">
        <v>3229</v>
      </c>
    </row>
    <row r="996" spans="1:27">
      <c r="A996" s="11" t="s">
        <v>3211</v>
      </c>
      <c r="B996" s="11" t="s">
        <v>3212</v>
      </c>
      <c r="C996" s="11" t="s">
        <v>56</v>
      </c>
      <c r="D996" s="19">
        <v>3</v>
      </c>
      <c r="E996" s="11" t="s">
        <v>57</v>
      </c>
      <c r="F996" s="11" t="s">
        <v>29</v>
      </c>
      <c r="G996" s="11" t="s">
        <v>83</v>
      </c>
      <c r="H996" s="12">
        <v>46100</v>
      </c>
      <c r="I996" s="12" t="str">
        <f t="shared" si="17"/>
        <v>March</v>
      </c>
      <c r="J996" s="24">
        <v>0.56527777777777777</v>
      </c>
      <c r="K996" s="19">
        <v>3</v>
      </c>
      <c r="L996" s="12">
        <v>46100</v>
      </c>
      <c r="M996" s="24">
        <v>0.69027777777777777</v>
      </c>
      <c r="N996" s="11">
        <v>3</v>
      </c>
      <c r="O996" s="11" t="s">
        <v>68</v>
      </c>
      <c r="P996" s="11" t="s">
        <v>35</v>
      </c>
      <c r="Q996" s="11"/>
      <c r="R996" s="11" t="s">
        <v>36</v>
      </c>
      <c r="S996" s="19">
        <v>15</v>
      </c>
      <c r="T996" s="11" t="s">
        <v>49</v>
      </c>
      <c r="U996" s="11" t="s">
        <v>164</v>
      </c>
      <c r="V996" s="11">
        <v>2</v>
      </c>
      <c r="W996" s="11" t="s">
        <v>39</v>
      </c>
      <c r="X996" s="11" t="s">
        <v>51</v>
      </c>
      <c r="Y996" s="11" t="s">
        <v>41</v>
      </c>
      <c r="Z996" s="11" t="s">
        <v>71</v>
      </c>
      <c r="AA996" s="11" t="s">
        <v>3234</v>
      </c>
    </row>
    <row r="997" spans="1:27">
      <c r="A997" s="11" t="s">
        <v>3214</v>
      </c>
      <c r="B997" s="11" t="s">
        <v>3215</v>
      </c>
      <c r="C997" s="11" t="s">
        <v>27</v>
      </c>
      <c r="D997" s="19">
        <v>58</v>
      </c>
      <c r="E997" s="11" t="s">
        <v>149</v>
      </c>
      <c r="F997" s="11" t="s">
        <v>29</v>
      </c>
      <c r="G997" s="11" t="s">
        <v>30</v>
      </c>
      <c r="H997" s="12">
        <v>46070</v>
      </c>
      <c r="I997" s="12" t="str">
        <f t="shared" si="17"/>
        <v>February</v>
      </c>
      <c r="J997" s="24">
        <v>0.57986111111111116</v>
      </c>
      <c r="K997" s="19">
        <v>6</v>
      </c>
      <c r="L997" s="12">
        <v>46070</v>
      </c>
      <c r="M997" s="24">
        <v>0.82986111111111116</v>
      </c>
      <c r="N997" s="11">
        <v>6</v>
      </c>
      <c r="O997" s="11" t="s">
        <v>68</v>
      </c>
      <c r="P997" s="11" t="s">
        <v>35</v>
      </c>
      <c r="Q997" s="11"/>
      <c r="R997" s="11" t="s">
        <v>36</v>
      </c>
      <c r="S997" s="19">
        <v>40</v>
      </c>
      <c r="T997" s="11" t="s">
        <v>49</v>
      </c>
      <c r="U997" s="11" t="s">
        <v>96</v>
      </c>
      <c r="V997" s="11">
        <v>5</v>
      </c>
      <c r="W997" s="11" t="s">
        <v>39</v>
      </c>
      <c r="X997" s="11" t="s">
        <v>3334</v>
      </c>
      <c r="Y997" s="11" t="s">
        <v>52</v>
      </c>
      <c r="Z997" s="11" t="s">
        <v>42</v>
      </c>
      <c r="AA997" s="11" t="str">
        <f>IF(A997=" ", "Missing Value", " ")</f>
        <v xml:space="preserve"> </v>
      </c>
    </row>
    <row r="998" spans="1:27">
      <c r="A998" s="11" t="s">
        <v>3217</v>
      </c>
      <c r="B998" s="11" t="s">
        <v>3218</v>
      </c>
      <c r="C998" s="11" t="s">
        <v>56</v>
      </c>
      <c r="D998" s="19">
        <v>26</v>
      </c>
      <c r="E998" s="11" t="s">
        <v>173</v>
      </c>
      <c r="F998" s="11" t="s">
        <v>29</v>
      </c>
      <c r="G998" s="11" t="s">
        <v>168</v>
      </c>
      <c r="H998" s="12">
        <v>46134</v>
      </c>
      <c r="I998" s="12" t="str">
        <f t="shared" si="17"/>
        <v>April</v>
      </c>
      <c r="J998" s="24">
        <v>0.56527777777777777</v>
      </c>
      <c r="K998" s="19">
        <v>4</v>
      </c>
      <c r="L998" s="12">
        <v>46134</v>
      </c>
      <c r="M998" s="24">
        <v>0.9819444444444444</v>
      </c>
      <c r="N998" s="11">
        <v>10</v>
      </c>
      <c r="O998" s="11" t="s">
        <v>34</v>
      </c>
      <c r="P998" s="11" t="s">
        <v>35</v>
      </c>
      <c r="Q998" s="11"/>
      <c r="R998" s="11" t="s">
        <v>36</v>
      </c>
      <c r="S998" s="19">
        <v>25</v>
      </c>
      <c r="T998" s="11" t="s">
        <v>49</v>
      </c>
      <c r="U998" s="11" t="s">
        <v>164</v>
      </c>
      <c r="V998" s="11">
        <v>5</v>
      </c>
      <c r="W998" s="11" t="s">
        <v>39</v>
      </c>
      <c r="X998" s="11" t="s">
        <v>3325</v>
      </c>
      <c r="Y998" s="11" t="s">
        <v>52</v>
      </c>
      <c r="Z998" s="11" t="s">
        <v>53</v>
      </c>
      <c r="AA998" s="11" t="s">
        <v>3234</v>
      </c>
    </row>
    <row r="999" spans="1:27">
      <c r="A999" s="11" t="s">
        <v>3219</v>
      </c>
      <c r="B999" s="11" t="s">
        <v>3220</v>
      </c>
      <c r="C999" s="11" t="s">
        <v>56</v>
      </c>
      <c r="D999" s="19">
        <v>19</v>
      </c>
      <c r="E999" s="11" t="s">
        <v>57</v>
      </c>
      <c r="F999" s="11" t="s">
        <v>29</v>
      </c>
      <c r="G999" s="11" t="s">
        <v>83</v>
      </c>
      <c r="H999" s="12">
        <v>46042</v>
      </c>
      <c r="I999" s="12" t="str">
        <f t="shared" si="17"/>
        <v>January</v>
      </c>
      <c r="J999" s="24">
        <v>0.65</v>
      </c>
      <c r="K999" s="19">
        <v>3</v>
      </c>
      <c r="L999" s="12">
        <v>46042</v>
      </c>
      <c r="M999" s="24">
        <v>0.73333333333333328</v>
      </c>
      <c r="N999" s="11">
        <v>2</v>
      </c>
      <c r="O999" s="11" t="s">
        <v>68</v>
      </c>
      <c r="P999" s="11" t="s">
        <v>35</v>
      </c>
      <c r="Q999" s="11"/>
      <c r="R999" s="11" t="s">
        <v>36</v>
      </c>
      <c r="S999" s="19">
        <v>15</v>
      </c>
      <c r="T999" s="11" t="s">
        <v>49</v>
      </c>
      <c r="U999" s="11" t="s">
        <v>38</v>
      </c>
      <c r="V999" s="11">
        <v>1</v>
      </c>
      <c r="W999" s="11" t="s">
        <v>70</v>
      </c>
      <c r="X999" s="11" t="s">
        <v>3334</v>
      </c>
      <c r="Y999" s="11" t="s">
        <v>52</v>
      </c>
      <c r="Z999" s="11" t="s">
        <v>71</v>
      </c>
      <c r="AA999" s="11" t="s">
        <v>3234</v>
      </c>
    </row>
    <row r="1000" spans="1:27">
      <c r="A1000" s="11" t="s">
        <v>63</v>
      </c>
      <c r="B1000" s="11" t="s">
        <v>3221</v>
      </c>
      <c r="C1000" s="11" t="s">
        <v>27</v>
      </c>
      <c r="D1000" s="19">
        <v>47</v>
      </c>
      <c r="E1000" s="11" t="s">
        <v>92</v>
      </c>
      <c r="F1000" s="11" t="s">
        <v>29</v>
      </c>
      <c r="G1000" s="11" t="s">
        <v>83</v>
      </c>
      <c r="H1000" s="12">
        <v>46128</v>
      </c>
      <c r="I1000" s="12" t="str">
        <f t="shared" si="17"/>
        <v>April</v>
      </c>
      <c r="J1000" s="24">
        <v>0.46527777777777779</v>
      </c>
      <c r="K1000" s="19">
        <v>24</v>
      </c>
      <c r="L1000" s="12">
        <v>46129</v>
      </c>
      <c r="M1000" s="24">
        <v>0.79861111111111116</v>
      </c>
      <c r="N1000" s="11">
        <v>32</v>
      </c>
      <c r="O1000" s="11" t="s">
        <v>34</v>
      </c>
      <c r="P1000" s="11" t="s">
        <v>35</v>
      </c>
      <c r="Q1000" s="11"/>
      <c r="R1000" s="11" t="s">
        <v>36</v>
      </c>
      <c r="S1000" s="19">
        <v>50</v>
      </c>
      <c r="T1000" s="11" t="s">
        <v>37</v>
      </c>
      <c r="U1000" s="11" t="s">
        <v>164</v>
      </c>
      <c r="V1000" s="11">
        <v>1</v>
      </c>
      <c r="W1000" s="11" t="s">
        <v>39</v>
      </c>
      <c r="X1000" s="11" t="s">
        <v>3334</v>
      </c>
      <c r="Y1000" s="11" t="s">
        <v>109</v>
      </c>
      <c r="Z1000" s="11" t="s">
        <v>42</v>
      </c>
      <c r="AA1000" s="11" t="s">
        <v>3240</v>
      </c>
    </row>
    <row r="1001" spans="1:27">
      <c r="A1001" s="11" t="s">
        <v>3223</v>
      </c>
      <c r="B1001" s="11" t="s">
        <v>3224</v>
      </c>
      <c r="C1001" s="11" t="s">
        <v>56</v>
      </c>
      <c r="D1001" s="19">
        <v>17</v>
      </c>
      <c r="E1001" s="11" t="s">
        <v>28</v>
      </c>
      <c r="F1001" s="11" t="s">
        <v>29</v>
      </c>
      <c r="G1001" s="11" t="s">
        <v>30</v>
      </c>
      <c r="H1001" s="12">
        <v>46130</v>
      </c>
      <c r="I1001" s="12" t="str">
        <f t="shared" si="17"/>
        <v>April</v>
      </c>
      <c r="J1001" s="24">
        <v>0.48402777777777778</v>
      </c>
      <c r="K1001" s="19">
        <v>5</v>
      </c>
      <c r="L1001" s="12">
        <v>46130</v>
      </c>
      <c r="M1001" s="24">
        <v>0.73402777777777772</v>
      </c>
      <c r="N1001" s="11">
        <v>6</v>
      </c>
      <c r="O1001" s="11" t="s">
        <v>34</v>
      </c>
      <c r="P1001" s="11" t="s">
        <v>35</v>
      </c>
      <c r="Q1001" s="11"/>
      <c r="R1001" s="11" t="s">
        <v>36</v>
      </c>
      <c r="S1001" s="19">
        <v>35</v>
      </c>
      <c r="T1001" s="11" t="s">
        <v>37</v>
      </c>
      <c r="U1001" s="11" t="s">
        <v>164</v>
      </c>
      <c r="V1001" s="11">
        <v>3</v>
      </c>
      <c r="W1001" s="11" t="s">
        <v>39</v>
      </c>
      <c r="X1001" s="11" t="s">
        <v>51</v>
      </c>
      <c r="Y1001" s="11" t="s">
        <v>41</v>
      </c>
      <c r="Z1001" s="11" t="s">
        <v>71</v>
      </c>
      <c r="AA1001" s="11" t="str">
        <f>IF(A1001=" ", "Missing Value", " ")</f>
        <v xml:space="preserve"> </v>
      </c>
    </row>
  </sheetData>
  <sortState xmlns:xlrd2="http://schemas.microsoft.com/office/spreadsheetml/2017/richdata2" ref="I2:I1001">
    <sortCondition ref="I1:I1001"/>
  </sortState>
  <conditionalFormatting sqref="A1:A1048576">
    <cfRule type="colorScale" priority="32">
      <colorScale>
        <cfvo type="min"/>
        <cfvo type="max"/>
        <color rgb="FFFF7128"/>
        <color rgb="FFFFEF9C"/>
      </colorScale>
    </cfRule>
    <cfRule type="duplicateValues" dxfId="106" priority="33"/>
  </conditionalFormatting>
  <conditionalFormatting sqref="B1:B1048576">
    <cfRule type="expression" priority="31">
      <formula>IF(AND(C2="Female", E2="PSA"), "Female Patient with PSA Test", "")</formula>
    </cfRule>
    <cfRule type="duplicateValues" dxfId="105" priority="34"/>
  </conditionalFormatting>
  <conditionalFormatting sqref="C2:C1001">
    <cfRule type="expression" dxfId="104" priority="21">
      <formula>AND($C2="Female", $E2="PSA")</formula>
    </cfRule>
  </conditionalFormatting>
  <conditionalFormatting sqref="D2:D1001">
    <cfRule type="expression" dxfId="103" priority="14">
      <formula>AND($D2&lt;20, $E2="PSA")</formula>
    </cfRule>
    <cfRule type="cellIs" dxfId="102" priority="19" operator="greaterThan">
      <formula>120</formula>
    </cfRule>
    <cfRule type="cellIs" dxfId="101" priority="20" operator="lessThan">
      <formula>0</formula>
    </cfRule>
  </conditionalFormatting>
  <conditionalFormatting sqref="E2:E1001">
    <cfRule type="expression" dxfId="100" priority="12">
      <formula>OR(AND(E2="FBC", G2&lt;&gt;"Heamtology"), AND(E2="LFT", G2&lt;&gt;"Chemical Pathology"), AND(E2="U&amp;E", G2&lt;&gt;"Chemical Pathology"), AND(E2="Urinalysis", G2&lt;&gt;"Microbiology"), AND(E2="Malaria", G2&lt;&gt;"Parasitology"), AND(E2="PSA", G2&lt;&gt;"Immunology"))</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8C9E-D1EA-41DA-8A99-5F673CA1F903}">
  <dimension ref="A1:U39"/>
  <sheetViews>
    <sheetView showGridLines="0" workbookViewId="0">
      <selection activeCell="K31" sqref="K31"/>
    </sheetView>
  </sheetViews>
  <sheetFormatPr defaultRowHeight="15"/>
  <cols>
    <col min="1" max="1" width="18.7109375" bestFit="1" customWidth="1"/>
    <col min="2" max="2" width="28.42578125" bestFit="1" customWidth="1"/>
    <col min="3" max="3" width="11.7109375" bestFit="1" customWidth="1"/>
    <col min="4" max="4" width="12.140625" bestFit="1" customWidth="1"/>
    <col min="5" max="5" width="12.7109375" bestFit="1" customWidth="1"/>
    <col min="6" max="6" width="11.85546875" bestFit="1" customWidth="1"/>
    <col min="7" max="7" width="11.28515625" bestFit="1" customWidth="1"/>
    <col min="8" max="8" width="12" bestFit="1" customWidth="1"/>
    <col min="9" max="9" width="8.42578125" bestFit="1" customWidth="1"/>
    <col min="10" max="10" width="13.140625" bestFit="1" customWidth="1"/>
    <col min="11" max="11" width="18.7109375" bestFit="1" customWidth="1"/>
    <col min="12" max="12" width="13.42578125" bestFit="1" customWidth="1"/>
    <col min="13" max="13" width="11.28515625" bestFit="1" customWidth="1"/>
    <col min="14" max="1990" width="20" bestFit="1" customWidth="1"/>
    <col min="1991" max="1991" width="24" bestFit="1" customWidth="1"/>
    <col min="1992" max="1992" width="25" bestFit="1" customWidth="1"/>
  </cols>
  <sheetData>
    <row r="1" spans="1:21" ht="18.75">
      <c r="A1" s="14" t="s">
        <v>3369</v>
      </c>
      <c r="D1" s="33" t="s">
        <v>3329</v>
      </c>
      <c r="G1" s="34" t="s">
        <v>3331</v>
      </c>
    </row>
    <row r="2" spans="1:21">
      <c r="A2" s="13" t="s">
        <v>3319</v>
      </c>
      <c r="B2" t="s">
        <v>3321</v>
      </c>
      <c r="D2" s="13" t="s">
        <v>3319</v>
      </c>
      <c r="E2" t="s">
        <v>3322</v>
      </c>
      <c r="G2" s="13" t="s">
        <v>3319</v>
      </c>
      <c r="H2" t="s">
        <v>3322</v>
      </c>
    </row>
    <row r="3" spans="1:21">
      <c r="A3" s="1" t="s">
        <v>30</v>
      </c>
      <c r="B3" s="35">
        <v>224</v>
      </c>
      <c r="D3" s="1" t="s">
        <v>3325</v>
      </c>
      <c r="E3" s="35">
        <v>7965</v>
      </c>
      <c r="G3" s="1" t="s">
        <v>164</v>
      </c>
      <c r="H3" s="35">
        <v>9855</v>
      </c>
    </row>
    <row r="4" spans="1:21">
      <c r="A4" s="1" t="s">
        <v>168</v>
      </c>
      <c r="B4" s="35">
        <v>201</v>
      </c>
      <c r="D4" s="1" t="s">
        <v>3333</v>
      </c>
      <c r="E4" s="35">
        <v>7490</v>
      </c>
      <c r="G4" s="1" t="s">
        <v>38</v>
      </c>
      <c r="H4" s="35">
        <v>10770</v>
      </c>
    </row>
    <row r="5" spans="1:21">
      <c r="A5" s="1" t="s">
        <v>93</v>
      </c>
      <c r="B5" s="35">
        <v>162</v>
      </c>
      <c r="D5" s="1" t="s">
        <v>3334</v>
      </c>
      <c r="E5" s="35">
        <v>7585</v>
      </c>
      <c r="G5" s="1" t="s">
        <v>96</v>
      </c>
      <c r="H5" s="35">
        <v>10405</v>
      </c>
    </row>
    <row r="6" spans="1:21">
      <c r="A6" s="1" t="s">
        <v>83</v>
      </c>
      <c r="B6" s="35">
        <v>254</v>
      </c>
      <c r="D6" s="1" t="s">
        <v>51</v>
      </c>
      <c r="E6" s="35">
        <v>8050</v>
      </c>
      <c r="G6" s="1">
        <v>31090</v>
      </c>
      <c r="H6" s="35">
        <v>25</v>
      </c>
    </row>
    <row r="7" spans="1:21">
      <c r="A7" s="1" t="s">
        <v>58</v>
      </c>
      <c r="B7" s="35">
        <v>159</v>
      </c>
      <c r="D7" s="1" t="s">
        <v>3320</v>
      </c>
      <c r="E7" s="28">
        <v>31090</v>
      </c>
      <c r="G7" s="1">
        <v>31055</v>
      </c>
      <c r="H7" s="35">
        <v>35</v>
      </c>
    </row>
    <row r="8" spans="1:21">
      <c r="A8" s="1" t="s">
        <v>3320</v>
      </c>
      <c r="B8" s="35">
        <v>1000</v>
      </c>
      <c r="G8" s="1" t="s">
        <v>3320</v>
      </c>
      <c r="H8" s="35">
        <v>31090</v>
      </c>
    </row>
    <row r="11" spans="1:21">
      <c r="A11" s="10" t="s">
        <v>3327</v>
      </c>
      <c r="D11" s="33" t="s">
        <v>3330</v>
      </c>
      <c r="G11" s="33" t="s">
        <v>3366</v>
      </c>
    </row>
    <row r="12" spans="1:21">
      <c r="A12" s="13" t="s">
        <v>3323</v>
      </c>
      <c r="B12" t="s">
        <v>3321</v>
      </c>
      <c r="D12" s="13" t="s">
        <v>3319</v>
      </c>
      <c r="E12" t="s">
        <v>3322</v>
      </c>
      <c r="G12" s="13" t="s">
        <v>3321</v>
      </c>
      <c r="H12" s="13" t="s">
        <v>3324</v>
      </c>
    </row>
    <row r="13" spans="1:21">
      <c r="A13" s="1" t="s">
        <v>173</v>
      </c>
      <c r="B13" s="35">
        <v>149</v>
      </c>
      <c r="D13" s="1" t="s">
        <v>173</v>
      </c>
      <c r="E13" s="35">
        <v>3675</v>
      </c>
      <c r="G13" s="13" t="s">
        <v>3319</v>
      </c>
      <c r="H13" t="s">
        <v>34</v>
      </c>
      <c r="I13" t="s">
        <v>68</v>
      </c>
      <c r="J13" t="s">
        <v>3320</v>
      </c>
    </row>
    <row r="14" spans="1:21">
      <c r="A14" s="1" t="s">
        <v>149</v>
      </c>
      <c r="B14" s="35">
        <v>165</v>
      </c>
      <c r="D14" s="1" t="s">
        <v>149</v>
      </c>
      <c r="E14" s="35">
        <v>6500</v>
      </c>
      <c r="G14" s="1" t="s">
        <v>30</v>
      </c>
      <c r="H14" s="35">
        <v>183</v>
      </c>
      <c r="I14" s="35">
        <v>41</v>
      </c>
      <c r="J14" s="35">
        <v>224</v>
      </c>
    </row>
    <row r="15" spans="1:21">
      <c r="A15" s="1" t="s">
        <v>57</v>
      </c>
      <c r="B15" s="35">
        <v>167</v>
      </c>
      <c r="D15" s="1" t="s">
        <v>57</v>
      </c>
      <c r="E15" s="35">
        <v>2470</v>
      </c>
      <c r="G15" s="1" t="s">
        <v>168</v>
      </c>
      <c r="H15" s="35">
        <v>157</v>
      </c>
      <c r="I15" s="35">
        <v>44</v>
      </c>
      <c r="J15" s="35">
        <v>201</v>
      </c>
      <c r="U15">
        <v>54</v>
      </c>
    </row>
    <row r="16" spans="1:21">
      <c r="A16" s="1" t="s">
        <v>92</v>
      </c>
      <c r="B16" s="35">
        <v>197</v>
      </c>
      <c r="D16" s="1" t="s">
        <v>92</v>
      </c>
      <c r="E16" s="35">
        <v>9660</v>
      </c>
      <c r="G16" s="1" t="s">
        <v>93</v>
      </c>
      <c r="H16" s="35">
        <v>138</v>
      </c>
      <c r="I16" s="35">
        <v>24</v>
      </c>
      <c r="J16" s="35">
        <v>162</v>
      </c>
    </row>
    <row r="17" spans="1:12">
      <c r="A17" s="1" t="s">
        <v>28</v>
      </c>
      <c r="B17" s="35">
        <v>166</v>
      </c>
      <c r="D17" s="1" t="s">
        <v>28</v>
      </c>
      <c r="E17" s="35">
        <v>5685</v>
      </c>
      <c r="G17" s="1" t="s">
        <v>83</v>
      </c>
      <c r="H17" s="35">
        <v>200</v>
      </c>
      <c r="I17" s="35">
        <v>54</v>
      </c>
      <c r="J17" s="35">
        <v>254</v>
      </c>
    </row>
    <row r="18" spans="1:12">
      <c r="A18" s="1" t="s">
        <v>81</v>
      </c>
      <c r="B18" s="35">
        <v>156</v>
      </c>
      <c r="D18" s="1" t="s">
        <v>81</v>
      </c>
      <c r="E18" s="35">
        <v>3100</v>
      </c>
      <c r="G18" s="1" t="s">
        <v>58</v>
      </c>
      <c r="H18" s="35">
        <v>131</v>
      </c>
      <c r="I18" s="35">
        <v>28</v>
      </c>
      <c r="J18" s="35">
        <v>159</v>
      </c>
      <c r="L18">
        <f>191/1000*100</f>
        <v>19.100000000000001</v>
      </c>
    </row>
    <row r="19" spans="1:12">
      <c r="A19" s="1" t="s">
        <v>3320</v>
      </c>
      <c r="B19" s="35">
        <v>1000</v>
      </c>
      <c r="D19" s="1" t="s">
        <v>3320</v>
      </c>
      <c r="E19" s="27">
        <v>31090</v>
      </c>
      <c r="G19" s="1" t="s">
        <v>3320</v>
      </c>
      <c r="H19" s="35">
        <v>809</v>
      </c>
      <c r="I19" s="35">
        <v>191</v>
      </c>
      <c r="J19" s="35">
        <v>1000</v>
      </c>
    </row>
    <row r="22" spans="1:12">
      <c r="A22" s="10" t="s">
        <v>3328</v>
      </c>
    </row>
    <row r="23" spans="1:12">
      <c r="A23" s="13" t="s">
        <v>3319</v>
      </c>
      <c r="B23" t="s">
        <v>3321</v>
      </c>
      <c r="D23" s="33" t="s">
        <v>3367</v>
      </c>
    </row>
    <row r="24" spans="1:12">
      <c r="A24" s="1" t="s">
        <v>677</v>
      </c>
      <c r="B24" s="35">
        <v>13</v>
      </c>
      <c r="D24" s="13" t="s">
        <v>3319</v>
      </c>
      <c r="E24" t="s">
        <v>3321</v>
      </c>
      <c r="G24" s="33" t="s">
        <v>3364</v>
      </c>
      <c r="J24" s="33" t="s">
        <v>3365</v>
      </c>
    </row>
    <row r="25" spans="1:12">
      <c r="A25" s="1" t="s">
        <v>271</v>
      </c>
      <c r="B25" s="35">
        <v>20</v>
      </c>
      <c r="D25" s="1" t="s">
        <v>34</v>
      </c>
      <c r="E25" s="35">
        <v>809</v>
      </c>
      <c r="G25" t="s">
        <v>3321</v>
      </c>
      <c r="J25" s="13" t="s">
        <v>3319</v>
      </c>
      <c r="K25" t="s">
        <v>3321</v>
      </c>
    </row>
    <row r="26" spans="1:12">
      <c r="A26" s="1" t="s">
        <v>391</v>
      </c>
      <c r="B26" s="35">
        <v>19</v>
      </c>
      <c r="D26" s="1" t="s">
        <v>68</v>
      </c>
      <c r="E26" s="35">
        <v>191</v>
      </c>
      <c r="G26" s="35">
        <v>1000</v>
      </c>
      <c r="J26" s="1" t="s">
        <v>49</v>
      </c>
      <c r="K26" s="35">
        <v>643</v>
      </c>
    </row>
    <row r="27" spans="1:12">
      <c r="A27" s="1" t="s">
        <v>620</v>
      </c>
      <c r="B27" s="35">
        <v>19</v>
      </c>
      <c r="D27" s="1" t="s">
        <v>3320</v>
      </c>
      <c r="E27" s="35">
        <v>1000</v>
      </c>
      <c r="J27" s="1" t="s">
        <v>37</v>
      </c>
      <c r="K27" s="35">
        <v>357</v>
      </c>
    </row>
    <row r="28" spans="1:12">
      <c r="A28" s="1" t="s">
        <v>3320</v>
      </c>
      <c r="B28" s="35">
        <v>71</v>
      </c>
      <c r="J28" s="1" t="s">
        <v>3320</v>
      </c>
      <c r="K28" s="35">
        <v>1000</v>
      </c>
    </row>
    <row r="29" spans="1:12">
      <c r="B29">
        <f>71/1000*100</f>
        <v>7.1</v>
      </c>
    </row>
    <row r="31" spans="1:12">
      <c r="A31" s="13" t="s">
        <v>3321</v>
      </c>
      <c r="B31" s="13" t="s">
        <v>3324</v>
      </c>
    </row>
    <row r="32" spans="1:12">
      <c r="A32" s="13" t="s">
        <v>3319</v>
      </c>
      <c r="B32" t="s">
        <v>30</v>
      </c>
      <c r="C32" t="s">
        <v>168</v>
      </c>
      <c r="D32" t="s">
        <v>93</v>
      </c>
      <c r="E32" t="s">
        <v>83</v>
      </c>
      <c r="F32" t="s">
        <v>58</v>
      </c>
      <c r="G32" t="s">
        <v>3320</v>
      </c>
    </row>
    <row r="33" spans="1:7">
      <c r="A33" s="1" t="s">
        <v>34</v>
      </c>
      <c r="B33" s="35">
        <v>183</v>
      </c>
      <c r="C33" s="35">
        <v>157</v>
      </c>
      <c r="D33" s="35">
        <v>138</v>
      </c>
      <c r="E33" s="35">
        <v>200</v>
      </c>
      <c r="F33" s="35">
        <v>131</v>
      </c>
      <c r="G33" s="35">
        <v>809</v>
      </c>
    </row>
    <row r="34" spans="1:7">
      <c r="A34" s="1" t="s">
        <v>68</v>
      </c>
      <c r="B34" s="35">
        <v>41</v>
      </c>
      <c r="C34" s="35">
        <v>44</v>
      </c>
      <c r="D34" s="35">
        <v>24</v>
      </c>
      <c r="E34" s="35">
        <v>54</v>
      </c>
      <c r="F34" s="35">
        <v>28</v>
      </c>
      <c r="G34" s="35">
        <v>191</v>
      </c>
    </row>
    <row r="35" spans="1:7">
      <c r="A35" s="1" t="s">
        <v>3320</v>
      </c>
      <c r="B35" s="35">
        <v>224</v>
      </c>
      <c r="C35" s="35">
        <v>201</v>
      </c>
      <c r="D35" s="35">
        <v>162</v>
      </c>
      <c r="E35" s="35">
        <v>254</v>
      </c>
      <c r="F35" s="35">
        <v>159</v>
      </c>
      <c r="G35" s="35">
        <v>1000</v>
      </c>
    </row>
    <row r="36" spans="1:7" ht="20.25" customHeight="1"/>
    <row r="37" spans="1:7">
      <c r="A37" s="10" t="s">
        <v>3368</v>
      </c>
      <c r="D37">
        <f>GETPIVOTDATA("Sample_ID",$A$31,"TAT_Status","Delayed")</f>
        <v>809</v>
      </c>
    </row>
    <row r="38" spans="1:7">
      <c r="A38" t="s">
        <v>3321</v>
      </c>
      <c r="B38" t="s">
        <v>3332</v>
      </c>
    </row>
    <row r="39" spans="1:7">
      <c r="A39" s="35">
        <v>1000</v>
      </c>
      <c r="B39" s="26">
        <v>2.9159999999999999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1A1ED-7723-4A44-8039-6F9C61A43B8A}">
  <dimension ref="G15:AH32"/>
  <sheetViews>
    <sheetView tabSelected="1" zoomScale="85" zoomScaleNormal="85" workbookViewId="0">
      <selection activeCell="W20" sqref="W20"/>
    </sheetView>
  </sheetViews>
  <sheetFormatPr defaultRowHeight="15"/>
  <cols>
    <col min="1" max="16384" width="9.140625" style="15"/>
  </cols>
  <sheetData>
    <row r="15" spans="7:7">
      <c r="G15" s="16"/>
    </row>
    <row r="32" spans="34:34">
      <c r="AH32" s="15" t="s">
        <v>3335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BFFE9-3493-4921-83C2-540076F3EBDA}">
  <dimension ref="A1:A46"/>
  <sheetViews>
    <sheetView showGridLines="0" workbookViewId="0">
      <selection activeCell="R11" sqref="R11"/>
    </sheetView>
  </sheetViews>
  <sheetFormatPr defaultRowHeight="18.75"/>
  <cols>
    <col min="1" max="17" width="9.140625" style="31"/>
    <col min="18" max="18" width="6.7109375" style="31" customWidth="1"/>
    <col min="19" max="16384" width="9.140625" style="31"/>
  </cols>
  <sheetData>
    <row r="1" spans="1:1" ht="22.5">
      <c r="A1" s="32" t="s">
        <v>3360</v>
      </c>
    </row>
    <row r="3" spans="1:1" ht="20.25">
      <c r="A3" s="30" t="s">
        <v>3361</v>
      </c>
    </row>
    <row r="4" spans="1:1" ht="20.25">
      <c r="A4" s="30"/>
    </row>
    <row r="5" spans="1:1" ht="20.25">
      <c r="A5" s="30"/>
    </row>
    <row r="6" spans="1:1">
      <c r="A6" s="29" t="s">
        <v>3362</v>
      </c>
    </row>
    <row r="7" spans="1:1" customFormat="1" ht="15"/>
    <row r="8" spans="1:1">
      <c r="A8" s="31" t="s">
        <v>3336</v>
      </c>
    </row>
    <row r="9" spans="1:1">
      <c r="A9" s="31" t="s">
        <v>3337</v>
      </c>
    </row>
    <row r="11" spans="1:1">
      <c r="A11" s="31" t="s">
        <v>3338</v>
      </c>
    </row>
    <row r="12" spans="1:1">
      <c r="A12" s="31" t="s">
        <v>3345</v>
      </c>
    </row>
    <row r="14" spans="1:1">
      <c r="A14" s="31" t="s">
        <v>3339</v>
      </c>
    </row>
    <row r="15" spans="1:1">
      <c r="A15" s="31" t="s">
        <v>3346</v>
      </c>
    </row>
    <row r="17" spans="1:1">
      <c r="A17" s="31" t="s">
        <v>3340</v>
      </c>
    </row>
    <row r="18" spans="1:1">
      <c r="A18" s="31" t="s">
        <v>3341</v>
      </c>
    </row>
    <row r="20" spans="1:1">
      <c r="A20" s="31" t="s">
        <v>3342</v>
      </c>
    </row>
    <row r="21" spans="1:1">
      <c r="A21" s="31" t="s">
        <v>3347</v>
      </c>
    </row>
    <row r="23" spans="1:1">
      <c r="A23" s="31" t="s">
        <v>3343</v>
      </c>
    </row>
    <row r="24" spans="1:1">
      <c r="A24" s="31" t="s">
        <v>3348</v>
      </c>
    </row>
    <row r="26" spans="1:1">
      <c r="A26" s="31" t="s">
        <v>3344</v>
      </c>
    </row>
    <row r="27" spans="1:1">
      <c r="A27" s="31" t="s">
        <v>3349</v>
      </c>
    </row>
    <row r="31" spans="1:1" ht="20.25">
      <c r="A31" s="30" t="s">
        <v>3350</v>
      </c>
    </row>
    <row r="32" spans="1:1" ht="20.25">
      <c r="A32" s="30"/>
    </row>
    <row r="33" spans="1:1">
      <c r="A33" s="29" t="s">
        <v>3363</v>
      </c>
    </row>
    <row r="34" spans="1:1">
      <c r="A34" s="31" t="s">
        <v>3359</v>
      </c>
    </row>
    <row r="36" spans="1:1">
      <c r="A36" s="29" t="s">
        <v>3351</v>
      </c>
    </row>
    <row r="37" spans="1:1">
      <c r="A37" s="31" t="s">
        <v>3352</v>
      </c>
    </row>
    <row r="39" spans="1:1">
      <c r="A39" s="29" t="s">
        <v>3353</v>
      </c>
    </row>
    <row r="40" spans="1:1">
      <c r="A40" s="31" t="s">
        <v>3358</v>
      </c>
    </row>
    <row r="42" spans="1:1">
      <c r="A42" s="29" t="s">
        <v>3354</v>
      </c>
    </row>
    <row r="43" spans="1:1">
      <c r="A43" s="31" t="s">
        <v>3357</v>
      </c>
    </row>
    <row r="45" spans="1:1">
      <c r="A45" s="29" t="s">
        <v>3355</v>
      </c>
    </row>
    <row r="46" spans="1:1">
      <c r="A46" s="31" t="s">
        <v>3356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1F0E0-1D23-498D-B947-AE67F5BEECA5}">
  <dimension ref="A1:F26"/>
  <sheetViews>
    <sheetView workbookViewId="0">
      <selection activeCell="C19" sqref="C19"/>
    </sheetView>
  </sheetViews>
  <sheetFormatPr defaultRowHeight="15"/>
  <cols>
    <col min="1" max="1" width="21.7109375" customWidth="1"/>
    <col min="2" max="2" width="26.5703125" customWidth="1"/>
    <col min="3" max="3" width="24" customWidth="1"/>
    <col min="4" max="4" width="25.28515625" customWidth="1"/>
    <col min="5" max="5" width="29.140625" customWidth="1"/>
  </cols>
  <sheetData>
    <row r="1" spans="1:6" ht="20.25">
      <c r="A1" s="5" t="s">
        <v>3268</v>
      </c>
      <c r="B1" s="5" t="s">
        <v>3269</v>
      </c>
      <c r="C1" s="5" t="s">
        <v>3270</v>
      </c>
      <c r="D1" s="5" t="s">
        <v>3271</v>
      </c>
      <c r="E1" s="5" t="s">
        <v>3272</v>
      </c>
    </row>
    <row r="2" spans="1:6" ht="65.25" customHeight="1">
      <c r="A2" s="6">
        <v>46212</v>
      </c>
      <c r="B2" s="7" t="s">
        <v>0</v>
      </c>
      <c r="C2" s="7" t="s">
        <v>3287</v>
      </c>
      <c r="D2" s="7" t="s">
        <v>3281</v>
      </c>
      <c r="E2" s="7" t="s">
        <v>3280</v>
      </c>
      <c r="F2" s="4"/>
    </row>
    <row r="3" spans="1:6" ht="69.75" customHeight="1">
      <c r="A3" s="6">
        <v>46212</v>
      </c>
      <c r="B3" s="7" t="s">
        <v>3274</v>
      </c>
      <c r="C3" s="7" t="s">
        <v>3273</v>
      </c>
      <c r="D3" s="7" t="s">
        <v>3282</v>
      </c>
      <c r="E3" s="7" t="s">
        <v>3279</v>
      </c>
    </row>
    <row r="4" spans="1:6" ht="60.75" customHeight="1">
      <c r="A4" s="6">
        <v>46212</v>
      </c>
      <c r="B4" s="7" t="s">
        <v>3275</v>
      </c>
      <c r="C4" s="7" t="s">
        <v>3286</v>
      </c>
      <c r="D4" s="7" t="s">
        <v>3283</v>
      </c>
      <c r="E4" s="7" t="s">
        <v>3278</v>
      </c>
    </row>
    <row r="5" spans="1:6" ht="63" customHeight="1">
      <c r="A5" s="6">
        <v>46212</v>
      </c>
      <c r="B5" s="7" t="s">
        <v>3276</v>
      </c>
      <c r="C5" s="7" t="s">
        <v>3285</v>
      </c>
      <c r="D5" s="7" t="s">
        <v>3284</v>
      </c>
      <c r="E5" s="7" t="s">
        <v>3277</v>
      </c>
    </row>
    <row r="6" spans="1:6" ht="52.5" customHeight="1">
      <c r="A6" s="6">
        <v>46212</v>
      </c>
      <c r="B6" s="7" t="s">
        <v>3291</v>
      </c>
      <c r="C6" s="7" t="s">
        <v>3292</v>
      </c>
      <c r="D6" s="7" t="s">
        <v>3293</v>
      </c>
      <c r="E6" s="7" t="s">
        <v>3294</v>
      </c>
    </row>
    <row r="7" spans="1:6" ht="59.25" customHeight="1">
      <c r="A7" s="6">
        <v>46212</v>
      </c>
      <c r="B7" s="7" t="s">
        <v>3295</v>
      </c>
      <c r="C7" s="7" t="s">
        <v>3296</v>
      </c>
      <c r="D7" s="7" t="s">
        <v>3297</v>
      </c>
      <c r="E7" s="7" t="s">
        <v>3298</v>
      </c>
    </row>
    <row r="8" spans="1:6" ht="15.75">
      <c r="A8" s="8"/>
      <c r="B8" s="9"/>
      <c r="C8" s="9"/>
      <c r="D8" s="9"/>
      <c r="E8" s="9"/>
    </row>
    <row r="9" spans="1:6">
      <c r="A9" s="3"/>
      <c r="B9" s="3"/>
      <c r="C9" s="3"/>
      <c r="D9" s="3"/>
      <c r="E9" s="3"/>
    </row>
    <row r="10" spans="1:6">
      <c r="A10" s="3"/>
      <c r="B10" s="3"/>
      <c r="C10" s="3"/>
      <c r="D10" s="3"/>
      <c r="E10" s="3"/>
    </row>
    <row r="11" spans="1:6">
      <c r="A11" s="3"/>
      <c r="B11" s="3"/>
      <c r="C11" s="3"/>
      <c r="D11" s="3"/>
      <c r="E11" s="3"/>
    </row>
    <row r="12" spans="1:6">
      <c r="A12" s="3"/>
      <c r="B12" s="3"/>
      <c r="C12" s="3"/>
      <c r="D12" s="3"/>
      <c r="E12" s="3"/>
    </row>
    <row r="13" spans="1:6">
      <c r="A13" s="3"/>
      <c r="B13" s="3"/>
      <c r="C13" s="3"/>
      <c r="D13" s="3"/>
      <c r="E13" s="3"/>
    </row>
    <row r="14" spans="1:6">
      <c r="A14" s="3"/>
      <c r="B14" s="3"/>
      <c r="C14" s="3"/>
      <c r="D14" s="3"/>
      <c r="E14" s="3"/>
    </row>
    <row r="15" spans="1:6">
      <c r="A15" s="3"/>
      <c r="B15" s="3"/>
      <c r="C15" s="3"/>
      <c r="D15" s="3"/>
      <c r="E15" s="3"/>
    </row>
    <row r="16" spans="1:6">
      <c r="A16" s="3"/>
      <c r="B16" s="3"/>
      <c r="C16" s="3"/>
      <c r="D16" s="3"/>
      <c r="E16" s="3"/>
    </row>
    <row r="17" spans="1:5">
      <c r="A17" s="3"/>
      <c r="B17" s="3"/>
      <c r="C17" s="3"/>
      <c r="D17" s="3"/>
      <c r="E17" s="3"/>
    </row>
    <row r="18" spans="1:5">
      <c r="A18" s="3"/>
      <c r="B18" s="3"/>
      <c r="C18" s="3"/>
      <c r="D18" s="3"/>
      <c r="E18" s="3"/>
    </row>
    <row r="19" spans="1:5">
      <c r="A19" s="3"/>
      <c r="B19" s="3"/>
      <c r="C19" s="3"/>
      <c r="D19" s="3"/>
      <c r="E19" s="3"/>
    </row>
    <row r="20" spans="1:5">
      <c r="A20" s="3"/>
      <c r="B20" s="3"/>
      <c r="C20" s="3"/>
      <c r="D20" s="3"/>
      <c r="E20" s="3"/>
    </row>
    <row r="21" spans="1:5">
      <c r="A21" s="3"/>
      <c r="B21" s="3"/>
      <c r="C21" s="3"/>
      <c r="D21" s="3"/>
      <c r="E21" s="3"/>
    </row>
    <row r="22" spans="1:5">
      <c r="A22" s="3"/>
      <c r="B22" s="3"/>
      <c r="C22" s="3"/>
      <c r="D22" s="3"/>
      <c r="E22" s="3"/>
    </row>
    <row r="23" spans="1:5">
      <c r="A23" s="3"/>
      <c r="B23" s="3"/>
      <c r="C23" s="3"/>
      <c r="D23" s="3"/>
      <c r="E23" s="3"/>
    </row>
    <row r="24" spans="1:5">
      <c r="A24" s="3"/>
      <c r="B24" s="3"/>
      <c r="C24" s="3"/>
      <c r="D24" s="3"/>
      <c r="E24" s="3"/>
    </row>
    <row r="25" spans="1:5">
      <c r="A25" s="3"/>
      <c r="B25" s="3"/>
      <c r="C25" s="3"/>
      <c r="D25" s="3"/>
      <c r="E25" s="3"/>
    </row>
    <row r="26" spans="1:5">
      <c r="A26" s="3"/>
      <c r="B26" s="3"/>
      <c r="C26" s="3"/>
      <c r="D26" s="3"/>
      <c r="E26"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EFEF-2BEE-4ABD-AC72-BAC86FF760D7}">
  <dimension ref="A1:D9"/>
  <sheetViews>
    <sheetView workbookViewId="0">
      <selection activeCell="B2" sqref="B2"/>
    </sheetView>
  </sheetViews>
  <sheetFormatPr defaultRowHeight="15"/>
  <cols>
    <col min="1" max="1" width="23.42578125" customWidth="1"/>
    <col min="2" max="2" width="44.5703125" customWidth="1"/>
    <col min="3" max="3" width="26" customWidth="1"/>
    <col min="4" max="4" width="31" customWidth="1"/>
  </cols>
  <sheetData>
    <row r="1" spans="1:4" ht="20.25">
      <c r="A1" s="5" t="s">
        <v>3299</v>
      </c>
      <c r="B1" s="5" t="s">
        <v>3300</v>
      </c>
      <c r="C1" s="5" t="s">
        <v>3301</v>
      </c>
      <c r="D1" s="5" t="s">
        <v>3304</v>
      </c>
    </row>
    <row r="2" spans="1:4" ht="37.5" customHeight="1">
      <c r="A2" s="7" t="s">
        <v>0</v>
      </c>
      <c r="B2" s="7" t="s">
        <v>3318</v>
      </c>
      <c r="C2" s="7" t="s">
        <v>3305</v>
      </c>
      <c r="D2" s="7" t="s">
        <v>3226</v>
      </c>
    </row>
    <row r="3" spans="1:4" ht="40.5" customHeight="1">
      <c r="A3" s="7" t="s">
        <v>1</v>
      </c>
      <c r="B3" s="7" t="s">
        <v>3317</v>
      </c>
      <c r="C3" s="7" t="s">
        <v>3306</v>
      </c>
      <c r="D3" s="7" t="s">
        <v>3307</v>
      </c>
    </row>
    <row r="4" spans="1:4" ht="39" customHeight="1">
      <c r="A4" s="7" t="s">
        <v>2</v>
      </c>
      <c r="B4" s="7" t="s">
        <v>3308</v>
      </c>
      <c r="C4" s="7" t="s">
        <v>3309</v>
      </c>
      <c r="D4" s="7" t="s">
        <v>3310</v>
      </c>
    </row>
    <row r="5" spans="1:4" ht="42" customHeight="1">
      <c r="A5" s="7" t="s">
        <v>3</v>
      </c>
      <c r="B5" s="7" t="s">
        <v>3311</v>
      </c>
      <c r="C5" s="7" t="s">
        <v>3305</v>
      </c>
      <c r="D5" s="7" t="s">
        <v>3312</v>
      </c>
    </row>
    <row r="6" spans="1:4" ht="44.25" customHeight="1">
      <c r="A6" s="7" t="s">
        <v>3302</v>
      </c>
      <c r="B6" s="7" t="s">
        <v>3313</v>
      </c>
      <c r="C6" s="7" t="s">
        <v>3305</v>
      </c>
      <c r="D6" s="7" t="s">
        <v>3312</v>
      </c>
    </row>
    <row r="7" spans="1:4" ht="54.75" customHeight="1">
      <c r="A7" s="7" t="s">
        <v>6</v>
      </c>
      <c r="B7" s="7" t="s">
        <v>3314</v>
      </c>
      <c r="C7" s="7" t="s">
        <v>3309</v>
      </c>
      <c r="D7" s="7" t="s">
        <v>3312</v>
      </c>
    </row>
    <row r="8" spans="1:4" ht="63">
      <c r="A8" s="7" t="s">
        <v>3303</v>
      </c>
      <c r="B8" s="7" t="s">
        <v>3315</v>
      </c>
      <c r="C8" s="7" t="s">
        <v>3305</v>
      </c>
      <c r="D8" s="7" t="s">
        <v>3316</v>
      </c>
    </row>
    <row r="9" spans="1:4">
      <c r="A9" s="2"/>
      <c r="B9" s="2"/>
      <c r="C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Cleaned Data</vt:lpstr>
      <vt:lpstr>Pivot_Table</vt:lpstr>
      <vt:lpstr>Dashboard</vt:lpstr>
      <vt:lpstr>Executive_Summary</vt:lpstr>
      <vt:lpstr>Data_Cleaning_Log</vt:lpstr>
      <vt:lpstr>Data_Validation_Summary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Ogochukwu Nzekwue</cp:lastModifiedBy>
  <cp:lastPrinted>2026-07-16T15:34:41Z</cp:lastPrinted>
  <dcterms:created xsi:type="dcterms:W3CDTF">2026-06-25T21:53:46Z</dcterms:created>
  <dcterms:modified xsi:type="dcterms:W3CDTF">2026-07-17T04:29:03Z</dcterms:modified>
</cp:coreProperties>
</file>